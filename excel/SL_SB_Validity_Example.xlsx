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ohitkhanna/Desktop/Summer DA/Drafts/"/>
    </mc:Choice>
  </mc:AlternateContent>
  <xr:revisionPtr revIDLastSave="0" documentId="13_ncr:1_{51D3ABBC-7852-104D-98D0-B9CBF6B935B2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Example 1 (valid)" sheetId="1" r:id="rId1"/>
    <sheet name="Example 2 (invalid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64" i="2" l="1"/>
  <c r="C1064" i="2" s="1"/>
  <c r="B1063" i="2"/>
  <c r="C1063" i="2" s="1"/>
  <c r="B1062" i="2"/>
  <c r="C1062" i="2" s="1"/>
  <c r="C1061" i="2"/>
  <c r="B1061" i="2"/>
  <c r="C1060" i="2"/>
  <c r="B1060" i="2"/>
  <c r="C1059" i="2"/>
  <c r="B1059" i="2"/>
  <c r="B1058" i="2"/>
  <c r="C1058" i="2" s="1"/>
  <c r="C1057" i="2"/>
  <c r="B1057" i="2"/>
  <c r="B1056" i="2"/>
  <c r="C1056" i="2" s="1"/>
  <c r="B1055" i="2"/>
  <c r="C1055" i="2" s="1"/>
  <c r="B1054" i="2"/>
  <c r="C1054" i="2" s="1"/>
  <c r="C1053" i="2"/>
  <c r="B1053" i="2"/>
  <c r="C1052" i="2"/>
  <c r="B1052" i="2"/>
  <c r="C1051" i="2"/>
  <c r="B1051" i="2"/>
  <c r="B1050" i="2"/>
  <c r="C1050" i="2" s="1"/>
  <c r="C1049" i="2"/>
  <c r="B1049" i="2"/>
  <c r="B1048" i="2"/>
  <c r="C1048" i="2" s="1"/>
  <c r="B1047" i="2"/>
  <c r="C1047" i="2" s="1"/>
  <c r="B1046" i="2"/>
  <c r="C1046" i="2" s="1"/>
  <c r="C1045" i="2"/>
  <c r="B1045" i="2"/>
  <c r="C1044" i="2"/>
  <c r="B1044" i="2"/>
  <c r="C1043" i="2"/>
  <c r="B1043" i="2"/>
  <c r="B1042" i="2"/>
  <c r="C1042" i="2" s="1"/>
  <c r="C1041" i="2"/>
  <c r="B1041" i="2"/>
  <c r="B1040" i="2"/>
  <c r="C1040" i="2" s="1"/>
  <c r="C1039" i="2"/>
  <c r="B1039" i="2"/>
  <c r="B1038" i="2"/>
  <c r="C1038" i="2" s="1"/>
  <c r="C1037" i="2"/>
  <c r="B1037" i="2"/>
  <c r="C1036" i="2"/>
  <c r="B1036" i="2"/>
  <c r="B1035" i="2"/>
  <c r="C1035" i="2" s="1"/>
  <c r="B1034" i="2"/>
  <c r="C1034" i="2" s="1"/>
  <c r="C1033" i="2"/>
  <c r="B1033" i="2"/>
  <c r="B1032" i="2"/>
  <c r="C1032" i="2" s="1"/>
  <c r="B1031" i="2"/>
  <c r="C1031" i="2" s="1"/>
  <c r="B1030" i="2"/>
  <c r="C1030" i="2" s="1"/>
  <c r="C1029" i="2"/>
  <c r="B1029" i="2"/>
  <c r="C1028" i="2"/>
  <c r="B1028" i="2"/>
  <c r="C1027" i="2"/>
  <c r="B1027" i="2"/>
  <c r="B1026" i="2"/>
  <c r="C1026" i="2" s="1"/>
  <c r="C1025" i="2"/>
  <c r="B1025" i="2"/>
  <c r="B1024" i="2"/>
  <c r="C1024" i="2" s="1"/>
  <c r="B1023" i="2"/>
  <c r="C1023" i="2" s="1"/>
  <c r="B1022" i="2"/>
  <c r="C1022" i="2" s="1"/>
  <c r="C1021" i="2"/>
  <c r="B1021" i="2"/>
  <c r="C1020" i="2"/>
  <c r="B1020" i="2"/>
  <c r="B1019" i="2"/>
  <c r="C1019" i="2" s="1"/>
  <c r="B1018" i="2"/>
  <c r="C1018" i="2" s="1"/>
  <c r="C1017" i="2"/>
  <c r="B1017" i="2"/>
  <c r="B1016" i="2"/>
  <c r="C1016" i="2" s="1"/>
  <c r="B1015" i="2"/>
  <c r="C1015" i="2" s="1"/>
  <c r="B1014" i="2"/>
  <c r="C1014" i="2" s="1"/>
  <c r="C1013" i="2"/>
  <c r="B1013" i="2"/>
  <c r="C1012" i="2"/>
  <c r="B1012" i="2"/>
  <c r="B1011" i="2"/>
  <c r="C1011" i="2" s="1"/>
  <c r="B1010" i="2"/>
  <c r="C1010" i="2" s="1"/>
  <c r="C1009" i="2"/>
  <c r="B1009" i="2"/>
  <c r="B1008" i="2"/>
  <c r="C1008" i="2" s="1"/>
  <c r="B1007" i="2"/>
  <c r="C1007" i="2" s="1"/>
  <c r="B1006" i="2"/>
  <c r="C1006" i="2" s="1"/>
  <c r="B1005" i="2"/>
  <c r="C1005" i="2" s="1"/>
  <c r="B1004" i="2"/>
  <c r="C1004" i="2" s="1"/>
  <c r="C1003" i="2"/>
  <c r="B1003" i="2"/>
  <c r="C1002" i="2"/>
  <c r="B1002" i="2"/>
  <c r="C1001" i="2"/>
  <c r="B1001" i="2"/>
  <c r="C1000" i="2"/>
  <c r="B1000" i="2"/>
  <c r="C999" i="2"/>
  <c r="B999" i="2"/>
  <c r="B998" i="2"/>
  <c r="C998" i="2" s="1"/>
  <c r="C997" i="2"/>
  <c r="B997" i="2"/>
  <c r="B996" i="2"/>
  <c r="C996" i="2" s="1"/>
  <c r="C995" i="2"/>
  <c r="B995" i="2"/>
  <c r="B994" i="2"/>
  <c r="C994" i="2" s="1"/>
  <c r="B993" i="2"/>
  <c r="C993" i="2" s="1"/>
  <c r="B992" i="2"/>
  <c r="C992" i="2" s="1"/>
  <c r="B991" i="2"/>
  <c r="C991" i="2" s="1"/>
  <c r="B990" i="2"/>
  <c r="C990" i="2" s="1"/>
  <c r="C989" i="2"/>
  <c r="B989" i="2"/>
  <c r="C988" i="2"/>
  <c r="B988" i="2"/>
  <c r="B987" i="2"/>
  <c r="C987" i="2" s="1"/>
  <c r="B986" i="2"/>
  <c r="C986" i="2" s="1"/>
  <c r="B985" i="2"/>
  <c r="C985" i="2" s="1"/>
  <c r="C984" i="2"/>
  <c r="B984" i="2"/>
  <c r="C983" i="2"/>
  <c r="B983" i="2"/>
  <c r="B982" i="2"/>
  <c r="C982" i="2" s="1"/>
  <c r="C981" i="2"/>
  <c r="B981" i="2"/>
  <c r="B980" i="2"/>
  <c r="C980" i="2" s="1"/>
  <c r="C979" i="2"/>
  <c r="B979" i="2"/>
  <c r="B978" i="2"/>
  <c r="C978" i="2" s="1"/>
  <c r="C977" i="2"/>
  <c r="B977" i="2"/>
  <c r="C976" i="2"/>
  <c r="B976" i="2"/>
  <c r="B975" i="2"/>
  <c r="C975" i="2" s="1"/>
  <c r="C974" i="2"/>
  <c r="B974" i="2"/>
  <c r="C973" i="2"/>
  <c r="B973" i="2"/>
  <c r="B972" i="2"/>
  <c r="C972" i="2" s="1"/>
  <c r="B971" i="2"/>
  <c r="C971" i="2" s="1"/>
  <c r="B970" i="2"/>
  <c r="C970" i="2" s="1"/>
  <c r="B969" i="2"/>
  <c r="C969" i="2" s="1"/>
  <c r="C968" i="2"/>
  <c r="B968" i="2"/>
  <c r="B967" i="2"/>
  <c r="C967" i="2" s="1"/>
  <c r="B966" i="2"/>
  <c r="C966" i="2" s="1"/>
  <c r="C965" i="2"/>
  <c r="B965" i="2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C958" i="2"/>
  <c r="B958" i="2"/>
  <c r="C957" i="2"/>
  <c r="B957" i="2"/>
  <c r="B956" i="2"/>
  <c r="C956" i="2" s="1"/>
  <c r="B955" i="2"/>
  <c r="C955" i="2" s="1"/>
  <c r="B954" i="2"/>
  <c r="C954" i="2" s="1"/>
  <c r="C953" i="2"/>
  <c r="B953" i="2"/>
  <c r="B952" i="2"/>
  <c r="C952" i="2" s="1"/>
  <c r="C951" i="2"/>
  <c r="B951" i="2"/>
  <c r="C950" i="2"/>
  <c r="B950" i="2"/>
  <c r="B949" i="2"/>
  <c r="C949" i="2" s="1"/>
  <c r="C948" i="2"/>
  <c r="B948" i="2"/>
  <c r="B947" i="2"/>
  <c r="C947" i="2" s="1"/>
  <c r="C946" i="2"/>
  <c r="B946" i="2"/>
  <c r="C945" i="2"/>
  <c r="B945" i="2"/>
  <c r="B944" i="2"/>
  <c r="C944" i="2" s="1"/>
  <c r="B943" i="2"/>
  <c r="C943" i="2" s="1"/>
  <c r="C942" i="2"/>
  <c r="B942" i="2"/>
  <c r="C941" i="2"/>
  <c r="B941" i="2"/>
  <c r="B940" i="2"/>
  <c r="C940" i="2" s="1"/>
  <c r="C939" i="2"/>
  <c r="B939" i="2"/>
  <c r="B938" i="2"/>
  <c r="C938" i="2" s="1"/>
  <c r="B937" i="2"/>
  <c r="C937" i="2" s="1"/>
  <c r="B936" i="2"/>
  <c r="C936" i="2" s="1"/>
  <c r="B935" i="2"/>
  <c r="C935" i="2" s="1"/>
  <c r="C934" i="2"/>
  <c r="B934" i="2"/>
  <c r="C933" i="2"/>
  <c r="B933" i="2"/>
  <c r="C932" i="2"/>
  <c r="B932" i="2"/>
  <c r="C931" i="2"/>
  <c r="B931" i="2"/>
  <c r="B930" i="2"/>
  <c r="C930" i="2" s="1"/>
  <c r="B929" i="2"/>
  <c r="C929" i="2" s="1"/>
  <c r="B928" i="2"/>
  <c r="C928" i="2" s="1"/>
  <c r="B927" i="2"/>
  <c r="C927" i="2" s="1"/>
  <c r="C926" i="2"/>
  <c r="B926" i="2"/>
  <c r="C925" i="2"/>
  <c r="B925" i="2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C917" i="2"/>
  <c r="B917" i="2"/>
  <c r="B916" i="2"/>
  <c r="C916" i="2" s="1"/>
  <c r="C915" i="2"/>
  <c r="B915" i="2"/>
  <c r="B914" i="2"/>
  <c r="C914" i="2" s="1"/>
  <c r="B913" i="2"/>
  <c r="C913" i="2" s="1"/>
  <c r="C912" i="2"/>
  <c r="B912" i="2"/>
  <c r="B911" i="2"/>
  <c r="C911" i="2" s="1"/>
  <c r="C910" i="2"/>
  <c r="B910" i="2"/>
  <c r="C909" i="2"/>
  <c r="B909" i="2"/>
  <c r="B908" i="2"/>
  <c r="C908" i="2" s="1"/>
  <c r="B907" i="2"/>
  <c r="C907" i="2" s="1"/>
  <c r="B906" i="2"/>
  <c r="C906" i="2" s="1"/>
  <c r="B905" i="2"/>
  <c r="C905" i="2" s="1"/>
  <c r="C904" i="2"/>
  <c r="B904" i="2"/>
  <c r="B903" i="2"/>
  <c r="C903" i="2" s="1"/>
  <c r="B902" i="2"/>
  <c r="C902" i="2" s="1"/>
  <c r="C901" i="2"/>
  <c r="B901" i="2"/>
  <c r="B900" i="2"/>
  <c r="C900" i="2" s="1"/>
  <c r="C899" i="2"/>
  <c r="B899" i="2"/>
  <c r="B898" i="2"/>
  <c r="C898" i="2" s="1"/>
  <c r="B897" i="2"/>
  <c r="C897" i="2" s="1"/>
  <c r="C896" i="2"/>
  <c r="B896" i="2"/>
  <c r="B895" i="2"/>
  <c r="C895" i="2" s="1"/>
  <c r="C894" i="2"/>
  <c r="B894" i="2"/>
  <c r="C893" i="2"/>
  <c r="B893" i="2"/>
  <c r="B892" i="2"/>
  <c r="C892" i="2" s="1"/>
  <c r="B891" i="2"/>
  <c r="C891" i="2" s="1"/>
  <c r="B890" i="2"/>
  <c r="C890" i="2" s="1"/>
  <c r="C889" i="2"/>
  <c r="B889" i="2"/>
  <c r="B888" i="2"/>
  <c r="C888" i="2" s="1"/>
  <c r="B887" i="2"/>
  <c r="C887" i="2" s="1"/>
  <c r="B886" i="2"/>
  <c r="C886" i="2" s="1"/>
  <c r="C885" i="2"/>
  <c r="B885" i="2"/>
  <c r="C884" i="2"/>
  <c r="B884" i="2"/>
  <c r="B883" i="2"/>
  <c r="C883" i="2" s="1"/>
  <c r="B882" i="2"/>
  <c r="C882" i="2" s="1"/>
  <c r="B881" i="2"/>
  <c r="C881" i="2" s="1"/>
  <c r="B880" i="2"/>
  <c r="C880" i="2" s="1"/>
  <c r="B879" i="2"/>
  <c r="C879" i="2" s="1"/>
  <c r="C878" i="2"/>
  <c r="B878" i="2"/>
  <c r="B877" i="2"/>
  <c r="C877" i="2" s="1"/>
  <c r="B876" i="2"/>
  <c r="C876" i="2" s="1"/>
  <c r="C875" i="2"/>
  <c r="B875" i="2"/>
  <c r="C874" i="2"/>
  <c r="B874" i="2"/>
  <c r="B873" i="2"/>
  <c r="C873" i="2" s="1"/>
  <c r="C872" i="2"/>
  <c r="B872" i="2"/>
  <c r="B871" i="2"/>
  <c r="C871" i="2" s="1"/>
  <c r="B870" i="2"/>
  <c r="C870" i="2" s="1"/>
  <c r="B869" i="2"/>
  <c r="C869" i="2" s="1"/>
  <c r="B868" i="2"/>
  <c r="C868" i="2" s="1"/>
  <c r="B867" i="2"/>
  <c r="C867" i="2" s="1"/>
  <c r="C866" i="2"/>
  <c r="B866" i="2"/>
  <c r="C865" i="2"/>
  <c r="B865" i="2"/>
  <c r="C864" i="2"/>
  <c r="B864" i="2"/>
  <c r="C863" i="2"/>
  <c r="B863" i="2"/>
  <c r="C862" i="2"/>
  <c r="B862" i="2"/>
  <c r="B861" i="2"/>
  <c r="C861" i="2" s="1"/>
  <c r="B860" i="2"/>
  <c r="C860" i="2" s="1"/>
  <c r="B859" i="2"/>
  <c r="C859" i="2" s="1"/>
  <c r="C858" i="2"/>
  <c r="B858" i="2"/>
  <c r="C857" i="2"/>
  <c r="B857" i="2"/>
  <c r="C856" i="2"/>
  <c r="B856" i="2"/>
  <c r="C855" i="2"/>
  <c r="B855" i="2"/>
  <c r="C854" i="2"/>
  <c r="B854" i="2"/>
  <c r="B853" i="2"/>
  <c r="C853" i="2" s="1"/>
  <c r="B852" i="2"/>
  <c r="C852" i="2" s="1"/>
  <c r="C851" i="2"/>
  <c r="B851" i="2"/>
  <c r="C850" i="2"/>
  <c r="B850" i="2"/>
  <c r="B849" i="2"/>
  <c r="C849" i="2" s="1"/>
  <c r="C848" i="2"/>
  <c r="B848" i="2"/>
  <c r="C847" i="2"/>
  <c r="B847" i="2"/>
  <c r="C846" i="2"/>
  <c r="B846" i="2"/>
  <c r="B845" i="2"/>
  <c r="C845" i="2" s="1"/>
  <c r="B844" i="2"/>
  <c r="C844" i="2" s="1"/>
  <c r="C843" i="2"/>
  <c r="B843" i="2"/>
  <c r="C842" i="2"/>
  <c r="B842" i="2"/>
  <c r="B841" i="2"/>
  <c r="C841" i="2" s="1"/>
  <c r="C840" i="2"/>
  <c r="B840" i="2"/>
  <c r="C839" i="2"/>
  <c r="B839" i="2"/>
  <c r="B838" i="2"/>
  <c r="C838" i="2" s="1"/>
  <c r="B837" i="2"/>
  <c r="C837" i="2" s="1"/>
  <c r="B836" i="2"/>
  <c r="C836" i="2" s="1"/>
  <c r="B835" i="2"/>
  <c r="C835" i="2" s="1"/>
  <c r="C834" i="2"/>
  <c r="B834" i="2"/>
  <c r="B833" i="2"/>
  <c r="C833" i="2" s="1"/>
  <c r="C832" i="2"/>
  <c r="B832" i="2"/>
  <c r="C831" i="2"/>
  <c r="B831" i="2"/>
  <c r="B830" i="2"/>
  <c r="C830" i="2" s="1"/>
  <c r="B829" i="2"/>
  <c r="C829" i="2" s="1"/>
  <c r="B828" i="2"/>
  <c r="C828" i="2" s="1"/>
  <c r="B827" i="2"/>
  <c r="C827" i="2" s="1"/>
  <c r="C826" i="2"/>
  <c r="B826" i="2"/>
  <c r="B825" i="2"/>
  <c r="C825" i="2" s="1"/>
  <c r="C824" i="2"/>
  <c r="B824" i="2"/>
  <c r="B823" i="2"/>
  <c r="C823" i="2" s="1"/>
  <c r="B822" i="2"/>
  <c r="C822" i="2" s="1"/>
  <c r="C821" i="2"/>
  <c r="B821" i="2"/>
  <c r="B820" i="2"/>
  <c r="C820" i="2" s="1"/>
  <c r="C819" i="2"/>
  <c r="B819" i="2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C812" i="2"/>
  <c r="B812" i="2"/>
  <c r="B811" i="2"/>
  <c r="C811" i="2" s="1"/>
  <c r="C810" i="2"/>
  <c r="B810" i="2"/>
  <c r="B809" i="2"/>
  <c r="C809" i="2" s="1"/>
  <c r="B808" i="2"/>
  <c r="C808" i="2" s="1"/>
  <c r="B807" i="2"/>
  <c r="C807" i="2" s="1"/>
  <c r="B806" i="2"/>
  <c r="C806" i="2" s="1"/>
  <c r="B805" i="2"/>
  <c r="C805" i="2" s="1"/>
  <c r="C804" i="2"/>
  <c r="B804" i="2"/>
  <c r="C803" i="2"/>
  <c r="B803" i="2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C796" i="2"/>
  <c r="B796" i="2"/>
  <c r="B795" i="2"/>
  <c r="C795" i="2" s="1"/>
  <c r="C794" i="2"/>
  <c r="B794" i="2"/>
  <c r="B793" i="2"/>
  <c r="C793" i="2" s="1"/>
  <c r="B792" i="2"/>
  <c r="C792" i="2" s="1"/>
  <c r="B791" i="2"/>
  <c r="C791" i="2" s="1"/>
  <c r="B790" i="2"/>
  <c r="C790" i="2" s="1"/>
  <c r="B789" i="2"/>
  <c r="C789" i="2" s="1"/>
  <c r="C788" i="2"/>
  <c r="B788" i="2"/>
  <c r="C787" i="2"/>
  <c r="B787" i="2"/>
  <c r="B786" i="2"/>
  <c r="C786" i="2" s="1"/>
  <c r="B785" i="2"/>
  <c r="C785" i="2" s="1"/>
  <c r="C784" i="2"/>
  <c r="B784" i="2"/>
  <c r="B783" i="2"/>
  <c r="C783" i="2" s="1"/>
  <c r="C782" i="2"/>
  <c r="B782" i="2"/>
  <c r="B781" i="2"/>
  <c r="C781" i="2" s="1"/>
  <c r="C780" i="2"/>
  <c r="B780" i="2"/>
  <c r="B779" i="2"/>
  <c r="C779" i="2" s="1"/>
  <c r="C778" i="2"/>
  <c r="B778" i="2"/>
  <c r="B777" i="2"/>
  <c r="C777" i="2" s="1"/>
  <c r="B776" i="2"/>
  <c r="C776" i="2" s="1"/>
  <c r="C775" i="2"/>
  <c r="B775" i="2"/>
  <c r="B774" i="2"/>
  <c r="C774" i="2" s="1"/>
  <c r="C773" i="2"/>
  <c r="B773" i="2"/>
  <c r="C772" i="2"/>
  <c r="B772" i="2"/>
  <c r="B771" i="2"/>
  <c r="C771" i="2" s="1"/>
  <c r="C770" i="2"/>
  <c r="B770" i="2"/>
  <c r="B769" i="2"/>
  <c r="C769" i="2" s="1"/>
  <c r="C768" i="2"/>
  <c r="B768" i="2"/>
  <c r="C767" i="2"/>
  <c r="B767" i="2"/>
  <c r="B766" i="2"/>
  <c r="C766" i="2" s="1"/>
  <c r="B765" i="2"/>
  <c r="C765" i="2" s="1"/>
  <c r="B764" i="2"/>
  <c r="C764" i="2" s="1"/>
  <c r="C763" i="2"/>
  <c r="B763" i="2"/>
  <c r="C762" i="2"/>
  <c r="B762" i="2"/>
  <c r="B761" i="2"/>
  <c r="C761" i="2" s="1"/>
  <c r="B760" i="2"/>
  <c r="C760" i="2" s="1"/>
  <c r="C759" i="2"/>
  <c r="B759" i="2"/>
  <c r="C758" i="2"/>
  <c r="B758" i="2"/>
  <c r="C757" i="2"/>
  <c r="B757" i="2"/>
  <c r="B756" i="2"/>
  <c r="C756" i="2" s="1"/>
  <c r="C755" i="2"/>
  <c r="B755" i="2"/>
  <c r="B754" i="2"/>
  <c r="C754" i="2" s="1"/>
  <c r="B753" i="2"/>
  <c r="C753" i="2" s="1"/>
  <c r="B752" i="2"/>
  <c r="C752" i="2" s="1"/>
  <c r="C751" i="2"/>
  <c r="B751" i="2"/>
  <c r="B750" i="2"/>
  <c r="C750" i="2" s="1"/>
  <c r="C749" i="2"/>
  <c r="B749" i="2"/>
  <c r="B748" i="2"/>
  <c r="C748" i="2" s="1"/>
  <c r="B747" i="2"/>
  <c r="C747" i="2" s="1"/>
  <c r="B746" i="2"/>
  <c r="C746" i="2" s="1"/>
  <c r="B745" i="2"/>
  <c r="C745" i="2" s="1"/>
  <c r="B744" i="2"/>
  <c r="C744" i="2" s="1"/>
  <c r="C743" i="2"/>
  <c r="B743" i="2"/>
  <c r="C742" i="2"/>
  <c r="B742" i="2"/>
  <c r="B741" i="2"/>
  <c r="C741" i="2" s="1"/>
  <c r="B740" i="2"/>
  <c r="C740" i="2" s="1"/>
  <c r="B739" i="2"/>
  <c r="C739" i="2" s="1"/>
  <c r="B738" i="2"/>
  <c r="C738" i="2" s="1"/>
  <c r="C737" i="2"/>
  <c r="B737" i="2"/>
  <c r="B736" i="2"/>
  <c r="C736" i="2" s="1"/>
  <c r="C735" i="2"/>
  <c r="B735" i="2"/>
  <c r="C734" i="2"/>
  <c r="B734" i="2"/>
  <c r="C733" i="2"/>
  <c r="B733" i="2"/>
  <c r="C732" i="2"/>
  <c r="B732" i="2"/>
  <c r="C731" i="2"/>
  <c r="B731" i="2"/>
  <c r="B730" i="2"/>
  <c r="C730" i="2" s="1"/>
  <c r="B729" i="2"/>
  <c r="C729" i="2" s="1"/>
  <c r="B728" i="2"/>
  <c r="C728" i="2" s="1"/>
  <c r="B727" i="2"/>
  <c r="C727" i="2" s="1"/>
  <c r="B726" i="2"/>
  <c r="C726" i="2" s="1"/>
  <c r="C725" i="2"/>
  <c r="B725" i="2"/>
  <c r="C724" i="2"/>
  <c r="B724" i="2"/>
  <c r="C723" i="2"/>
  <c r="B723" i="2"/>
  <c r="B722" i="2"/>
  <c r="C722" i="2" s="1"/>
  <c r="C721" i="2"/>
  <c r="B721" i="2"/>
  <c r="B720" i="2"/>
  <c r="C720" i="2" s="1"/>
  <c r="B719" i="2"/>
  <c r="C719" i="2" s="1"/>
  <c r="B718" i="2"/>
  <c r="C718" i="2" s="1"/>
  <c r="C717" i="2"/>
  <c r="B717" i="2"/>
  <c r="B716" i="2"/>
  <c r="C716" i="2" s="1"/>
  <c r="C715" i="2"/>
  <c r="B715" i="2"/>
  <c r="B714" i="2"/>
  <c r="C714" i="2" s="1"/>
  <c r="C713" i="2"/>
  <c r="B713" i="2"/>
  <c r="B712" i="2"/>
  <c r="C712" i="2" s="1"/>
  <c r="B711" i="2"/>
  <c r="C711" i="2" s="1"/>
  <c r="B710" i="2"/>
  <c r="C710" i="2" s="1"/>
  <c r="C709" i="2"/>
  <c r="B709" i="2"/>
  <c r="B708" i="2"/>
  <c r="C708" i="2" s="1"/>
  <c r="C707" i="2"/>
  <c r="B707" i="2"/>
  <c r="B706" i="2"/>
  <c r="C706" i="2" s="1"/>
  <c r="C705" i="2"/>
  <c r="B705" i="2"/>
  <c r="B704" i="2"/>
  <c r="C704" i="2" s="1"/>
  <c r="B703" i="2"/>
  <c r="C703" i="2" s="1"/>
  <c r="B702" i="2"/>
  <c r="C702" i="2" s="1"/>
  <c r="C701" i="2"/>
  <c r="B701" i="2"/>
  <c r="B700" i="2"/>
  <c r="C700" i="2" s="1"/>
  <c r="C699" i="2"/>
  <c r="B699" i="2"/>
  <c r="B698" i="2"/>
  <c r="C698" i="2" s="1"/>
  <c r="B697" i="2"/>
  <c r="C697" i="2" s="1"/>
  <c r="B696" i="2"/>
  <c r="C696" i="2" s="1"/>
  <c r="B695" i="2"/>
  <c r="C695" i="2" s="1"/>
  <c r="B694" i="2"/>
  <c r="C694" i="2" s="1"/>
  <c r="C693" i="2"/>
  <c r="B693" i="2"/>
  <c r="B692" i="2"/>
  <c r="C692" i="2" s="1"/>
  <c r="C691" i="2"/>
  <c r="B691" i="2"/>
  <c r="B690" i="2"/>
  <c r="C690" i="2" s="1"/>
  <c r="B689" i="2"/>
  <c r="C689" i="2" s="1"/>
  <c r="B688" i="2"/>
  <c r="C688" i="2" s="1"/>
  <c r="B687" i="2"/>
  <c r="C687" i="2" s="1"/>
  <c r="B686" i="2"/>
  <c r="C686" i="2" s="1"/>
  <c r="C685" i="2"/>
  <c r="B685" i="2"/>
  <c r="B684" i="2"/>
  <c r="C684" i="2" s="1"/>
  <c r="C683" i="2"/>
  <c r="B683" i="2"/>
  <c r="B682" i="2"/>
  <c r="C682" i="2" s="1"/>
  <c r="B681" i="2"/>
  <c r="C681" i="2" s="1"/>
  <c r="B680" i="2"/>
  <c r="C680" i="2" s="1"/>
  <c r="B679" i="2"/>
  <c r="C679" i="2" s="1"/>
  <c r="B678" i="2"/>
  <c r="C678" i="2" s="1"/>
  <c r="C677" i="2"/>
  <c r="B677" i="2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C670" i="2"/>
  <c r="B670" i="2"/>
  <c r="C669" i="2"/>
  <c r="B669" i="2"/>
  <c r="C668" i="2"/>
  <c r="B668" i="2"/>
  <c r="B667" i="2"/>
  <c r="C667" i="2" s="1"/>
  <c r="B666" i="2"/>
  <c r="C666" i="2" s="1"/>
  <c r="B665" i="2"/>
  <c r="C665" i="2" s="1"/>
  <c r="B664" i="2"/>
  <c r="C664" i="2" s="1"/>
  <c r="C663" i="2"/>
  <c r="B663" i="2"/>
  <c r="B662" i="2"/>
  <c r="C662" i="2" s="1"/>
  <c r="C661" i="2"/>
  <c r="B661" i="2"/>
  <c r="C660" i="2"/>
  <c r="B660" i="2"/>
  <c r="C659" i="2"/>
  <c r="B659" i="2"/>
  <c r="B658" i="2"/>
  <c r="C658" i="2" s="1"/>
  <c r="B657" i="2"/>
  <c r="C657" i="2" s="1"/>
  <c r="B656" i="2"/>
  <c r="C656" i="2" s="1"/>
  <c r="C655" i="2"/>
  <c r="B655" i="2"/>
  <c r="C654" i="2"/>
  <c r="B654" i="2"/>
  <c r="C653" i="2"/>
  <c r="B653" i="2"/>
  <c r="B652" i="2"/>
  <c r="C652" i="2" s="1"/>
  <c r="C651" i="2"/>
  <c r="B651" i="2"/>
  <c r="B650" i="2"/>
  <c r="C650" i="2" s="1"/>
  <c r="B649" i="2"/>
  <c r="C649" i="2" s="1"/>
  <c r="B648" i="2"/>
  <c r="C648" i="2" s="1"/>
  <c r="B647" i="2"/>
  <c r="C647" i="2" s="1"/>
  <c r="C646" i="2"/>
  <c r="B646" i="2"/>
  <c r="C645" i="2"/>
  <c r="B645" i="2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C637" i="2"/>
  <c r="B637" i="2"/>
  <c r="C636" i="2"/>
  <c r="B636" i="2"/>
  <c r="B635" i="2"/>
  <c r="C635" i="2" s="1"/>
  <c r="B634" i="2"/>
  <c r="C634" i="2" s="1"/>
  <c r="B633" i="2"/>
  <c r="C633" i="2" s="1"/>
  <c r="B632" i="2"/>
  <c r="C632" i="2" s="1"/>
  <c r="C631" i="2"/>
  <c r="B631" i="2"/>
  <c r="B630" i="2"/>
  <c r="C630" i="2" s="1"/>
  <c r="C629" i="2"/>
  <c r="B629" i="2"/>
  <c r="C628" i="2"/>
  <c r="B628" i="2"/>
  <c r="B627" i="2"/>
  <c r="C627" i="2" s="1"/>
  <c r="C626" i="2"/>
  <c r="B626" i="2"/>
  <c r="B625" i="2"/>
  <c r="C625" i="2" s="1"/>
  <c r="B624" i="2"/>
  <c r="C624" i="2" s="1"/>
  <c r="B623" i="2"/>
  <c r="C623" i="2" s="1"/>
  <c r="C622" i="2"/>
  <c r="B622" i="2"/>
  <c r="B621" i="2"/>
  <c r="C621" i="2" s="1"/>
  <c r="B620" i="2"/>
  <c r="C620" i="2" s="1"/>
  <c r="B619" i="2"/>
  <c r="C619" i="2" s="1"/>
  <c r="B618" i="2"/>
  <c r="C618" i="2" s="1"/>
  <c r="C617" i="2"/>
  <c r="B617" i="2"/>
  <c r="B616" i="2"/>
  <c r="C616" i="2" s="1"/>
  <c r="C615" i="2"/>
  <c r="B615" i="2"/>
  <c r="C614" i="2"/>
  <c r="B614" i="2"/>
  <c r="B613" i="2"/>
  <c r="C613" i="2" s="1"/>
  <c r="B612" i="2"/>
  <c r="C612" i="2" s="1"/>
  <c r="B611" i="2"/>
  <c r="C611" i="2" s="1"/>
  <c r="C610" i="2"/>
  <c r="B610" i="2"/>
  <c r="B609" i="2"/>
  <c r="C609" i="2" s="1"/>
  <c r="B608" i="2"/>
  <c r="C608" i="2" s="1"/>
  <c r="B607" i="2"/>
  <c r="C607" i="2" s="1"/>
  <c r="C606" i="2"/>
  <c r="B606" i="2"/>
  <c r="B605" i="2"/>
  <c r="C605" i="2" s="1"/>
  <c r="B604" i="2"/>
  <c r="C604" i="2" s="1"/>
  <c r="B603" i="2"/>
  <c r="C603" i="2" s="1"/>
  <c r="C602" i="2"/>
  <c r="B602" i="2"/>
  <c r="C601" i="2"/>
  <c r="B601" i="2"/>
  <c r="B600" i="2"/>
  <c r="C600" i="2" s="1"/>
  <c r="C599" i="2"/>
  <c r="B599" i="2"/>
  <c r="C598" i="2"/>
  <c r="B598" i="2"/>
  <c r="B597" i="2"/>
  <c r="C597" i="2" s="1"/>
  <c r="B596" i="2"/>
  <c r="C596" i="2" s="1"/>
  <c r="B595" i="2"/>
  <c r="C595" i="2" s="1"/>
  <c r="C594" i="2"/>
  <c r="B594" i="2"/>
  <c r="B593" i="2"/>
  <c r="C593" i="2" s="1"/>
  <c r="B592" i="2"/>
  <c r="C592" i="2" s="1"/>
  <c r="B591" i="2"/>
  <c r="C591" i="2" s="1"/>
  <c r="C590" i="2"/>
  <c r="B590" i="2"/>
  <c r="C589" i="2"/>
  <c r="B589" i="2"/>
  <c r="C588" i="2"/>
  <c r="B588" i="2"/>
  <c r="B587" i="2"/>
  <c r="C587" i="2" s="1"/>
  <c r="C586" i="2"/>
  <c r="B586" i="2"/>
  <c r="C585" i="2"/>
  <c r="B585" i="2"/>
  <c r="B584" i="2"/>
  <c r="C584" i="2" s="1"/>
  <c r="C583" i="2"/>
  <c r="B583" i="2"/>
  <c r="C582" i="2"/>
  <c r="B582" i="2"/>
  <c r="B581" i="2"/>
  <c r="C581" i="2" s="1"/>
  <c r="B580" i="2"/>
  <c r="C580" i="2" s="1"/>
  <c r="B579" i="2"/>
  <c r="C579" i="2" s="1"/>
  <c r="C578" i="2"/>
  <c r="B578" i="2"/>
  <c r="B577" i="2"/>
  <c r="C577" i="2" s="1"/>
  <c r="B576" i="2"/>
  <c r="C576" i="2" s="1"/>
  <c r="B575" i="2"/>
  <c r="C575" i="2" s="1"/>
  <c r="C574" i="2"/>
  <c r="B574" i="2"/>
  <c r="C573" i="2"/>
  <c r="B573" i="2"/>
  <c r="B572" i="2"/>
  <c r="C572" i="2" s="1"/>
  <c r="B571" i="2"/>
  <c r="C571" i="2" s="1"/>
  <c r="C570" i="2"/>
  <c r="B570" i="2"/>
  <c r="C569" i="2"/>
  <c r="B569" i="2"/>
  <c r="B568" i="2"/>
  <c r="C568" i="2" s="1"/>
  <c r="C567" i="2"/>
  <c r="B567" i="2"/>
  <c r="C566" i="2"/>
  <c r="B566" i="2"/>
  <c r="B565" i="2"/>
  <c r="C565" i="2" s="1"/>
  <c r="B564" i="2"/>
  <c r="C564" i="2" s="1"/>
  <c r="B563" i="2"/>
  <c r="C563" i="2" s="1"/>
  <c r="C562" i="2"/>
  <c r="B562" i="2"/>
  <c r="B561" i="2"/>
  <c r="C561" i="2" s="1"/>
  <c r="B560" i="2"/>
  <c r="C560" i="2" s="1"/>
  <c r="B559" i="2"/>
  <c r="C559" i="2" s="1"/>
  <c r="C558" i="2"/>
  <c r="B558" i="2"/>
  <c r="B557" i="2"/>
  <c r="C557" i="2" s="1"/>
  <c r="C556" i="2"/>
  <c r="B556" i="2"/>
  <c r="B555" i="2"/>
  <c r="C555" i="2" s="1"/>
  <c r="C554" i="2"/>
  <c r="B554" i="2"/>
  <c r="C553" i="2"/>
  <c r="B553" i="2"/>
  <c r="B552" i="2"/>
  <c r="C552" i="2" s="1"/>
  <c r="C551" i="2"/>
  <c r="B551" i="2"/>
  <c r="C550" i="2"/>
  <c r="B550" i="2"/>
  <c r="B549" i="2"/>
  <c r="C549" i="2" s="1"/>
  <c r="B548" i="2"/>
  <c r="C548" i="2" s="1"/>
  <c r="C547" i="2"/>
  <c r="B547" i="2"/>
  <c r="B546" i="2"/>
  <c r="C546" i="2" s="1"/>
  <c r="C545" i="2"/>
  <c r="B545" i="2"/>
  <c r="B544" i="2"/>
  <c r="C544" i="2" s="1"/>
  <c r="B543" i="2"/>
  <c r="C543" i="2" s="1"/>
  <c r="C542" i="2"/>
  <c r="B542" i="2"/>
  <c r="C541" i="2"/>
  <c r="B541" i="2"/>
  <c r="B540" i="2"/>
  <c r="C540" i="2" s="1"/>
  <c r="C539" i="2"/>
  <c r="B539" i="2"/>
  <c r="B538" i="2"/>
  <c r="C538" i="2" s="1"/>
  <c r="C537" i="2"/>
  <c r="B537" i="2"/>
  <c r="B536" i="2"/>
  <c r="C536" i="2" s="1"/>
  <c r="C535" i="2"/>
  <c r="B535" i="2"/>
  <c r="B534" i="2"/>
  <c r="C534" i="2" s="1"/>
  <c r="B533" i="2"/>
  <c r="C533" i="2" s="1"/>
  <c r="B532" i="2"/>
  <c r="C532" i="2" s="1"/>
  <c r="C531" i="2"/>
  <c r="B531" i="2"/>
  <c r="C530" i="2"/>
  <c r="B530" i="2"/>
  <c r="C529" i="2"/>
  <c r="B529" i="2"/>
  <c r="B528" i="2"/>
  <c r="C528" i="2" s="1"/>
  <c r="C527" i="2"/>
  <c r="B527" i="2"/>
  <c r="B526" i="2"/>
  <c r="C526" i="2" s="1"/>
  <c r="C525" i="2"/>
  <c r="B525" i="2"/>
  <c r="C524" i="2"/>
  <c r="B524" i="2"/>
  <c r="C523" i="2"/>
  <c r="B523" i="2"/>
  <c r="B522" i="2"/>
  <c r="C522" i="2" s="1"/>
  <c r="C521" i="2"/>
  <c r="B521" i="2"/>
  <c r="B520" i="2"/>
  <c r="C520" i="2" s="1"/>
  <c r="B519" i="2"/>
  <c r="C519" i="2" s="1"/>
  <c r="C518" i="2"/>
  <c r="B518" i="2"/>
  <c r="C517" i="2"/>
  <c r="B517" i="2"/>
  <c r="C516" i="2"/>
  <c r="B516" i="2"/>
  <c r="C515" i="2"/>
  <c r="B515" i="2"/>
  <c r="C514" i="2"/>
  <c r="B514" i="2"/>
  <c r="C513" i="2"/>
  <c r="B513" i="2"/>
  <c r="B512" i="2"/>
  <c r="C512" i="2" s="1"/>
  <c r="B511" i="2"/>
  <c r="C511" i="2" s="1"/>
  <c r="B510" i="2"/>
  <c r="C510" i="2" s="1"/>
  <c r="B509" i="2"/>
  <c r="C509" i="2" s="1"/>
  <c r="B508" i="2"/>
  <c r="C508" i="2" s="1"/>
  <c r="C507" i="2"/>
  <c r="B507" i="2"/>
  <c r="C506" i="2"/>
  <c r="B506" i="2"/>
  <c r="B505" i="2"/>
  <c r="C505" i="2" s="1"/>
  <c r="B504" i="2"/>
  <c r="C504" i="2" s="1"/>
  <c r="C503" i="2"/>
  <c r="B503" i="2"/>
  <c r="B502" i="2"/>
  <c r="C502" i="2" s="1"/>
  <c r="C501" i="2"/>
  <c r="B501" i="2"/>
  <c r="C500" i="2"/>
  <c r="B500" i="2"/>
  <c r="C499" i="2"/>
  <c r="B499" i="2"/>
  <c r="C498" i="2"/>
  <c r="B498" i="2"/>
  <c r="B497" i="2"/>
  <c r="C497" i="2" s="1"/>
  <c r="B496" i="2"/>
  <c r="C496" i="2" s="1"/>
  <c r="B495" i="2"/>
  <c r="C495" i="2" s="1"/>
  <c r="B494" i="2"/>
  <c r="C494" i="2" s="1"/>
  <c r="C493" i="2"/>
  <c r="B493" i="2"/>
  <c r="B492" i="2"/>
  <c r="C492" i="2" s="1"/>
  <c r="C491" i="2"/>
  <c r="B491" i="2"/>
  <c r="C490" i="2"/>
  <c r="B490" i="2"/>
  <c r="C489" i="2"/>
  <c r="B489" i="2"/>
  <c r="B488" i="2"/>
  <c r="C488" i="2" s="1"/>
  <c r="B487" i="2"/>
  <c r="C487" i="2" s="1"/>
  <c r="B486" i="2"/>
  <c r="C486" i="2" s="1"/>
  <c r="B485" i="2"/>
  <c r="C485" i="2" s="1"/>
  <c r="C484" i="2"/>
  <c r="B484" i="2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C477" i="2"/>
  <c r="B477" i="2"/>
  <c r="B476" i="2"/>
  <c r="C476" i="2" s="1"/>
  <c r="B475" i="2"/>
  <c r="C475" i="2" s="1"/>
  <c r="B474" i="2"/>
  <c r="C474" i="2" s="1"/>
  <c r="C473" i="2"/>
  <c r="B473" i="2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C466" i="2"/>
  <c r="B466" i="2"/>
  <c r="C465" i="2"/>
  <c r="B465" i="2"/>
  <c r="B464" i="2"/>
  <c r="C464" i="2" s="1"/>
  <c r="C463" i="2"/>
  <c r="B463" i="2"/>
  <c r="B462" i="2"/>
  <c r="C462" i="2" s="1"/>
  <c r="C461" i="2"/>
  <c r="B461" i="2"/>
  <c r="B460" i="2"/>
  <c r="C460" i="2" s="1"/>
  <c r="B459" i="2"/>
  <c r="C459" i="2" s="1"/>
  <c r="C458" i="2"/>
  <c r="B458" i="2"/>
  <c r="C457" i="2"/>
  <c r="B457" i="2"/>
  <c r="B456" i="2"/>
  <c r="C456" i="2" s="1"/>
  <c r="B455" i="2"/>
  <c r="C455" i="2" s="1"/>
  <c r="B454" i="2"/>
  <c r="C454" i="2" s="1"/>
  <c r="C453" i="2"/>
  <c r="B453" i="2"/>
  <c r="C452" i="2"/>
  <c r="B452" i="2"/>
  <c r="B451" i="2"/>
  <c r="C451" i="2" s="1"/>
  <c r="B450" i="2"/>
  <c r="C450" i="2" s="1"/>
  <c r="C449" i="2"/>
  <c r="B449" i="2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C441" i="2"/>
  <c r="B441" i="2"/>
  <c r="B440" i="2"/>
  <c r="C440" i="2" s="1"/>
  <c r="C439" i="2"/>
  <c r="B439" i="2"/>
  <c r="B438" i="2"/>
  <c r="C438" i="2" s="1"/>
  <c r="C437" i="2"/>
  <c r="B437" i="2"/>
  <c r="B436" i="2"/>
  <c r="C436" i="2" s="1"/>
  <c r="B435" i="2"/>
  <c r="C435" i="2" s="1"/>
  <c r="B434" i="2"/>
  <c r="C434" i="2" s="1"/>
  <c r="C433" i="2"/>
  <c r="B433" i="2"/>
  <c r="B432" i="2"/>
  <c r="C432" i="2" s="1"/>
  <c r="C431" i="2"/>
  <c r="B431" i="2"/>
  <c r="B430" i="2"/>
  <c r="C430" i="2" s="1"/>
  <c r="C429" i="2"/>
  <c r="B429" i="2"/>
  <c r="B428" i="2"/>
  <c r="C428" i="2" s="1"/>
  <c r="C427" i="2"/>
  <c r="B427" i="2"/>
  <c r="B426" i="2"/>
  <c r="C426" i="2" s="1"/>
  <c r="C425" i="2"/>
  <c r="B425" i="2"/>
  <c r="B424" i="2"/>
  <c r="C424" i="2" s="1"/>
  <c r="C423" i="2"/>
  <c r="B423" i="2"/>
  <c r="B422" i="2"/>
  <c r="C422" i="2" s="1"/>
  <c r="B421" i="2"/>
  <c r="C421" i="2" s="1"/>
  <c r="B420" i="2"/>
  <c r="C420" i="2" s="1"/>
  <c r="C419" i="2"/>
  <c r="B419" i="2"/>
  <c r="C418" i="2"/>
  <c r="B418" i="2"/>
  <c r="C417" i="2"/>
  <c r="B417" i="2"/>
  <c r="B416" i="2"/>
  <c r="C416" i="2" s="1"/>
  <c r="C415" i="2"/>
  <c r="B415" i="2"/>
  <c r="B414" i="2"/>
  <c r="C414" i="2" s="1"/>
  <c r="B413" i="2"/>
  <c r="C413" i="2" s="1"/>
  <c r="B412" i="2"/>
  <c r="C412" i="2" s="1"/>
  <c r="B411" i="2"/>
  <c r="C411" i="2" s="1"/>
  <c r="B410" i="2"/>
  <c r="C410" i="2" s="1"/>
  <c r="C409" i="2"/>
  <c r="B409" i="2"/>
  <c r="B408" i="2"/>
  <c r="C408" i="2" s="1"/>
  <c r="C407" i="2"/>
  <c r="B407" i="2"/>
  <c r="B406" i="2"/>
  <c r="C406" i="2" s="1"/>
  <c r="B405" i="2"/>
  <c r="C405" i="2" s="1"/>
  <c r="B404" i="2"/>
  <c r="C404" i="2" s="1"/>
  <c r="C403" i="2"/>
  <c r="B403" i="2"/>
  <c r="C402" i="2"/>
  <c r="B402" i="2"/>
  <c r="C401" i="2"/>
  <c r="B401" i="2"/>
  <c r="B400" i="2"/>
  <c r="C400" i="2" s="1"/>
  <c r="C399" i="2"/>
  <c r="B399" i="2"/>
  <c r="B398" i="2"/>
  <c r="C398" i="2" s="1"/>
  <c r="B397" i="2"/>
  <c r="C397" i="2" s="1"/>
  <c r="B396" i="2"/>
  <c r="C396" i="2" s="1"/>
  <c r="B395" i="2"/>
  <c r="C395" i="2" s="1"/>
  <c r="C394" i="2"/>
  <c r="B394" i="2"/>
  <c r="C393" i="2"/>
  <c r="B393" i="2"/>
  <c r="B392" i="2"/>
  <c r="C392" i="2" s="1"/>
  <c r="C391" i="2"/>
  <c r="B391" i="2"/>
  <c r="B390" i="2"/>
  <c r="C390" i="2" s="1"/>
  <c r="C389" i="2"/>
  <c r="B389" i="2"/>
  <c r="B388" i="2"/>
  <c r="C388" i="2" s="1"/>
  <c r="C387" i="2"/>
  <c r="B387" i="2"/>
  <c r="C386" i="2"/>
  <c r="B386" i="2"/>
  <c r="C385" i="2"/>
  <c r="B385" i="2"/>
  <c r="B384" i="2"/>
  <c r="C384" i="2" s="1"/>
  <c r="C383" i="2"/>
  <c r="B383" i="2"/>
  <c r="B382" i="2"/>
  <c r="C382" i="2" s="1"/>
  <c r="B381" i="2"/>
  <c r="C381" i="2" s="1"/>
  <c r="B380" i="2"/>
  <c r="C380" i="2" s="1"/>
  <c r="B379" i="2"/>
  <c r="C379" i="2" s="1"/>
  <c r="C378" i="2"/>
  <c r="B378" i="2"/>
  <c r="C377" i="2"/>
  <c r="B377" i="2"/>
  <c r="C376" i="2"/>
  <c r="B376" i="2"/>
  <c r="B375" i="2"/>
  <c r="C375" i="2" s="1"/>
  <c r="B374" i="2"/>
  <c r="C374" i="2" s="1"/>
  <c r="B373" i="2"/>
  <c r="C373" i="2" s="1"/>
  <c r="B372" i="2"/>
  <c r="C372" i="2" s="1"/>
  <c r="C371" i="2"/>
  <c r="B371" i="2"/>
  <c r="B370" i="2"/>
  <c r="C370" i="2" s="1"/>
  <c r="C369" i="2"/>
  <c r="B369" i="2"/>
  <c r="B368" i="2"/>
  <c r="C368" i="2" s="1"/>
  <c r="C367" i="2"/>
  <c r="B367" i="2"/>
  <c r="B366" i="2"/>
  <c r="C366" i="2" s="1"/>
  <c r="B365" i="2"/>
  <c r="C365" i="2" s="1"/>
  <c r="C364" i="2"/>
  <c r="B364" i="2"/>
  <c r="C363" i="2"/>
  <c r="B363" i="2"/>
  <c r="C362" i="2"/>
  <c r="B362" i="2"/>
  <c r="C361" i="2"/>
  <c r="B361" i="2"/>
  <c r="B360" i="2"/>
  <c r="C360" i="2" s="1"/>
  <c r="B359" i="2"/>
  <c r="C359" i="2" s="1"/>
  <c r="B358" i="2"/>
  <c r="C358" i="2" s="1"/>
  <c r="C357" i="2"/>
  <c r="B357" i="2"/>
  <c r="B356" i="2"/>
  <c r="C356" i="2" s="1"/>
  <c r="B355" i="2"/>
  <c r="C355" i="2" s="1"/>
  <c r="B354" i="2"/>
  <c r="C354" i="2" s="1"/>
  <c r="C353" i="2"/>
  <c r="B353" i="2"/>
  <c r="B352" i="2"/>
  <c r="C352" i="2" s="1"/>
  <c r="B351" i="2"/>
  <c r="C351" i="2" s="1"/>
  <c r="B350" i="2"/>
  <c r="C350" i="2" s="1"/>
  <c r="C349" i="2"/>
  <c r="B349" i="2"/>
  <c r="C348" i="2"/>
  <c r="B348" i="2"/>
  <c r="B347" i="2"/>
  <c r="C347" i="2" s="1"/>
  <c r="B346" i="2"/>
  <c r="C346" i="2" s="1"/>
  <c r="C345" i="2"/>
  <c r="B345" i="2"/>
  <c r="C344" i="2"/>
  <c r="B344" i="2"/>
  <c r="B343" i="2"/>
  <c r="C343" i="2" s="1"/>
  <c r="B342" i="2"/>
  <c r="C342" i="2" s="1"/>
  <c r="B341" i="2"/>
  <c r="C341" i="2" s="1"/>
  <c r="B340" i="2"/>
  <c r="C340" i="2" s="1"/>
  <c r="C339" i="2"/>
  <c r="B339" i="2"/>
  <c r="B338" i="2"/>
  <c r="C338" i="2" s="1"/>
  <c r="C337" i="2"/>
  <c r="B337" i="2"/>
  <c r="B336" i="2"/>
  <c r="C336" i="2" s="1"/>
  <c r="C335" i="2"/>
  <c r="B335" i="2"/>
  <c r="B334" i="2"/>
  <c r="C334" i="2" s="1"/>
  <c r="B333" i="2"/>
  <c r="C333" i="2" s="1"/>
  <c r="C332" i="2"/>
  <c r="B332" i="2"/>
  <c r="C331" i="2"/>
  <c r="B331" i="2"/>
  <c r="C330" i="2"/>
  <c r="B330" i="2"/>
  <c r="C329" i="2"/>
  <c r="B329" i="2"/>
  <c r="B328" i="2"/>
  <c r="C328" i="2" s="1"/>
  <c r="B327" i="2"/>
  <c r="C327" i="2" s="1"/>
  <c r="B326" i="2"/>
  <c r="C326" i="2" s="1"/>
  <c r="C325" i="2"/>
  <c r="B325" i="2"/>
  <c r="B324" i="2"/>
  <c r="C324" i="2" s="1"/>
  <c r="B323" i="2"/>
  <c r="C323" i="2" s="1"/>
  <c r="B322" i="2"/>
  <c r="C322" i="2" s="1"/>
  <c r="C321" i="2"/>
  <c r="B321" i="2"/>
  <c r="B320" i="2"/>
  <c r="C320" i="2" s="1"/>
  <c r="B319" i="2"/>
  <c r="C319" i="2" s="1"/>
  <c r="B318" i="2"/>
  <c r="C318" i="2" s="1"/>
  <c r="B317" i="2"/>
  <c r="C317" i="2" s="1"/>
  <c r="B316" i="2"/>
  <c r="C316" i="2" s="1"/>
  <c r="C315" i="2"/>
  <c r="B315" i="2"/>
  <c r="B314" i="2"/>
  <c r="C314" i="2" s="1"/>
  <c r="B313" i="2"/>
  <c r="C313" i="2" s="1"/>
  <c r="C312" i="2"/>
  <c r="B312" i="2"/>
  <c r="B311" i="2"/>
  <c r="C311" i="2" s="1"/>
  <c r="B310" i="2"/>
  <c r="C310" i="2" s="1"/>
  <c r="B309" i="2"/>
  <c r="C309" i="2" s="1"/>
  <c r="B308" i="2"/>
  <c r="C308" i="2" s="1"/>
  <c r="C307" i="2"/>
  <c r="B307" i="2"/>
  <c r="B306" i="2"/>
  <c r="C306" i="2" s="1"/>
  <c r="C305" i="2"/>
  <c r="B305" i="2"/>
  <c r="C304" i="2"/>
  <c r="B304" i="2"/>
  <c r="B303" i="2"/>
  <c r="C303" i="2" s="1"/>
  <c r="B302" i="2"/>
  <c r="C302" i="2" s="1"/>
  <c r="B301" i="2"/>
  <c r="C301" i="2" s="1"/>
  <c r="C300" i="2"/>
  <c r="B300" i="2"/>
  <c r="C299" i="2"/>
  <c r="B299" i="2"/>
  <c r="B298" i="2"/>
  <c r="C298" i="2" s="1"/>
  <c r="B297" i="2"/>
  <c r="C297" i="2" s="1"/>
  <c r="C296" i="2"/>
  <c r="B296" i="2"/>
  <c r="B295" i="2"/>
  <c r="C295" i="2" s="1"/>
  <c r="C294" i="2"/>
  <c r="B294" i="2"/>
  <c r="B293" i="2"/>
  <c r="C293" i="2" s="1"/>
  <c r="B292" i="2"/>
  <c r="C292" i="2" s="1"/>
  <c r="C291" i="2"/>
  <c r="B291" i="2"/>
  <c r="B290" i="2"/>
  <c r="C290" i="2" s="1"/>
  <c r="B289" i="2"/>
  <c r="C289" i="2" s="1"/>
  <c r="C288" i="2"/>
  <c r="B288" i="2"/>
  <c r="B287" i="2"/>
  <c r="C287" i="2" s="1"/>
  <c r="B286" i="2"/>
  <c r="C286" i="2" s="1"/>
  <c r="B285" i="2"/>
  <c r="C285" i="2" s="1"/>
  <c r="C284" i="2"/>
  <c r="B284" i="2"/>
  <c r="C283" i="2"/>
  <c r="B283" i="2"/>
  <c r="B282" i="2"/>
  <c r="C282" i="2" s="1"/>
  <c r="C281" i="2"/>
  <c r="B281" i="2"/>
  <c r="C280" i="2"/>
  <c r="B280" i="2"/>
  <c r="B279" i="2"/>
  <c r="C279" i="2" s="1"/>
  <c r="C278" i="2"/>
  <c r="B278" i="2"/>
  <c r="B277" i="2"/>
  <c r="C277" i="2" s="1"/>
  <c r="B276" i="2"/>
  <c r="C276" i="2" s="1"/>
  <c r="C275" i="2"/>
  <c r="B275" i="2"/>
  <c r="B274" i="2"/>
  <c r="C274" i="2" s="1"/>
  <c r="B273" i="2"/>
  <c r="C273" i="2" s="1"/>
  <c r="C272" i="2"/>
  <c r="B272" i="2"/>
  <c r="B271" i="2"/>
  <c r="C271" i="2" s="1"/>
  <c r="B270" i="2"/>
  <c r="C270" i="2" s="1"/>
  <c r="B269" i="2"/>
  <c r="C269" i="2" s="1"/>
  <c r="C268" i="2"/>
  <c r="B268" i="2"/>
  <c r="C267" i="2"/>
  <c r="B267" i="2"/>
  <c r="B266" i="2"/>
  <c r="C266" i="2" s="1"/>
  <c r="B265" i="2"/>
  <c r="C265" i="2" s="1"/>
  <c r="C264" i="2"/>
  <c r="B264" i="2"/>
  <c r="B263" i="2"/>
  <c r="C263" i="2" s="1"/>
  <c r="C262" i="2"/>
  <c r="B262" i="2"/>
  <c r="B261" i="2"/>
  <c r="C261" i="2" s="1"/>
  <c r="B260" i="2"/>
  <c r="C260" i="2" s="1"/>
  <c r="C259" i="2"/>
  <c r="B259" i="2"/>
  <c r="B258" i="2"/>
  <c r="C258" i="2" s="1"/>
  <c r="C257" i="2"/>
  <c r="B257" i="2"/>
  <c r="C256" i="2"/>
  <c r="B256" i="2"/>
  <c r="B255" i="2"/>
  <c r="C255" i="2" s="1"/>
  <c r="B254" i="2"/>
  <c r="C254" i="2" s="1"/>
  <c r="B253" i="2"/>
  <c r="C253" i="2" s="1"/>
  <c r="C252" i="2"/>
  <c r="B252" i="2"/>
  <c r="C251" i="2"/>
  <c r="B251" i="2"/>
  <c r="B250" i="2"/>
  <c r="C250" i="2" s="1"/>
  <c r="B249" i="2"/>
  <c r="C249" i="2" s="1"/>
  <c r="C248" i="2"/>
  <c r="B248" i="2"/>
  <c r="B247" i="2"/>
  <c r="C247" i="2" s="1"/>
  <c r="B246" i="2"/>
  <c r="C246" i="2" s="1"/>
  <c r="B245" i="2"/>
  <c r="C245" i="2" s="1"/>
  <c r="C244" i="2"/>
  <c r="B244" i="2"/>
  <c r="C243" i="2"/>
  <c r="B243" i="2"/>
  <c r="B242" i="2"/>
  <c r="C242" i="2" s="1"/>
  <c r="C241" i="2"/>
  <c r="B241" i="2"/>
  <c r="C240" i="2"/>
  <c r="B240" i="2"/>
  <c r="B239" i="2"/>
  <c r="C239" i="2" s="1"/>
  <c r="B238" i="2"/>
  <c r="C238" i="2" s="1"/>
  <c r="B237" i="2"/>
  <c r="C237" i="2" s="1"/>
  <c r="C236" i="2"/>
  <c r="B236" i="2"/>
  <c r="C235" i="2"/>
  <c r="B235" i="2"/>
  <c r="B234" i="2"/>
  <c r="C234" i="2" s="1"/>
  <c r="B233" i="2"/>
  <c r="C233" i="2" s="1"/>
  <c r="C232" i="2"/>
  <c r="B232" i="2"/>
  <c r="B231" i="2"/>
  <c r="C231" i="2" s="1"/>
  <c r="C230" i="2"/>
  <c r="B230" i="2"/>
  <c r="B229" i="2"/>
  <c r="C229" i="2" s="1"/>
  <c r="B228" i="2"/>
  <c r="C228" i="2" s="1"/>
  <c r="C227" i="2"/>
  <c r="B227" i="2"/>
  <c r="B226" i="2"/>
  <c r="C226" i="2" s="1"/>
  <c r="C225" i="2"/>
  <c r="B225" i="2"/>
  <c r="C224" i="2"/>
  <c r="B224" i="2"/>
  <c r="B223" i="2"/>
  <c r="C223" i="2" s="1"/>
  <c r="C222" i="2"/>
  <c r="B222" i="2"/>
  <c r="B221" i="2"/>
  <c r="C221" i="2" s="1"/>
  <c r="C220" i="2"/>
  <c r="B220" i="2"/>
  <c r="C219" i="2"/>
  <c r="B219" i="2"/>
  <c r="B218" i="2"/>
  <c r="C218" i="2" s="1"/>
  <c r="C217" i="2"/>
  <c r="B217" i="2"/>
  <c r="C216" i="2"/>
  <c r="B216" i="2"/>
  <c r="B215" i="2"/>
  <c r="C215" i="2" s="1"/>
  <c r="B214" i="2"/>
  <c r="C214" i="2" s="1"/>
  <c r="B213" i="2"/>
  <c r="C213" i="2" s="1"/>
  <c r="B212" i="2"/>
  <c r="C212" i="2" s="1"/>
  <c r="C211" i="2"/>
  <c r="B211" i="2"/>
  <c r="B210" i="2"/>
  <c r="C210" i="2" s="1"/>
  <c r="B209" i="2"/>
  <c r="C209" i="2" s="1"/>
  <c r="C208" i="2"/>
  <c r="B208" i="2"/>
  <c r="C207" i="2"/>
  <c r="B207" i="2"/>
  <c r="B206" i="2"/>
  <c r="C206" i="2" s="1"/>
  <c r="B205" i="2"/>
  <c r="C205" i="2" s="1"/>
  <c r="C204" i="2"/>
  <c r="B204" i="2"/>
  <c r="C203" i="2"/>
  <c r="B203" i="2"/>
  <c r="C202" i="2"/>
  <c r="B202" i="2"/>
  <c r="B201" i="2"/>
  <c r="C201" i="2" s="1"/>
  <c r="C200" i="2"/>
  <c r="B200" i="2"/>
  <c r="B199" i="2"/>
  <c r="C199" i="2" s="1"/>
  <c r="B198" i="2"/>
  <c r="C198" i="2" s="1"/>
  <c r="B197" i="2"/>
  <c r="C197" i="2" s="1"/>
  <c r="C196" i="2"/>
  <c r="B196" i="2"/>
  <c r="B195" i="2"/>
  <c r="C195" i="2" s="1"/>
  <c r="C194" i="2"/>
  <c r="B194" i="2"/>
  <c r="B193" i="2"/>
  <c r="C193" i="2" s="1"/>
  <c r="C192" i="2"/>
  <c r="B192" i="2"/>
  <c r="C191" i="2"/>
  <c r="B191" i="2"/>
  <c r="B190" i="2"/>
  <c r="C190" i="2" s="1"/>
  <c r="B189" i="2"/>
  <c r="C189" i="2" s="1"/>
  <c r="C188" i="2"/>
  <c r="B188" i="2"/>
  <c r="B187" i="2"/>
  <c r="C187" i="2" s="1"/>
  <c r="B186" i="2"/>
  <c r="C186" i="2" s="1"/>
  <c r="B185" i="2"/>
  <c r="C185" i="2" s="1"/>
  <c r="C184" i="2"/>
  <c r="B184" i="2"/>
  <c r="B183" i="2"/>
  <c r="C183" i="2" s="1"/>
  <c r="B182" i="2"/>
  <c r="C182" i="2" s="1"/>
  <c r="B181" i="2"/>
  <c r="C181" i="2" s="1"/>
  <c r="C180" i="2"/>
  <c r="B180" i="2"/>
  <c r="C179" i="2"/>
  <c r="B179" i="2"/>
  <c r="B178" i="2"/>
  <c r="C178" i="2" s="1"/>
  <c r="B177" i="2"/>
  <c r="C177" i="2" s="1"/>
  <c r="C176" i="2"/>
  <c r="B176" i="2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C168" i="2"/>
  <c r="B168" i="2"/>
  <c r="C167" i="2"/>
  <c r="B167" i="2"/>
  <c r="C166" i="2"/>
  <c r="B166" i="2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C158" i="2"/>
  <c r="B158" i="2"/>
  <c r="C157" i="2"/>
  <c r="B157" i="2"/>
  <c r="B156" i="2"/>
  <c r="C156" i="2" s="1"/>
  <c r="B155" i="2"/>
  <c r="C155" i="2" s="1"/>
  <c r="C154" i="2"/>
  <c r="B154" i="2"/>
  <c r="B153" i="2"/>
  <c r="C153" i="2" s="1"/>
  <c r="C152" i="2"/>
  <c r="B152" i="2"/>
  <c r="B151" i="2"/>
  <c r="C151" i="2" s="1"/>
  <c r="B150" i="2"/>
  <c r="C150" i="2" s="1"/>
  <c r="C149" i="2"/>
  <c r="B149" i="2"/>
  <c r="B148" i="2"/>
  <c r="C148" i="2" s="1"/>
  <c r="B147" i="2"/>
  <c r="C147" i="2" s="1"/>
  <c r="C146" i="2"/>
  <c r="B146" i="2"/>
  <c r="B145" i="2"/>
  <c r="C145" i="2" s="1"/>
  <c r="B144" i="2"/>
  <c r="C144" i="2" s="1"/>
  <c r="B143" i="2"/>
  <c r="C143" i="2" s="1"/>
  <c r="B142" i="2"/>
  <c r="C142" i="2" s="1"/>
  <c r="C141" i="2"/>
  <c r="B141" i="2"/>
  <c r="B140" i="2"/>
  <c r="C140" i="2" s="1"/>
  <c r="C139" i="2"/>
  <c r="B139" i="2"/>
  <c r="C138" i="2"/>
  <c r="B138" i="2"/>
  <c r="B137" i="2"/>
  <c r="C137" i="2" s="1"/>
  <c r="B136" i="2"/>
  <c r="C136" i="2" s="1"/>
  <c r="B135" i="2"/>
  <c r="C135" i="2" s="1"/>
  <c r="B134" i="2"/>
  <c r="C134" i="2" s="1"/>
  <c r="C133" i="2"/>
  <c r="B133" i="2"/>
  <c r="B132" i="2"/>
  <c r="C132" i="2" s="1"/>
  <c r="C131" i="2"/>
  <c r="B131" i="2"/>
  <c r="C130" i="2"/>
  <c r="B130" i="2"/>
  <c r="B129" i="2"/>
  <c r="C129" i="2" s="1"/>
  <c r="B128" i="2"/>
  <c r="C128" i="2" s="1"/>
  <c r="B127" i="2"/>
  <c r="C127" i="2" s="1"/>
  <c r="C126" i="2"/>
  <c r="B126" i="2"/>
  <c r="C125" i="2"/>
  <c r="B125" i="2"/>
  <c r="B124" i="2"/>
  <c r="C124" i="2" s="1"/>
  <c r="B123" i="2"/>
  <c r="C123" i="2" s="1"/>
  <c r="C122" i="2"/>
  <c r="B122" i="2"/>
  <c r="B121" i="2"/>
  <c r="C121" i="2" s="1"/>
  <c r="B120" i="2"/>
  <c r="C120" i="2" s="1"/>
  <c r="B119" i="2"/>
  <c r="C119" i="2" s="1"/>
  <c r="C118" i="2"/>
  <c r="B118" i="2"/>
  <c r="C117" i="2"/>
  <c r="B117" i="2"/>
  <c r="B116" i="2"/>
  <c r="C116" i="2" s="1"/>
  <c r="B115" i="2"/>
  <c r="C115" i="2" s="1"/>
  <c r="C114" i="2"/>
  <c r="B114" i="2"/>
  <c r="B113" i="2"/>
  <c r="C113" i="2" s="1"/>
  <c r="B112" i="2"/>
  <c r="C112" i="2" s="1"/>
  <c r="B111" i="2"/>
  <c r="C111" i="2" s="1"/>
  <c r="C110" i="2"/>
  <c r="B110" i="2"/>
  <c r="C109" i="2"/>
  <c r="B109" i="2"/>
  <c r="B108" i="2"/>
  <c r="C108" i="2" s="1"/>
  <c r="B107" i="2"/>
  <c r="C107" i="2" s="1"/>
  <c r="C106" i="2"/>
  <c r="B106" i="2"/>
  <c r="B105" i="2"/>
  <c r="C105" i="2" s="1"/>
  <c r="B104" i="2"/>
  <c r="C104" i="2" s="1"/>
  <c r="B103" i="2"/>
  <c r="C103" i="2" s="1"/>
  <c r="B102" i="2"/>
  <c r="C102" i="2" s="1"/>
  <c r="C101" i="2"/>
  <c r="B101" i="2"/>
  <c r="B100" i="2"/>
  <c r="C100" i="2" s="1"/>
  <c r="B99" i="2"/>
  <c r="C99" i="2" s="1"/>
  <c r="C98" i="2"/>
  <c r="B98" i="2"/>
  <c r="B97" i="2"/>
  <c r="C97" i="2" s="1"/>
  <c r="C96" i="2"/>
  <c r="B96" i="2"/>
  <c r="B95" i="2"/>
  <c r="C95" i="2" s="1"/>
  <c r="B94" i="2"/>
  <c r="C94" i="2" s="1"/>
  <c r="C93" i="2"/>
  <c r="B93" i="2"/>
  <c r="B92" i="2"/>
  <c r="C92" i="2" s="1"/>
  <c r="B91" i="2"/>
  <c r="C91" i="2" s="1"/>
  <c r="C90" i="2"/>
  <c r="B90" i="2"/>
  <c r="B89" i="2"/>
  <c r="C89" i="2" s="1"/>
  <c r="C88" i="2"/>
  <c r="B88" i="2"/>
  <c r="B87" i="2"/>
  <c r="C87" i="2" s="1"/>
  <c r="B86" i="2"/>
  <c r="C86" i="2" s="1"/>
  <c r="C85" i="2"/>
  <c r="B85" i="2"/>
  <c r="B84" i="2"/>
  <c r="C84" i="2" s="1"/>
  <c r="C83" i="2"/>
  <c r="B83" i="2"/>
  <c r="C82" i="2"/>
  <c r="B82" i="2"/>
  <c r="B81" i="2"/>
  <c r="C81" i="2" s="1"/>
  <c r="B80" i="2"/>
  <c r="C80" i="2" s="1"/>
  <c r="B79" i="2"/>
  <c r="C79" i="2" s="1"/>
  <c r="C78" i="2"/>
  <c r="B78" i="2"/>
  <c r="C77" i="2"/>
  <c r="B77" i="2"/>
  <c r="B76" i="2"/>
  <c r="C76" i="2" s="1"/>
  <c r="C75" i="2"/>
  <c r="B75" i="2"/>
  <c r="C74" i="2"/>
  <c r="B74" i="2"/>
  <c r="B73" i="2"/>
  <c r="C73" i="2" s="1"/>
  <c r="B72" i="2"/>
  <c r="C72" i="2" s="1"/>
  <c r="B71" i="2"/>
  <c r="C71" i="2" s="1"/>
  <c r="C70" i="2"/>
  <c r="B70" i="2"/>
  <c r="C69" i="2"/>
  <c r="B69" i="2"/>
  <c r="B68" i="2"/>
  <c r="C68" i="2" s="1"/>
  <c r="C67" i="2"/>
  <c r="B67" i="2"/>
  <c r="B66" i="2"/>
  <c r="C66" i="2" s="1"/>
  <c r="D41" i="2"/>
  <c r="C41" i="2"/>
  <c r="G29" i="2"/>
  <c r="C35" i="2" s="1"/>
  <c r="F29" i="2"/>
  <c r="E29" i="2"/>
  <c r="D29" i="2"/>
  <c r="C29" i="2"/>
  <c r="F28" i="2"/>
  <c r="G28" i="2" s="1"/>
  <c r="C34" i="2" s="1"/>
  <c r="D28" i="2"/>
  <c r="E28" i="2" s="1"/>
  <c r="B34" i="2" s="1"/>
  <c r="C28" i="2"/>
  <c r="G27" i="2"/>
  <c r="F27" i="2"/>
  <c r="E27" i="2"/>
  <c r="B33" i="2" s="1"/>
  <c r="D27" i="2"/>
  <c r="C27" i="2"/>
  <c r="B21" i="2"/>
  <c r="C20" i="2"/>
  <c r="B20" i="2"/>
  <c r="C19" i="2"/>
  <c r="B19" i="2"/>
  <c r="C15" i="2"/>
  <c r="C14" i="2"/>
  <c r="B14" i="2"/>
  <c r="C1064" i="1"/>
  <c r="B1064" i="1"/>
  <c r="B1063" i="1"/>
  <c r="C1063" i="1" s="1"/>
  <c r="B1062" i="1"/>
  <c r="C1062" i="1" s="1"/>
  <c r="B1061" i="1"/>
  <c r="C1061" i="1" s="1"/>
  <c r="B1060" i="1"/>
  <c r="C1060" i="1" s="1"/>
  <c r="C1059" i="1"/>
  <c r="B1059" i="1"/>
  <c r="C1058" i="1"/>
  <c r="B1058" i="1"/>
  <c r="C1057" i="1"/>
  <c r="B1057" i="1"/>
  <c r="C1056" i="1"/>
  <c r="B1056" i="1"/>
  <c r="B1055" i="1"/>
  <c r="C1055" i="1" s="1"/>
  <c r="B1054" i="1"/>
  <c r="C1054" i="1" s="1"/>
  <c r="B1053" i="1"/>
  <c r="C1053" i="1" s="1"/>
  <c r="B1052" i="1"/>
  <c r="C1052" i="1" s="1"/>
  <c r="C1051" i="1"/>
  <c r="B1051" i="1"/>
  <c r="B1050" i="1"/>
  <c r="C1050" i="1" s="1"/>
  <c r="C1049" i="1"/>
  <c r="B1049" i="1"/>
  <c r="C1048" i="1"/>
  <c r="B1048" i="1"/>
  <c r="C1047" i="1"/>
  <c r="B1047" i="1"/>
  <c r="C1046" i="1"/>
  <c r="B1046" i="1"/>
  <c r="B1045" i="1"/>
  <c r="C1045" i="1" s="1"/>
  <c r="C1044" i="1"/>
  <c r="B1044" i="1"/>
  <c r="C1043" i="1"/>
  <c r="B1043" i="1"/>
  <c r="B1042" i="1"/>
  <c r="C1042" i="1" s="1"/>
  <c r="B1041" i="1"/>
  <c r="C1041" i="1" s="1"/>
  <c r="C1040" i="1"/>
  <c r="B1040" i="1"/>
  <c r="B1039" i="1"/>
  <c r="C1039" i="1" s="1"/>
  <c r="B1038" i="1"/>
  <c r="C1038" i="1" s="1"/>
  <c r="B1037" i="1"/>
  <c r="C1037" i="1" s="1"/>
  <c r="B1036" i="1"/>
  <c r="C1036" i="1" s="1"/>
  <c r="C1035" i="1"/>
  <c r="B1035" i="1"/>
  <c r="B1034" i="1"/>
  <c r="C1034" i="1" s="1"/>
  <c r="C1033" i="1"/>
  <c r="B1033" i="1"/>
  <c r="C1032" i="1"/>
  <c r="B1032" i="1"/>
  <c r="B1031" i="1"/>
  <c r="C1031" i="1" s="1"/>
  <c r="B1030" i="1"/>
  <c r="C1030" i="1" s="1"/>
  <c r="B1029" i="1"/>
  <c r="C1029" i="1" s="1"/>
  <c r="B1028" i="1"/>
  <c r="C1028" i="1" s="1"/>
  <c r="C1027" i="1"/>
  <c r="B1027" i="1"/>
  <c r="B1026" i="1"/>
  <c r="C1026" i="1" s="1"/>
  <c r="C1025" i="1"/>
  <c r="B1025" i="1"/>
  <c r="C1024" i="1"/>
  <c r="B1024" i="1"/>
  <c r="B1023" i="1"/>
  <c r="C1023" i="1" s="1"/>
  <c r="C1022" i="1"/>
  <c r="B1022" i="1"/>
  <c r="B1021" i="1"/>
  <c r="C1021" i="1" s="1"/>
  <c r="C1020" i="1"/>
  <c r="B1020" i="1"/>
  <c r="C1019" i="1"/>
  <c r="B1019" i="1"/>
  <c r="C1018" i="1"/>
  <c r="B1018" i="1"/>
  <c r="B1017" i="1"/>
  <c r="C1017" i="1" s="1"/>
  <c r="C1016" i="1"/>
  <c r="B1016" i="1"/>
  <c r="B1015" i="1"/>
  <c r="C1015" i="1" s="1"/>
  <c r="B1014" i="1"/>
  <c r="C1014" i="1" s="1"/>
  <c r="B1013" i="1"/>
  <c r="C1013" i="1" s="1"/>
  <c r="B1012" i="1"/>
  <c r="C1012" i="1" s="1"/>
  <c r="C1011" i="1"/>
  <c r="B1011" i="1"/>
  <c r="B1010" i="1"/>
  <c r="C1010" i="1" s="1"/>
  <c r="B1009" i="1"/>
  <c r="C1009" i="1" s="1"/>
  <c r="C1008" i="1"/>
  <c r="B1008" i="1"/>
  <c r="C1007" i="1"/>
  <c r="B1007" i="1"/>
  <c r="B1006" i="1"/>
  <c r="C1006" i="1" s="1"/>
  <c r="B1005" i="1"/>
  <c r="C1005" i="1" s="1"/>
  <c r="B1004" i="1"/>
  <c r="C1004" i="1" s="1"/>
  <c r="C1003" i="1"/>
  <c r="B1003" i="1"/>
  <c r="B1002" i="1"/>
  <c r="C1002" i="1" s="1"/>
  <c r="B1001" i="1"/>
  <c r="C1001" i="1" s="1"/>
  <c r="C1000" i="1"/>
  <c r="B1000" i="1"/>
  <c r="B999" i="1"/>
  <c r="C999" i="1" s="1"/>
  <c r="B998" i="1"/>
  <c r="C998" i="1" s="1"/>
  <c r="B997" i="1"/>
  <c r="C997" i="1" s="1"/>
  <c r="B996" i="1"/>
  <c r="C996" i="1" s="1"/>
  <c r="C995" i="1"/>
  <c r="B995" i="1"/>
  <c r="C994" i="1"/>
  <c r="B994" i="1"/>
  <c r="C993" i="1"/>
  <c r="B993" i="1"/>
  <c r="C992" i="1"/>
  <c r="B992" i="1"/>
  <c r="B991" i="1"/>
  <c r="C991" i="1" s="1"/>
  <c r="B990" i="1"/>
  <c r="C990" i="1" s="1"/>
  <c r="B989" i="1"/>
  <c r="C989" i="1" s="1"/>
  <c r="B988" i="1"/>
  <c r="C988" i="1" s="1"/>
  <c r="C987" i="1"/>
  <c r="B987" i="1"/>
  <c r="B986" i="1"/>
  <c r="C986" i="1" s="1"/>
  <c r="B985" i="1"/>
  <c r="C985" i="1" s="1"/>
  <c r="C984" i="1"/>
  <c r="B984" i="1"/>
  <c r="C983" i="1"/>
  <c r="B983" i="1"/>
  <c r="C982" i="1"/>
  <c r="B982" i="1"/>
  <c r="B981" i="1"/>
  <c r="C981" i="1" s="1"/>
  <c r="C980" i="1"/>
  <c r="B980" i="1"/>
  <c r="C979" i="1"/>
  <c r="B979" i="1"/>
  <c r="B978" i="1"/>
  <c r="C978" i="1" s="1"/>
  <c r="B977" i="1"/>
  <c r="C977" i="1" s="1"/>
  <c r="C976" i="1"/>
  <c r="B976" i="1"/>
  <c r="B975" i="1"/>
  <c r="C975" i="1" s="1"/>
  <c r="B974" i="1"/>
  <c r="C974" i="1" s="1"/>
  <c r="B973" i="1"/>
  <c r="C973" i="1" s="1"/>
  <c r="B972" i="1"/>
  <c r="C972" i="1" s="1"/>
  <c r="C971" i="1"/>
  <c r="B971" i="1"/>
  <c r="C970" i="1"/>
  <c r="B970" i="1"/>
  <c r="C969" i="1"/>
  <c r="B969" i="1"/>
  <c r="C968" i="1"/>
  <c r="B968" i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C961" i="1"/>
  <c r="B961" i="1"/>
  <c r="C960" i="1"/>
  <c r="B960" i="1"/>
  <c r="B959" i="1"/>
  <c r="C959" i="1" s="1"/>
  <c r="B958" i="1"/>
  <c r="C958" i="1" s="1"/>
  <c r="B957" i="1"/>
  <c r="C957" i="1" s="1"/>
  <c r="C956" i="1"/>
  <c r="B956" i="1"/>
  <c r="B955" i="1"/>
  <c r="C955" i="1" s="1"/>
  <c r="B954" i="1"/>
  <c r="C954" i="1" s="1"/>
  <c r="B953" i="1"/>
  <c r="C953" i="1" s="1"/>
  <c r="C952" i="1"/>
  <c r="B952" i="1"/>
  <c r="B951" i="1"/>
  <c r="C951" i="1" s="1"/>
  <c r="B950" i="1"/>
  <c r="C950" i="1" s="1"/>
  <c r="C949" i="1"/>
  <c r="B949" i="1"/>
  <c r="B948" i="1"/>
  <c r="C948" i="1" s="1"/>
  <c r="B947" i="1"/>
  <c r="C947" i="1" s="1"/>
  <c r="B946" i="1"/>
  <c r="C946" i="1" s="1"/>
  <c r="B945" i="1"/>
  <c r="C945" i="1" s="1"/>
  <c r="C944" i="1"/>
  <c r="B944" i="1"/>
  <c r="B943" i="1"/>
  <c r="C943" i="1" s="1"/>
  <c r="B942" i="1"/>
  <c r="C942" i="1" s="1"/>
  <c r="C941" i="1"/>
  <c r="B941" i="1"/>
  <c r="B940" i="1"/>
  <c r="C940" i="1" s="1"/>
  <c r="C939" i="1"/>
  <c r="B939" i="1"/>
  <c r="B938" i="1"/>
  <c r="C938" i="1" s="1"/>
  <c r="B937" i="1"/>
  <c r="C937" i="1" s="1"/>
  <c r="C936" i="1"/>
  <c r="B936" i="1"/>
  <c r="B935" i="1"/>
  <c r="C935" i="1" s="1"/>
  <c r="B934" i="1"/>
  <c r="C934" i="1" s="1"/>
  <c r="C933" i="1"/>
  <c r="B933" i="1"/>
  <c r="B932" i="1"/>
  <c r="C932" i="1" s="1"/>
  <c r="C931" i="1"/>
  <c r="B931" i="1"/>
  <c r="B930" i="1"/>
  <c r="C930" i="1" s="1"/>
  <c r="B929" i="1"/>
  <c r="C929" i="1" s="1"/>
  <c r="C928" i="1"/>
  <c r="B928" i="1"/>
  <c r="B927" i="1"/>
  <c r="C927" i="1" s="1"/>
  <c r="C926" i="1"/>
  <c r="B926" i="1"/>
  <c r="C925" i="1"/>
  <c r="B925" i="1"/>
  <c r="B924" i="1"/>
  <c r="C924" i="1" s="1"/>
  <c r="B923" i="1"/>
  <c r="C923" i="1" s="1"/>
  <c r="B922" i="1"/>
  <c r="C922" i="1" s="1"/>
  <c r="B921" i="1"/>
  <c r="C921" i="1" s="1"/>
  <c r="C920" i="1"/>
  <c r="B920" i="1"/>
  <c r="B919" i="1"/>
  <c r="C919" i="1" s="1"/>
  <c r="B918" i="1"/>
  <c r="C918" i="1" s="1"/>
  <c r="C917" i="1"/>
  <c r="B917" i="1"/>
  <c r="B916" i="1"/>
  <c r="C916" i="1" s="1"/>
  <c r="C915" i="1"/>
  <c r="B915" i="1"/>
  <c r="B914" i="1"/>
  <c r="C914" i="1" s="1"/>
  <c r="C913" i="1"/>
  <c r="B913" i="1"/>
  <c r="C912" i="1"/>
  <c r="B912" i="1"/>
  <c r="B911" i="1"/>
  <c r="C911" i="1" s="1"/>
  <c r="C910" i="1"/>
  <c r="B910" i="1"/>
  <c r="C909" i="1"/>
  <c r="B909" i="1"/>
  <c r="B908" i="1"/>
  <c r="C908" i="1" s="1"/>
  <c r="B907" i="1"/>
  <c r="C907" i="1" s="1"/>
  <c r="B906" i="1"/>
  <c r="C906" i="1" s="1"/>
  <c r="B905" i="1"/>
  <c r="C905" i="1" s="1"/>
  <c r="C904" i="1"/>
  <c r="B904" i="1"/>
  <c r="B903" i="1"/>
  <c r="C903" i="1" s="1"/>
  <c r="B902" i="1"/>
  <c r="C902" i="1" s="1"/>
  <c r="C901" i="1"/>
  <c r="B901" i="1"/>
  <c r="B900" i="1"/>
  <c r="C900" i="1" s="1"/>
  <c r="B899" i="1"/>
  <c r="C899" i="1" s="1"/>
  <c r="B898" i="1"/>
  <c r="C898" i="1" s="1"/>
  <c r="C897" i="1"/>
  <c r="B897" i="1"/>
  <c r="B896" i="1"/>
  <c r="C896" i="1" s="1"/>
  <c r="B895" i="1"/>
  <c r="C895" i="1" s="1"/>
  <c r="C894" i="1"/>
  <c r="B894" i="1"/>
  <c r="C893" i="1"/>
  <c r="B893" i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C886" i="1"/>
  <c r="B886" i="1"/>
  <c r="C885" i="1"/>
  <c r="B885" i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C877" i="1"/>
  <c r="B877" i="1"/>
  <c r="B876" i="1"/>
  <c r="C876" i="1" s="1"/>
  <c r="C875" i="1"/>
  <c r="B875" i="1"/>
  <c r="B874" i="1"/>
  <c r="C874" i="1" s="1"/>
  <c r="B873" i="1"/>
  <c r="C873" i="1" s="1"/>
  <c r="C872" i="1"/>
  <c r="B872" i="1"/>
  <c r="B871" i="1"/>
  <c r="C871" i="1" s="1"/>
  <c r="B870" i="1"/>
  <c r="C870" i="1" s="1"/>
  <c r="C869" i="1"/>
  <c r="B869" i="1"/>
  <c r="B868" i="1"/>
  <c r="C868" i="1" s="1"/>
  <c r="B867" i="1"/>
  <c r="C867" i="1" s="1"/>
  <c r="B866" i="1"/>
  <c r="C866" i="1" s="1"/>
  <c r="C865" i="1"/>
  <c r="B865" i="1"/>
  <c r="C864" i="1"/>
  <c r="B864" i="1"/>
  <c r="B863" i="1"/>
  <c r="C863" i="1" s="1"/>
  <c r="C862" i="1"/>
  <c r="B862" i="1"/>
  <c r="C861" i="1"/>
  <c r="B861" i="1"/>
  <c r="B860" i="1"/>
  <c r="C860" i="1" s="1"/>
  <c r="C859" i="1"/>
  <c r="B859" i="1"/>
  <c r="B858" i="1"/>
  <c r="C858" i="1" s="1"/>
  <c r="B857" i="1"/>
  <c r="C857" i="1" s="1"/>
  <c r="B856" i="1"/>
  <c r="C856" i="1" s="1"/>
  <c r="B855" i="1"/>
  <c r="C855" i="1" s="1"/>
  <c r="B854" i="1"/>
  <c r="C854" i="1" s="1"/>
  <c r="C853" i="1"/>
  <c r="B853" i="1"/>
  <c r="B852" i="1"/>
  <c r="C852" i="1" s="1"/>
  <c r="C851" i="1"/>
  <c r="B851" i="1"/>
  <c r="B850" i="1"/>
  <c r="C850" i="1" s="1"/>
  <c r="C849" i="1"/>
  <c r="B849" i="1"/>
  <c r="C848" i="1"/>
  <c r="B848" i="1"/>
  <c r="B847" i="1"/>
  <c r="C847" i="1" s="1"/>
  <c r="C846" i="1"/>
  <c r="B846" i="1"/>
  <c r="C845" i="1"/>
  <c r="B845" i="1"/>
  <c r="B844" i="1"/>
  <c r="C844" i="1" s="1"/>
  <c r="C843" i="1"/>
  <c r="B843" i="1"/>
  <c r="B842" i="1"/>
  <c r="C842" i="1" s="1"/>
  <c r="B841" i="1"/>
  <c r="C841" i="1" s="1"/>
  <c r="B840" i="1"/>
  <c r="C840" i="1" s="1"/>
  <c r="B839" i="1"/>
  <c r="C839" i="1" s="1"/>
  <c r="B838" i="1"/>
  <c r="C838" i="1" s="1"/>
  <c r="C837" i="1"/>
  <c r="B837" i="1"/>
  <c r="C836" i="1"/>
  <c r="B836" i="1"/>
  <c r="C835" i="1"/>
  <c r="B835" i="1"/>
  <c r="B834" i="1"/>
  <c r="C834" i="1" s="1"/>
  <c r="C833" i="1"/>
  <c r="B833" i="1"/>
  <c r="C832" i="1"/>
  <c r="B832" i="1"/>
  <c r="B831" i="1"/>
  <c r="C831" i="1" s="1"/>
  <c r="C830" i="1"/>
  <c r="B830" i="1"/>
  <c r="C829" i="1"/>
  <c r="B829" i="1"/>
  <c r="B828" i="1"/>
  <c r="C828" i="1" s="1"/>
  <c r="C827" i="1"/>
  <c r="B827" i="1"/>
  <c r="B826" i="1"/>
  <c r="C826" i="1" s="1"/>
  <c r="B825" i="1"/>
  <c r="C825" i="1" s="1"/>
  <c r="B824" i="1"/>
  <c r="C824" i="1" s="1"/>
  <c r="B823" i="1"/>
  <c r="C823" i="1" s="1"/>
  <c r="C822" i="1"/>
  <c r="B822" i="1"/>
  <c r="C821" i="1"/>
  <c r="B821" i="1"/>
  <c r="B820" i="1"/>
  <c r="C820" i="1" s="1"/>
  <c r="B819" i="1"/>
  <c r="C819" i="1" s="1"/>
  <c r="B818" i="1"/>
  <c r="C818" i="1" s="1"/>
  <c r="C817" i="1"/>
  <c r="B817" i="1"/>
  <c r="C816" i="1"/>
  <c r="B816" i="1"/>
  <c r="B815" i="1"/>
  <c r="C815" i="1" s="1"/>
  <c r="C814" i="1"/>
  <c r="B814" i="1"/>
  <c r="C813" i="1"/>
  <c r="B813" i="1"/>
  <c r="B812" i="1"/>
  <c r="C812" i="1" s="1"/>
  <c r="C811" i="1"/>
  <c r="B811" i="1"/>
  <c r="B810" i="1"/>
  <c r="C810" i="1" s="1"/>
  <c r="B809" i="1"/>
  <c r="C809" i="1" s="1"/>
  <c r="B808" i="1"/>
  <c r="C808" i="1" s="1"/>
  <c r="B807" i="1"/>
  <c r="C807" i="1" s="1"/>
  <c r="B806" i="1"/>
  <c r="C806" i="1" s="1"/>
  <c r="C805" i="1"/>
  <c r="B805" i="1"/>
  <c r="C804" i="1"/>
  <c r="B804" i="1"/>
  <c r="B803" i="1"/>
  <c r="C803" i="1" s="1"/>
  <c r="B802" i="1"/>
  <c r="C802" i="1" s="1"/>
  <c r="B801" i="1"/>
  <c r="C801" i="1" s="1"/>
  <c r="C800" i="1"/>
  <c r="B800" i="1"/>
  <c r="B799" i="1"/>
  <c r="C799" i="1" s="1"/>
  <c r="C798" i="1"/>
  <c r="B798" i="1"/>
  <c r="C797" i="1"/>
  <c r="B797" i="1"/>
  <c r="B796" i="1"/>
  <c r="C796" i="1" s="1"/>
  <c r="C795" i="1"/>
  <c r="B795" i="1"/>
  <c r="B794" i="1"/>
  <c r="C794" i="1" s="1"/>
  <c r="B793" i="1"/>
  <c r="C793" i="1" s="1"/>
  <c r="C792" i="1"/>
  <c r="B792" i="1"/>
  <c r="B791" i="1"/>
  <c r="C791" i="1" s="1"/>
  <c r="C790" i="1"/>
  <c r="B790" i="1"/>
  <c r="C789" i="1"/>
  <c r="B789" i="1"/>
  <c r="C788" i="1"/>
  <c r="B788" i="1"/>
  <c r="B787" i="1"/>
  <c r="C787" i="1" s="1"/>
  <c r="B786" i="1"/>
  <c r="C786" i="1" s="1"/>
  <c r="C785" i="1"/>
  <c r="B785" i="1"/>
  <c r="C784" i="1"/>
  <c r="B784" i="1"/>
  <c r="B783" i="1"/>
  <c r="C783" i="1" s="1"/>
  <c r="C782" i="1"/>
  <c r="B782" i="1"/>
  <c r="C781" i="1"/>
  <c r="B781" i="1"/>
  <c r="B780" i="1"/>
  <c r="C780" i="1" s="1"/>
  <c r="B779" i="1"/>
  <c r="C779" i="1" s="1"/>
  <c r="B778" i="1"/>
  <c r="C778" i="1" s="1"/>
  <c r="B777" i="1"/>
  <c r="C777" i="1" s="1"/>
  <c r="C776" i="1"/>
  <c r="B776" i="1"/>
  <c r="B775" i="1"/>
  <c r="C775" i="1" s="1"/>
  <c r="B774" i="1"/>
  <c r="C774" i="1" s="1"/>
  <c r="C773" i="1"/>
  <c r="B773" i="1"/>
  <c r="B772" i="1"/>
  <c r="C772" i="1" s="1"/>
  <c r="C771" i="1"/>
  <c r="B771" i="1"/>
  <c r="B770" i="1"/>
  <c r="C770" i="1" s="1"/>
  <c r="C769" i="1"/>
  <c r="B769" i="1"/>
  <c r="C768" i="1"/>
  <c r="B768" i="1"/>
  <c r="B767" i="1"/>
  <c r="C767" i="1" s="1"/>
  <c r="C766" i="1"/>
  <c r="B766" i="1"/>
  <c r="C765" i="1"/>
  <c r="B765" i="1"/>
  <c r="B764" i="1"/>
  <c r="C764" i="1" s="1"/>
  <c r="C763" i="1"/>
  <c r="B763" i="1"/>
  <c r="B762" i="1"/>
  <c r="C762" i="1" s="1"/>
  <c r="B761" i="1"/>
  <c r="C761" i="1" s="1"/>
  <c r="B760" i="1"/>
  <c r="C760" i="1" s="1"/>
  <c r="C759" i="1"/>
  <c r="B759" i="1"/>
  <c r="C758" i="1"/>
  <c r="B758" i="1"/>
  <c r="C757" i="1"/>
  <c r="B757" i="1"/>
  <c r="C756" i="1"/>
  <c r="B756" i="1"/>
  <c r="C755" i="1"/>
  <c r="B755" i="1"/>
  <c r="B754" i="1"/>
  <c r="C754" i="1" s="1"/>
  <c r="B753" i="1"/>
  <c r="C753" i="1" s="1"/>
  <c r="B752" i="1"/>
  <c r="C752" i="1" s="1"/>
  <c r="C751" i="1"/>
  <c r="B751" i="1"/>
  <c r="B750" i="1"/>
  <c r="C750" i="1" s="1"/>
  <c r="C749" i="1"/>
  <c r="B749" i="1"/>
  <c r="C748" i="1"/>
  <c r="B748" i="1"/>
  <c r="C747" i="1"/>
  <c r="B747" i="1"/>
  <c r="B746" i="1"/>
  <c r="C746" i="1" s="1"/>
  <c r="C745" i="1"/>
  <c r="B745" i="1"/>
  <c r="B744" i="1"/>
  <c r="C744" i="1" s="1"/>
  <c r="C743" i="1"/>
  <c r="B743" i="1"/>
  <c r="C742" i="1"/>
  <c r="B742" i="1"/>
  <c r="C741" i="1"/>
  <c r="B741" i="1"/>
  <c r="B740" i="1"/>
  <c r="C740" i="1" s="1"/>
  <c r="C739" i="1"/>
  <c r="B739" i="1"/>
  <c r="B738" i="1"/>
  <c r="C738" i="1" s="1"/>
  <c r="B737" i="1"/>
  <c r="C737" i="1" s="1"/>
  <c r="B736" i="1"/>
  <c r="C736" i="1" s="1"/>
  <c r="B735" i="1"/>
  <c r="C735" i="1" s="1"/>
  <c r="C734" i="1"/>
  <c r="B734" i="1"/>
  <c r="C733" i="1"/>
  <c r="B733" i="1"/>
  <c r="C732" i="1"/>
  <c r="B732" i="1"/>
  <c r="B731" i="1"/>
  <c r="C731" i="1" s="1"/>
  <c r="B730" i="1"/>
  <c r="C730" i="1" s="1"/>
  <c r="B729" i="1"/>
  <c r="C729" i="1" s="1"/>
  <c r="B728" i="1"/>
  <c r="C728" i="1" s="1"/>
  <c r="C727" i="1"/>
  <c r="B727" i="1"/>
  <c r="B726" i="1"/>
  <c r="C726" i="1" s="1"/>
  <c r="C725" i="1"/>
  <c r="B725" i="1"/>
  <c r="C724" i="1"/>
  <c r="B724" i="1"/>
  <c r="B723" i="1"/>
  <c r="C723" i="1" s="1"/>
  <c r="B722" i="1"/>
  <c r="C722" i="1" s="1"/>
  <c r="B721" i="1"/>
  <c r="C721" i="1" s="1"/>
  <c r="B720" i="1"/>
  <c r="C720" i="1" s="1"/>
  <c r="C719" i="1"/>
  <c r="B719" i="1"/>
  <c r="C718" i="1"/>
  <c r="B718" i="1"/>
  <c r="C717" i="1"/>
  <c r="B717" i="1"/>
  <c r="C716" i="1"/>
  <c r="B716" i="1"/>
  <c r="C715" i="1"/>
  <c r="B715" i="1"/>
  <c r="B714" i="1"/>
  <c r="C714" i="1" s="1"/>
  <c r="B713" i="1"/>
  <c r="C713" i="1" s="1"/>
  <c r="B712" i="1"/>
  <c r="C712" i="1" s="1"/>
  <c r="C711" i="1"/>
  <c r="B711" i="1"/>
  <c r="C710" i="1"/>
  <c r="B710" i="1"/>
  <c r="C709" i="1"/>
  <c r="B709" i="1"/>
  <c r="B708" i="1"/>
  <c r="C708" i="1" s="1"/>
  <c r="C707" i="1"/>
  <c r="B707" i="1"/>
  <c r="B706" i="1"/>
  <c r="C706" i="1" s="1"/>
  <c r="B705" i="1"/>
  <c r="C705" i="1" s="1"/>
  <c r="C704" i="1"/>
  <c r="B704" i="1"/>
  <c r="C703" i="1"/>
  <c r="B703" i="1"/>
  <c r="C702" i="1"/>
  <c r="B702" i="1"/>
  <c r="C701" i="1"/>
  <c r="B701" i="1"/>
  <c r="B700" i="1"/>
  <c r="C700" i="1" s="1"/>
  <c r="C699" i="1"/>
  <c r="B699" i="1"/>
  <c r="B698" i="1"/>
  <c r="C698" i="1" s="1"/>
  <c r="B697" i="1"/>
  <c r="C697" i="1" s="1"/>
  <c r="B696" i="1"/>
  <c r="C696" i="1" s="1"/>
  <c r="C695" i="1"/>
  <c r="B695" i="1"/>
  <c r="B694" i="1"/>
  <c r="C694" i="1" s="1"/>
  <c r="C693" i="1"/>
  <c r="B693" i="1"/>
  <c r="C692" i="1"/>
  <c r="B692" i="1"/>
  <c r="C691" i="1"/>
  <c r="B691" i="1"/>
  <c r="B690" i="1"/>
  <c r="C690" i="1" s="1"/>
  <c r="B689" i="1"/>
  <c r="C689" i="1" s="1"/>
  <c r="B688" i="1"/>
  <c r="C688" i="1" s="1"/>
  <c r="C687" i="1"/>
  <c r="B687" i="1"/>
  <c r="C686" i="1"/>
  <c r="B686" i="1"/>
  <c r="C685" i="1"/>
  <c r="B685" i="1"/>
  <c r="C684" i="1"/>
  <c r="B684" i="1"/>
  <c r="C683" i="1"/>
  <c r="B683" i="1"/>
  <c r="B682" i="1"/>
  <c r="C682" i="1" s="1"/>
  <c r="B681" i="1"/>
  <c r="C681" i="1" s="1"/>
  <c r="C680" i="1"/>
  <c r="B680" i="1"/>
  <c r="C679" i="1"/>
  <c r="B679" i="1"/>
  <c r="C678" i="1"/>
  <c r="B678" i="1"/>
  <c r="C677" i="1"/>
  <c r="B677" i="1"/>
  <c r="B676" i="1"/>
  <c r="C676" i="1" s="1"/>
  <c r="C675" i="1"/>
  <c r="B675" i="1"/>
  <c r="B674" i="1"/>
  <c r="C674" i="1" s="1"/>
  <c r="B673" i="1"/>
  <c r="C673" i="1" s="1"/>
  <c r="B672" i="1"/>
  <c r="C672" i="1" s="1"/>
  <c r="B671" i="1"/>
  <c r="C671" i="1" s="1"/>
  <c r="C670" i="1"/>
  <c r="B670" i="1"/>
  <c r="C669" i="1"/>
  <c r="B669" i="1"/>
  <c r="C668" i="1"/>
  <c r="B668" i="1"/>
  <c r="C667" i="1"/>
  <c r="B667" i="1"/>
  <c r="C666" i="1"/>
  <c r="B666" i="1"/>
  <c r="B665" i="1"/>
  <c r="C665" i="1" s="1"/>
  <c r="B664" i="1"/>
  <c r="C664" i="1" s="1"/>
  <c r="B663" i="1"/>
  <c r="C663" i="1" s="1"/>
  <c r="C662" i="1"/>
  <c r="B662" i="1"/>
  <c r="C661" i="1"/>
  <c r="B661" i="1"/>
  <c r="C660" i="1"/>
  <c r="B660" i="1"/>
  <c r="B659" i="1"/>
  <c r="C659" i="1" s="1"/>
  <c r="C658" i="1"/>
  <c r="B658" i="1"/>
  <c r="B657" i="1"/>
  <c r="C657" i="1" s="1"/>
  <c r="C656" i="1"/>
  <c r="B656" i="1"/>
  <c r="B655" i="1"/>
  <c r="C655" i="1" s="1"/>
  <c r="B654" i="1"/>
  <c r="C654" i="1" s="1"/>
  <c r="C653" i="1"/>
  <c r="B653" i="1"/>
  <c r="C652" i="1"/>
  <c r="B652" i="1"/>
  <c r="C651" i="1"/>
  <c r="B651" i="1"/>
  <c r="C650" i="1"/>
  <c r="B650" i="1"/>
  <c r="B649" i="1"/>
  <c r="C649" i="1" s="1"/>
  <c r="C648" i="1"/>
  <c r="B648" i="1"/>
  <c r="B647" i="1"/>
  <c r="C647" i="1" s="1"/>
  <c r="C646" i="1"/>
  <c r="B646" i="1"/>
  <c r="C645" i="1"/>
  <c r="B645" i="1"/>
  <c r="C644" i="1"/>
  <c r="B644" i="1"/>
  <c r="C643" i="1"/>
  <c r="B643" i="1"/>
  <c r="C642" i="1"/>
  <c r="B642" i="1"/>
  <c r="B641" i="1"/>
  <c r="C641" i="1" s="1"/>
  <c r="B640" i="1"/>
  <c r="C640" i="1" s="1"/>
  <c r="B639" i="1"/>
  <c r="C639" i="1" s="1"/>
  <c r="B638" i="1"/>
  <c r="C638" i="1" s="1"/>
  <c r="B637" i="1"/>
  <c r="C637" i="1" s="1"/>
  <c r="C636" i="1"/>
  <c r="B636" i="1"/>
  <c r="C635" i="1"/>
  <c r="B635" i="1"/>
  <c r="C634" i="1"/>
  <c r="B634" i="1"/>
  <c r="B633" i="1"/>
  <c r="C633" i="1" s="1"/>
  <c r="C632" i="1"/>
  <c r="B632" i="1"/>
  <c r="B631" i="1"/>
  <c r="C631" i="1" s="1"/>
  <c r="B630" i="1"/>
  <c r="C630" i="1" s="1"/>
  <c r="C629" i="1"/>
  <c r="B629" i="1"/>
  <c r="C628" i="1"/>
  <c r="B628" i="1"/>
  <c r="B627" i="1"/>
  <c r="C627" i="1" s="1"/>
  <c r="C626" i="1"/>
  <c r="B626" i="1"/>
  <c r="B625" i="1"/>
  <c r="C625" i="1" s="1"/>
  <c r="B624" i="1"/>
  <c r="C624" i="1" s="1"/>
  <c r="B623" i="1"/>
  <c r="C623" i="1" s="1"/>
  <c r="B622" i="1"/>
  <c r="C622" i="1" s="1"/>
  <c r="B621" i="1"/>
  <c r="C621" i="1" s="1"/>
  <c r="C620" i="1"/>
  <c r="B620" i="1"/>
  <c r="C619" i="1"/>
  <c r="B619" i="1"/>
  <c r="C618" i="1"/>
  <c r="B618" i="1"/>
  <c r="B617" i="1"/>
  <c r="C617" i="1" s="1"/>
  <c r="C616" i="1"/>
  <c r="B616" i="1"/>
  <c r="B615" i="1"/>
  <c r="C615" i="1" s="1"/>
  <c r="B614" i="1"/>
  <c r="C614" i="1" s="1"/>
  <c r="C613" i="1"/>
  <c r="B613" i="1"/>
  <c r="C612" i="1"/>
  <c r="B612" i="1"/>
  <c r="B611" i="1"/>
  <c r="C611" i="1" s="1"/>
  <c r="C610" i="1"/>
  <c r="B610" i="1"/>
  <c r="B609" i="1"/>
  <c r="C609" i="1" s="1"/>
  <c r="B608" i="1"/>
  <c r="C608" i="1" s="1"/>
  <c r="B607" i="1"/>
  <c r="C607" i="1" s="1"/>
  <c r="C606" i="1"/>
  <c r="B606" i="1"/>
  <c r="C605" i="1"/>
  <c r="B605" i="1"/>
  <c r="C604" i="1"/>
  <c r="B604" i="1"/>
  <c r="C603" i="1"/>
  <c r="B603" i="1"/>
  <c r="C602" i="1"/>
  <c r="B602" i="1"/>
  <c r="B601" i="1"/>
  <c r="C601" i="1" s="1"/>
  <c r="C600" i="1"/>
  <c r="B600" i="1"/>
  <c r="B599" i="1"/>
  <c r="C599" i="1" s="1"/>
  <c r="C598" i="1"/>
  <c r="B598" i="1"/>
  <c r="C597" i="1"/>
  <c r="B597" i="1"/>
  <c r="C596" i="1"/>
  <c r="B596" i="1"/>
  <c r="B595" i="1"/>
  <c r="C595" i="1" s="1"/>
  <c r="C594" i="1"/>
  <c r="B594" i="1"/>
  <c r="B593" i="1"/>
  <c r="C593" i="1" s="1"/>
  <c r="C592" i="1"/>
  <c r="B592" i="1"/>
  <c r="B591" i="1"/>
  <c r="C591" i="1" s="1"/>
  <c r="C590" i="1"/>
  <c r="B590" i="1"/>
  <c r="B589" i="1"/>
  <c r="C589" i="1" s="1"/>
  <c r="C588" i="1"/>
  <c r="B588" i="1"/>
  <c r="B587" i="1"/>
  <c r="C587" i="1" s="1"/>
  <c r="C586" i="1"/>
  <c r="B586" i="1"/>
  <c r="B585" i="1"/>
  <c r="C585" i="1" s="1"/>
  <c r="C584" i="1"/>
  <c r="B584" i="1"/>
  <c r="B583" i="1"/>
  <c r="C583" i="1" s="1"/>
  <c r="C582" i="1"/>
  <c r="B582" i="1"/>
  <c r="C581" i="1"/>
  <c r="B581" i="1"/>
  <c r="C580" i="1"/>
  <c r="B580" i="1"/>
  <c r="C579" i="1"/>
  <c r="B579" i="1"/>
  <c r="C578" i="1"/>
  <c r="B578" i="1"/>
  <c r="B577" i="1"/>
  <c r="C577" i="1" s="1"/>
  <c r="C576" i="1"/>
  <c r="B576" i="1"/>
  <c r="B575" i="1"/>
  <c r="C575" i="1" s="1"/>
  <c r="B574" i="1"/>
  <c r="C574" i="1" s="1"/>
  <c r="B573" i="1"/>
  <c r="C573" i="1" s="1"/>
  <c r="C572" i="1"/>
  <c r="B572" i="1"/>
  <c r="C571" i="1"/>
  <c r="B571" i="1"/>
  <c r="C570" i="1"/>
  <c r="B570" i="1"/>
  <c r="B569" i="1"/>
  <c r="C569" i="1" s="1"/>
  <c r="C568" i="1"/>
  <c r="B568" i="1"/>
  <c r="B567" i="1"/>
  <c r="C567" i="1" s="1"/>
  <c r="C566" i="1"/>
  <c r="B566" i="1"/>
  <c r="B565" i="1"/>
  <c r="C565" i="1" s="1"/>
  <c r="C564" i="1"/>
  <c r="B564" i="1"/>
  <c r="C563" i="1"/>
  <c r="B563" i="1"/>
  <c r="C562" i="1"/>
  <c r="B562" i="1"/>
  <c r="B561" i="1"/>
  <c r="C561" i="1" s="1"/>
  <c r="B560" i="1"/>
  <c r="C560" i="1" s="1"/>
  <c r="B559" i="1"/>
  <c r="C559" i="1" s="1"/>
  <c r="B558" i="1"/>
  <c r="C558" i="1" s="1"/>
  <c r="B557" i="1"/>
  <c r="C557" i="1" s="1"/>
  <c r="C556" i="1"/>
  <c r="B556" i="1"/>
  <c r="C555" i="1"/>
  <c r="B555" i="1"/>
  <c r="C554" i="1"/>
  <c r="B554" i="1"/>
  <c r="B553" i="1"/>
  <c r="C553" i="1" s="1"/>
  <c r="B552" i="1"/>
  <c r="C552" i="1" s="1"/>
  <c r="B551" i="1"/>
  <c r="C551" i="1" s="1"/>
  <c r="B550" i="1"/>
  <c r="C550" i="1" s="1"/>
  <c r="C549" i="1"/>
  <c r="B549" i="1"/>
  <c r="C548" i="1"/>
  <c r="B548" i="1"/>
  <c r="C547" i="1"/>
  <c r="B547" i="1"/>
  <c r="C546" i="1"/>
  <c r="B546" i="1"/>
  <c r="B545" i="1"/>
  <c r="C545" i="1" s="1"/>
  <c r="B544" i="1"/>
  <c r="C544" i="1" s="1"/>
  <c r="B543" i="1"/>
  <c r="C543" i="1" s="1"/>
  <c r="B542" i="1"/>
  <c r="C542" i="1" s="1"/>
  <c r="C541" i="1"/>
  <c r="B541" i="1"/>
  <c r="C540" i="1"/>
  <c r="B540" i="1"/>
  <c r="B539" i="1"/>
  <c r="C539" i="1" s="1"/>
  <c r="C538" i="1"/>
  <c r="B538" i="1"/>
  <c r="B537" i="1"/>
  <c r="C537" i="1" s="1"/>
  <c r="C536" i="1"/>
  <c r="B536" i="1"/>
  <c r="B535" i="1"/>
  <c r="C535" i="1" s="1"/>
  <c r="C534" i="1"/>
  <c r="B534" i="1"/>
  <c r="B533" i="1"/>
  <c r="C533" i="1" s="1"/>
  <c r="C532" i="1"/>
  <c r="B532" i="1"/>
  <c r="C531" i="1"/>
  <c r="B531" i="1"/>
  <c r="C530" i="1"/>
  <c r="B530" i="1"/>
  <c r="B529" i="1"/>
  <c r="C529" i="1" s="1"/>
  <c r="B528" i="1"/>
  <c r="C528" i="1" s="1"/>
  <c r="B527" i="1"/>
  <c r="C527" i="1" s="1"/>
  <c r="B526" i="1"/>
  <c r="C526" i="1" s="1"/>
  <c r="C525" i="1"/>
  <c r="B525" i="1"/>
  <c r="B524" i="1"/>
  <c r="C524" i="1" s="1"/>
  <c r="B523" i="1"/>
  <c r="C523" i="1" s="1"/>
  <c r="C522" i="1"/>
  <c r="B522" i="1"/>
  <c r="C521" i="1"/>
  <c r="B521" i="1"/>
  <c r="B520" i="1"/>
  <c r="C520" i="1" s="1"/>
  <c r="B519" i="1"/>
  <c r="C519" i="1" s="1"/>
  <c r="B518" i="1"/>
  <c r="C518" i="1" s="1"/>
  <c r="B517" i="1"/>
  <c r="C517" i="1" s="1"/>
  <c r="C516" i="1"/>
  <c r="B516" i="1"/>
  <c r="B515" i="1"/>
  <c r="C515" i="1" s="1"/>
  <c r="C514" i="1"/>
  <c r="B514" i="1"/>
  <c r="B513" i="1"/>
  <c r="C513" i="1" s="1"/>
  <c r="C512" i="1"/>
  <c r="B512" i="1"/>
  <c r="B511" i="1"/>
  <c r="C511" i="1" s="1"/>
  <c r="C510" i="1"/>
  <c r="B510" i="1"/>
  <c r="C509" i="1"/>
  <c r="B509" i="1"/>
  <c r="B508" i="1"/>
  <c r="C508" i="1" s="1"/>
  <c r="C507" i="1"/>
  <c r="B507" i="1"/>
  <c r="C506" i="1"/>
  <c r="B506" i="1"/>
  <c r="B505" i="1"/>
  <c r="C505" i="1" s="1"/>
  <c r="C504" i="1"/>
  <c r="B504" i="1"/>
  <c r="B503" i="1"/>
  <c r="C503" i="1" s="1"/>
  <c r="C502" i="1"/>
  <c r="B502" i="1"/>
  <c r="C501" i="1"/>
  <c r="B501" i="1"/>
  <c r="B500" i="1"/>
  <c r="C500" i="1" s="1"/>
  <c r="C499" i="1"/>
  <c r="B499" i="1"/>
  <c r="C498" i="1"/>
  <c r="B498" i="1"/>
  <c r="B497" i="1"/>
  <c r="C497" i="1" s="1"/>
  <c r="B496" i="1"/>
  <c r="C496" i="1" s="1"/>
  <c r="B495" i="1"/>
  <c r="C495" i="1" s="1"/>
  <c r="B494" i="1"/>
  <c r="C494" i="1" s="1"/>
  <c r="C493" i="1"/>
  <c r="B493" i="1"/>
  <c r="B492" i="1"/>
  <c r="C492" i="1" s="1"/>
  <c r="B491" i="1"/>
  <c r="C491" i="1" s="1"/>
  <c r="C490" i="1"/>
  <c r="B490" i="1"/>
  <c r="C489" i="1"/>
  <c r="B489" i="1"/>
  <c r="B488" i="1"/>
  <c r="C488" i="1" s="1"/>
  <c r="B487" i="1"/>
  <c r="C487" i="1" s="1"/>
  <c r="C486" i="1"/>
  <c r="B486" i="1"/>
  <c r="B485" i="1"/>
  <c r="C485" i="1" s="1"/>
  <c r="C484" i="1"/>
  <c r="B484" i="1"/>
  <c r="B483" i="1"/>
  <c r="C483" i="1" s="1"/>
  <c r="C482" i="1"/>
  <c r="B482" i="1"/>
  <c r="B481" i="1"/>
  <c r="C481" i="1" s="1"/>
  <c r="C480" i="1"/>
  <c r="B480" i="1"/>
  <c r="B479" i="1"/>
  <c r="C479" i="1" s="1"/>
  <c r="C478" i="1"/>
  <c r="B478" i="1"/>
  <c r="B477" i="1"/>
  <c r="C477" i="1" s="1"/>
  <c r="C476" i="1"/>
  <c r="B476" i="1"/>
  <c r="C475" i="1"/>
  <c r="B475" i="1"/>
  <c r="C474" i="1"/>
  <c r="B474" i="1"/>
  <c r="B473" i="1"/>
  <c r="C473" i="1" s="1"/>
  <c r="C472" i="1"/>
  <c r="B472" i="1"/>
  <c r="B471" i="1"/>
  <c r="C471" i="1" s="1"/>
  <c r="C470" i="1"/>
  <c r="B470" i="1"/>
  <c r="C469" i="1"/>
  <c r="B469" i="1"/>
  <c r="B468" i="1"/>
  <c r="C468" i="1" s="1"/>
  <c r="B467" i="1"/>
  <c r="C467" i="1" s="1"/>
  <c r="C466" i="1"/>
  <c r="B466" i="1"/>
  <c r="B465" i="1"/>
  <c r="C465" i="1" s="1"/>
  <c r="B464" i="1"/>
  <c r="C464" i="1" s="1"/>
  <c r="B463" i="1"/>
  <c r="C463" i="1" s="1"/>
  <c r="B462" i="1"/>
  <c r="C462" i="1" s="1"/>
  <c r="C461" i="1"/>
  <c r="B461" i="1"/>
  <c r="B460" i="1"/>
  <c r="C460" i="1" s="1"/>
  <c r="B459" i="1"/>
  <c r="C459" i="1" s="1"/>
  <c r="C458" i="1"/>
  <c r="B458" i="1"/>
  <c r="C457" i="1"/>
  <c r="B457" i="1"/>
  <c r="B456" i="1"/>
  <c r="C456" i="1" s="1"/>
  <c r="B455" i="1"/>
  <c r="C455" i="1" s="1"/>
  <c r="B454" i="1"/>
  <c r="C454" i="1" s="1"/>
  <c r="B453" i="1"/>
  <c r="C453" i="1" s="1"/>
  <c r="C452" i="1"/>
  <c r="B452" i="1"/>
  <c r="B451" i="1"/>
  <c r="C451" i="1" s="1"/>
  <c r="C450" i="1"/>
  <c r="B450" i="1"/>
  <c r="B449" i="1"/>
  <c r="C449" i="1" s="1"/>
  <c r="C448" i="1"/>
  <c r="B448" i="1"/>
  <c r="B447" i="1"/>
  <c r="C447" i="1" s="1"/>
  <c r="C446" i="1"/>
  <c r="B446" i="1"/>
  <c r="C445" i="1"/>
  <c r="B445" i="1"/>
  <c r="B444" i="1"/>
  <c r="C444" i="1" s="1"/>
  <c r="C443" i="1"/>
  <c r="B443" i="1"/>
  <c r="C442" i="1"/>
  <c r="B442" i="1"/>
  <c r="B441" i="1"/>
  <c r="C441" i="1" s="1"/>
  <c r="C440" i="1"/>
  <c r="B440" i="1"/>
  <c r="B439" i="1"/>
  <c r="C439" i="1" s="1"/>
  <c r="C438" i="1"/>
  <c r="B438" i="1"/>
  <c r="C437" i="1"/>
  <c r="B437" i="1"/>
  <c r="B436" i="1"/>
  <c r="C436" i="1" s="1"/>
  <c r="C435" i="1"/>
  <c r="B435" i="1"/>
  <c r="C434" i="1"/>
  <c r="B434" i="1"/>
  <c r="B433" i="1"/>
  <c r="C433" i="1" s="1"/>
  <c r="B432" i="1"/>
  <c r="C432" i="1" s="1"/>
  <c r="B431" i="1"/>
  <c r="C431" i="1" s="1"/>
  <c r="C430" i="1"/>
  <c r="B430" i="1"/>
  <c r="C429" i="1"/>
  <c r="B429" i="1"/>
  <c r="B428" i="1"/>
  <c r="C428" i="1" s="1"/>
  <c r="B427" i="1"/>
  <c r="C427" i="1" s="1"/>
  <c r="C426" i="1"/>
  <c r="B426" i="1"/>
  <c r="C425" i="1"/>
  <c r="B425" i="1"/>
  <c r="B424" i="1"/>
  <c r="C424" i="1" s="1"/>
  <c r="B423" i="1"/>
  <c r="C423" i="1" s="1"/>
  <c r="B422" i="1"/>
  <c r="C422" i="1" s="1"/>
  <c r="B421" i="1"/>
  <c r="C421" i="1" s="1"/>
  <c r="C420" i="1"/>
  <c r="B420" i="1"/>
  <c r="B419" i="1"/>
  <c r="C419" i="1" s="1"/>
  <c r="C418" i="1"/>
  <c r="B418" i="1"/>
  <c r="B417" i="1"/>
  <c r="C417" i="1" s="1"/>
  <c r="C416" i="1"/>
  <c r="B416" i="1"/>
  <c r="B415" i="1"/>
  <c r="C415" i="1" s="1"/>
  <c r="C414" i="1"/>
  <c r="B414" i="1"/>
  <c r="C413" i="1"/>
  <c r="B413" i="1"/>
  <c r="B412" i="1"/>
  <c r="C412" i="1" s="1"/>
  <c r="C411" i="1"/>
  <c r="B411" i="1"/>
  <c r="C410" i="1"/>
  <c r="B410" i="1"/>
  <c r="C409" i="1"/>
  <c r="B409" i="1"/>
  <c r="C408" i="1"/>
  <c r="B408" i="1"/>
  <c r="B407" i="1"/>
  <c r="C407" i="1" s="1"/>
  <c r="B406" i="1"/>
  <c r="C406" i="1" s="1"/>
  <c r="B405" i="1"/>
  <c r="C405" i="1" s="1"/>
  <c r="B404" i="1"/>
  <c r="C404" i="1" s="1"/>
  <c r="C403" i="1"/>
  <c r="B403" i="1"/>
  <c r="C402" i="1"/>
  <c r="B402" i="1"/>
  <c r="C401" i="1"/>
  <c r="B401" i="1"/>
  <c r="C400" i="1"/>
  <c r="B400" i="1"/>
  <c r="B399" i="1"/>
  <c r="C399" i="1" s="1"/>
  <c r="B398" i="1"/>
  <c r="C398" i="1" s="1"/>
  <c r="B397" i="1"/>
  <c r="C397" i="1" s="1"/>
  <c r="C396" i="1"/>
  <c r="B396" i="1"/>
  <c r="C395" i="1"/>
  <c r="B395" i="1"/>
  <c r="C394" i="1"/>
  <c r="B394" i="1"/>
  <c r="B393" i="1"/>
  <c r="C393" i="1" s="1"/>
  <c r="C392" i="1"/>
  <c r="B392" i="1"/>
  <c r="B391" i="1"/>
  <c r="C391" i="1" s="1"/>
  <c r="B390" i="1"/>
  <c r="C390" i="1" s="1"/>
  <c r="B389" i="1"/>
  <c r="C389" i="1" s="1"/>
  <c r="C388" i="1"/>
  <c r="B388" i="1"/>
  <c r="C387" i="1"/>
  <c r="B387" i="1"/>
  <c r="C386" i="1"/>
  <c r="B386" i="1"/>
  <c r="B385" i="1"/>
  <c r="C385" i="1" s="1"/>
  <c r="C384" i="1"/>
  <c r="B384" i="1"/>
  <c r="B383" i="1"/>
  <c r="C383" i="1" s="1"/>
  <c r="C382" i="1"/>
  <c r="B382" i="1"/>
  <c r="B381" i="1"/>
  <c r="C381" i="1" s="1"/>
  <c r="B380" i="1"/>
  <c r="C380" i="1" s="1"/>
  <c r="C379" i="1"/>
  <c r="B379" i="1"/>
  <c r="C378" i="1"/>
  <c r="B378" i="1"/>
  <c r="C377" i="1"/>
  <c r="B377" i="1"/>
  <c r="C376" i="1"/>
  <c r="B376" i="1"/>
  <c r="B375" i="1"/>
  <c r="C375" i="1" s="1"/>
  <c r="B374" i="1"/>
  <c r="C374" i="1" s="1"/>
  <c r="B373" i="1"/>
  <c r="C373" i="1" s="1"/>
  <c r="C372" i="1"/>
  <c r="B372" i="1"/>
  <c r="C371" i="1"/>
  <c r="B371" i="1"/>
  <c r="C370" i="1"/>
  <c r="B370" i="1"/>
  <c r="C369" i="1"/>
  <c r="B369" i="1"/>
  <c r="C368" i="1"/>
  <c r="B368" i="1"/>
  <c r="B367" i="1"/>
  <c r="C367" i="1" s="1"/>
  <c r="B366" i="1"/>
  <c r="C366" i="1" s="1"/>
  <c r="B365" i="1"/>
  <c r="C365" i="1" s="1"/>
  <c r="C364" i="1"/>
  <c r="B364" i="1"/>
  <c r="C363" i="1"/>
  <c r="B363" i="1"/>
  <c r="C362" i="1"/>
  <c r="B362" i="1"/>
  <c r="B361" i="1"/>
  <c r="C361" i="1" s="1"/>
  <c r="C360" i="1"/>
  <c r="B360" i="1"/>
  <c r="B359" i="1"/>
  <c r="C359" i="1" s="1"/>
  <c r="C358" i="1"/>
  <c r="B358" i="1"/>
  <c r="B357" i="1"/>
  <c r="C357" i="1" s="1"/>
  <c r="C356" i="1"/>
  <c r="B356" i="1"/>
  <c r="C355" i="1"/>
  <c r="B355" i="1"/>
  <c r="C354" i="1"/>
  <c r="B354" i="1"/>
  <c r="C353" i="1"/>
  <c r="B353" i="1"/>
  <c r="C352" i="1"/>
  <c r="B352" i="1"/>
  <c r="B351" i="1"/>
  <c r="C351" i="1" s="1"/>
  <c r="C350" i="1"/>
  <c r="B350" i="1"/>
  <c r="B349" i="1"/>
  <c r="C349" i="1" s="1"/>
  <c r="B348" i="1"/>
  <c r="C348" i="1" s="1"/>
  <c r="C347" i="1"/>
  <c r="B347" i="1"/>
  <c r="C346" i="1"/>
  <c r="B346" i="1"/>
  <c r="C345" i="1"/>
  <c r="B345" i="1"/>
  <c r="C344" i="1"/>
  <c r="B344" i="1"/>
  <c r="B343" i="1"/>
  <c r="C343" i="1" s="1"/>
  <c r="B342" i="1"/>
  <c r="C342" i="1" s="1"/>
  <c r="B341" i="1"/>
  <c r="C341" i="1" s="1"/>
  <c r="B340" i="1"/>
  <c r="C340" i="1" s="1"/>
  <c r="C339" i="1"/>
  <c r="B339" i="1"/>
  <c r="C338" i="1"/>
  <c r="B338" i="1"/>
  <c r="C337" i="1"/>
  <c r="B337" i="1"/>
  <c r="C336" i="1"/>
  <c r="B336" i="1"/>
  <c r="B335" i="1"/>
  <c r="C335" i="1" s="1"/>
  <c r="B334" i="1"/>
  <c r="C334" i="1" s="1"/>
  <c r="B333" i="1"/>
  <c r="C333" i="1" s="1"/>
  <c r="C332" i="1"/>
  <c r="B332" i="1"/>
  <c r="C331" i="1"/>
  <c r="B331" i="1"/>
  <c r="C330" i="1"/>
  <c r="B330" i="1"/>
  <c r="B329" i="1"/>
  <c r="C329" i="1" s="1"/>
  <c r="C328" i="1"/>
  <c r="B328" i="1"/>
  <c r="B327" i="1"/>
  <c r="C327" i="1" s="1"/>
  <c r="B326" i="1"/>
  <c r="C326" i="1" s="1"/>
  <c r="B325" i="1"/>
  <c r="C325" i="1" s="1"/>
  <c r="C324" i="1"/>
  <c r="B324" i="1"/>
  <c r="C323" i="1"/>
  <c r="B323" i="1"/>
  <c r="C322" i="1"/>
  <c r="B322" i="1"/>
  <c r="B321" i="1"/>
  <c r="C321" i="1" s="1"/>
  <c r="C320" i="1"/>
  <c r="B320" i="1"/>
  <c r="B319" i="1"/>
  <c r="C319" i="1" s="1"/>
  <c r="C318" i="1"/>
  <c r="B318" i="1"/>
  <c r="B317" i="1"/>
  <c r="C317" i="1" s="1"/>
  <c r="B316" i="1"/>
  <c r="C316" i="1" s="1"/>
  <c r="C315" i="1"/>
  <c r="B315" i="1"/>
  <c r="C314" i="1"/>
  <c r="B314" i="1"/>
  <c r="C313" i="1"/>
  <c r="B313" i="1"/>
  <c r="C312" i="1"/>
  <c r="B312" i="1"/>
  <c r="B311" i="1"/>
  <c r="C311" i="1" s="1"/>
  <c r="B310" i="1"/>
  <c r="C310" i="1" s="1"/>
  <c r="B309" i="1"/>
  <c r="C309" i="1" s="1"/>
  <c r="B308" i="1"/>
  <c r="C308" i="1" s="1"/>
  <c r="C307" i="1"/>
  <c r="B307" i="1"/>
  <c r="C306" i="1"/>
  <c r="B306" i="1"/>
  <c r="C305" i="1"/>
  <c r="B305" i="1"/>
  <c r="C304" i="1"/>
  <c r="B304" i="1"/>
  <c r="B303" i="1"/>
  <c r="C303" i="1" s="1"/>
  <c r="B302" i="1"/>
  <c r="C302" i="1" s="1"/>
  <c r="B301" i="1"/>
  <c r="C301" i="1" s="1"/>
  <c r="C300" i="1"/>
  <c r="B300" i="1"/>
  <c r="C299" i="1"/>
  <c r="B299" i="1"/>
  <c r="C298" i="1"/>
  <c r="B298" i="1"/>
  <c r="B297" i="1"/>
  <c r="C297" i="1" s="1"/>
  <c r="C296" i="1"/>
  <c r="B296" i="1"/>
  <c r="B295" i="1"/>
  <c r="C295" i="1" s="1"/>
  <c r="B294" i="1"/>
  <c r="C294" i="1" s="1"/>
  <c r="B293" i="1"/>
  <c r="C293" i="1" s="1"/>
  <c r="C292" i="1"/>
  <c r="B292" i="1"/>
  <c r="C291" i="1"/>
  <c r="B291" i="1"/>
  <c r="C290" i="1"/>
  <c r="B290" i="1"/>
  <c r="C289" i="1"/>
  <c r="B289" i="1"/>
  <c r="C288" i="1"/>
  <c r="B288" i="1"/>
  <c r="B287" i="1"/>
  <c r="C287" i="1" s="1"/>
  <c r="C286" i="1"/>
  <c r="B286" i="1"/>
  <c r="B285" i="1"/>
  <c r="C285" i="1" s="1"/>
  <c r="B284" i="1"/>
  <c r="C284" i="1" s="1"/>
  <c r="B283" i="1"/>
  <c r="C283" i="1" s="1"/>
  <c r="C282" i="1"/>
  <c r="B282" i="1"/>
  <c r="B281" i="1"/>
  <c r="C281" i="1" s="1"/>
  <c r="C280" i="1"/>
  <c r="B280" i="1"/>
  <c r="B279" i="1"/>
  <c r="C279" i="1" s="1"/>
  <c r="B278" i="1"/>
  <c r="C278" i="1" s="1"/>
  <c r="B277" i="1"/>
  <c r="C277" i="1" s="1"/>
  <c r="B276" i="1"/>
  <c r="C276" i="1" s="1"/>
  <c r="B275" i="1"/>
  <c r="C275" i="1" s="1"/>
  <c r="C274" i="1"/>
  <c r="B274" i="1"/>
  <c r="B273" i="1"/>
  <c r="C273" i="1" s="1"/>
  <c r="C272" i="1"/>
  <c r="B272" i="1"/>
  <c r="B271" i="1"/>
  <c r="C271" i="1" s="1"/>
  <c r="C270" i="1"/>
  <c r="B270" i="1"/>
  <c r="B269" i="1"/>
  <c r="C269" i="1" s="1"/>
  <c r="C268" i="1"/>
  <c r="B268" i="1"/>
  <c r="C267" i="1"/>
  <c r="B267" i="1"/>
  <c r="C266" i="1"/>
  <c r="B266" i="1"/>
  <c r="B265" i="1"/>
  <c r="C265" i="1" s="1"/>
  <c r="C264" i="1"/>
  <c r="B264" i="1"/>
  <c r="C263" i="1"/>
  <c r="B263" i="1"/>
  <c r="C262" i="1"/>
  <c r="B262" i="1"/>
  <c r="B261" i="1"/>
  <c r="C261" i="1" s="1"/>
  <c r="B260" i="1"/>
  <c r="C260" i="1" s="1"/>
  <c r="C259" i="1"/>
  <c r="B259" i="1"/>
  <c r="B258" i="1"/>
  <c r="C258" i="1" s="1"/>
  <c r="C257" i="1"/>
  <c r="B257" i="1"/>
  <c r="C256" i="1"/>
  <c r="B256" i="1"/>
  <c r="B255" i="1"/>
  <c r="C255" i="1" s="1"/>
  <c r="B254" i="1"/>
  <c r="C254" i="1" s="1"/>
  <c r="B253" i="1"/>
  <c r="C253" i="1" s="1"/>
  <c r="C252" i="1"/>
  <c r="B252" i="1"/>
  <c r="B251" i="1"/>
  <c r="C251" i="1" s="1"/>
  <c r="B250" i="1"/>
  <c r="C250" i="1" s="1"/>
  <c r="C249" i="1"/>
  <c r="B249" i="1"/>
  <c r="C248" i="1"/>
  <c r="B248" i="1"/>
  <c r="B247" i="1"/>
  <c r="C247" i="1" s="1"/>
  <c r="B246" i="1"/>
  <c r="C246" i="1" s="1"/>
  <c r="B245" i="1"/>
  <c r="C245" i="1" s="1"/>
  <c r="C244" i="1"/>
  <c r="B244" i="1"/>
  <c r="C243" i="1"/>
  <c r="B243" i="1"/>
  <c r="B242" i="1"/>
  <c r="C242" i="1" s="1"/>
  <c r="B241" i="1"/>
  <c r="C241" i="1" s="1"/>
  <c r="C240" i="1"/>
  <c r="B240" i="1"/>
  <c r="C239" i="1"/>
  <c r="B239" i="1"/>
  <c r="B238" i="1"/>
  <c r="C238" i="1" s="1"/>
  <c r="B237" i="1"/>
  <c r="C237" i="1" s="1"/>
  <c r="B236" i="1"/>
  <c r="C236" i="1" s="1"/>
  <c r="C235" i="1"/>
  <c r="B235" i="1"/>
  <c r="C234" i="1"/>
  <c r="B234" i="1"/>
  <c r="B233" i="1"/>
  <c r="C233" i="1" s="1"/>
  <c r="C232" i="1"/>
  <c r="B232" i="1"/>
  <c r="B231" i="1"/>
  <c r="C231" i="1" s="1"/>
  <c r="C230" i="1"/>
  <c r="B230" i="1"/>
  <c r="B229" i="1"/>
  <c r="C229" i="1" s="1"/>
  <c r="B228" i="1"/>
  <c r="C228" i="1" s="1"/>
  <c r="B227" i="1"/>
  <c r="C227" i="1" s="1"/>
  <c r="C226" i="1"/>
  <c r="B226" i="1"/>
  <c r="C225" i="1"/>
  <c r="B225" i="1"/>
  <c r="C224" i="1"/>
  <c r="B224" i="1"/>
  <c r="B223" i="1"/>
  <c r="C223" i="1" s="1"/>
  <c r="C222" i="1"/>
  <c r="B222" i="1"/>
  <c r="B221" i="1"/>
  <c r="C221" i="1" s="1"/>
  <c r="C220" i="1"/>
  <c r="B220" i="1"/>
  <c r="B219" i="1"/>
  <c r="C219" i="1" s="1"/>
  <c r="B218" i="1"/>
  <c r="C218" i="1" s="1"/>
  <c r="C217" i="1"/>
  <c r="B217" i="1"/>
  <c r="C216" i="1"/>
  <c r="B216" i="1"/>
  <c r="B215" i="1"/>
  <c r="C215" i="1" s="1"/>
  <c r="B214" i="1"/>
  <c r="C214" i="1" s="1"/>
  <c r="B213" i="1"/>
  <c r="C213" i="1" s="1"/>
  <c r="C212" i="1"/>
  <c r="B212" i="1"/>
  <c r="C211" i="1"/>
  <c r="B211" i="1"/>
  <c r="B210" i="1"/>
  <c r="C210" i="1" s="1"/>
  <c r="B209" i="1"/>
  <c r="C209" i="1" s="1"/>
  <c r="C208" i="1"/>
  <c r="B208" i="1"/>
  <c r="C207" i="1"/>
  <c r="B207" i="1"/>
  <c r="B206" i="1"/>
  <c r="C206" i="1" s="1"/>
  <c r="C205" i="1"/>
  <c r="B205" i="1"/>
  <c r="B204" i="1"/>
  <c r="C204" i="1" s="1"/>
  <c r="C203" i="1"/>
  <c r="B203" i="1"/>
  <c r="C202" i="1"/>
  <c r="B202" i="1"/>
  <c r="B201" i="1"/>
  <c r="C201" i="1" s="1"/>
  <c r="C200" i="1"/>
  <c r="B200" i="1"/>
  <c r="C199" i="1"/>
  <c r="B199" i="1"/>
  <c r="B198" i="1"/>
  <c r="C198" i="1" s="1"/>
  <c r="C197" i="1"/>
  <c r="B197" i="1"/>
  <c r="B196" i="1"/>
  <c r="C196" i="1" s="1"/>
  <c r="C195" i="1"/>
  <c r="B195" i="1"/>
  <c r="C194" i="1"/>
  <c r="B194" i="1"/>
  <c r="B193" i="1"/>
  <c r="C193" i="1" s="1"/>
  <c r="C192" i="1"/>
  <c r="B192" i="1"/>
  <c r="C191" i="1"/>
  <c r="B191" i="1"/>
  <c r="B190" i="1"/>
  <c r="C190" i="1" s="1"/>
  <c r="C189" i="1"/>
  <c r="B189" i="1"/>
  <c r="B188" i="1"/>
  <c r="C188" i="1" s="1"/>
  <c r="C187" i="1"/>
  <c r="B187" i="1"/>
  <c r="C186" i="1"/>
  <c r="B186" i="1"/>
  <c r="B185" i="1"/>
  <c r="C185" i="1" s="1"/>
  <c r="C184" i="1"/>
  <c r="B184" i="1"/>
  <c r="C183" i="1"/>
  <c r="B183" i="1"/>
  <c r="B182" i="1"/>
  <c r="C182" i="1" s="1"/>
  <c r="C181" i="1"/>
  <c r="B181" i="1"/>
  <c r="B180" i="1"/>
  <c r="C180" i="1" s="1"/>
  <c r="C179" i="1"/>
  <c r="B179" i="1"/>
  <c r="C178" i="1"/>
  <c r="B178" i="1"/>
  <c r="B177" i="1"/>
  <c r="C177" i="1" s="1"/>
  <c r="C176" i="1"/>
  <c r="B176" i="1"/>
  <c r="C175" i="1"/>
  <c r="B175" i="1"/>
  <c r="B174" i="1"/>
  <c r="C174" i="1" s="1"/>
  <c r="C173" i="1"/>
  <c r="B173" i="1"/>
  <c r="B172" i="1"/>
  <c r="C172" i="1" s="1"/>
  <c r="C171" i="1"/>
  <c r="B171" i="1"/>
  <c r="C170" i="1"/>
  <c r="B170" i="1"/>
  <c r="B169" i="1"/>
  <c r="C169" i="1" s="1"/>
  <c r="C168" i="1"/>
  <c r="B168" i="1"/>
  <c r="C167" i="1"/>
  <c r="B167" i="1"/>
  <c r="B166" i="1"/>
  <c r="C166" i="1" s="1"/>
  <c r="C165" i="1"/>
  <c r="B165" i="1"/>
  <c r="B164" i="1"/>
  <c r="C164" i="1" s="1"/>
  <c r="C163" i="1"/>
  <c r="B163" i="1"/>
  <c r="C162" i="1"/>
  <c r="B162" i="1"/>
  <c r="B161" i="1"/>
  <c r="C161" i="1" s="1"/>
  <c r="C160" i="1"/>
  <c r="B160" i="1"/>
  <c r="C159" i="1"/>
  <c r="B159" i="1"/>
  <c r="B158" i="1"/>
  <c r="C158" i="1" s="1"/>
  <c r="C157" i="1"/>
  <c r="B157" i="1"/>
  <c r="B156" i="1"/>
  <c r="C156" i="1" s="1"/>
  <c r="C155" i="1"/>
  <c r="B155" i="1"/>
  <c r="C154" i="1"/>
  <c r="B154" i="1"/>
  <c r="B153" i="1"/>
  <c r="C153" i="1" s="1"/>
  <c r="C152" i="1"/>
  <c r="B152" i="1"/>
  <c r="C151" i="1"/>
  <c r="B151" i="1"/>
  <c r="B150" i="1"/>
  <c r="C150" i="1" s="1"/>
  <c r="C149" i="1"/>
  <c r="B149" i="1"/>
  <c r="B148" i="1"/>
  <c r="C148" i="1" s="1"/>
  <c r="C147" i="1"/>
  <c r="B147" i="1"/>
  <c r="C146" i="1"/>
  <c r="B146" i="1"/>
  <c r="B145" i="1"/>
  <c r="C145" i="1" s="1"/>
  <c r="C144" i="1"/>
  <c r="B144" i="1"/>
  <c r="C143" i="1"/>
  <c r="B143" i="1"/>
  <c r="B142" i="1"/>
  <c r="C142" i="1" s="1"/>
  <c r="C141" i="1"/>
  <c r="B141" i="1"/>
  <c r="B140" i="1"/>
  <c r="C140" i="1" s="1"/>
  <c r="C139" i="1"/>
  <c r="B139" i="1"/>
  <c r="C138" i="1"/>
  <c r="B138" i="1"/>
  <c r="B137" i="1"/>
  <c r="C137" i="1" s="1"/>
  <c r="C136" i="1"/>
  <c r="B136" i="1"/>
  <c r="C135" i="1"/>
  <c r="B135" i="1"/>
  <c r="B134" i="1"/>
  <c r="C134" i="1" s="1"/>
  <c r="C133" i="1"/>
  <c r="B133" i="1"/>
  <c r="B132" i="1"/>
  <c r="C132" i="1" s="1"/>
  <c r="C131" i="1"/>
  <c r="B131" i="1"/>
  <c r="C130" i="1"/>
  <c r="B130" i="1"/>
  <c r="B129" i="1"/>
  <c r="C129" i="1" s="1"/>
  <c r="C128" i="1"/>
  <c r="B128" i="1"/>
  <c r="C127" i="1"/>
  <c r="B127" i="1"/>
  <c r="B126" i="1"/>
  <c r="C126" i="1" s="1"/>
  <c r="C125" i="1"/>
  <c r="B125" i="1"/>
  <c r="B124" i="1"/>
  <c r="C124" i="1" s="1"/>
  <c r="C123" i="1"/>
  <c r="B123" i="1"/>
  <c r="C122" i="1"/>
  <c r="B122" i="1"/>
  <c r="B121" i="1"/>
  <c r="C121" i="1" s="1"/>
  <c r="C120" i="1"/>
  <c r="B120" i="1"/>
  <c r="C119" i="1"/>
  <c r="B119" i="1"/>
  <c r="B118" i="1"/>
  <c r="C118" i="1" s="1"/>
  <c r="C117" i="1"/>
  <c r="B117" i="1"/>
  <c r="B116" i="1"/>
  <c r="C116" i="1" s="1"/>
  <c r="C115" i="1"/>
  <c r="B115" i="1"/>
  <c r="C114" i="1"/>
  <c r="B114" i="1"/>
  <c r="B113" i="1"/>
  <c r="C113" i="1" s="1"/>
  <c r="C112" i="1"/>
  <c r="B112" i="1"/>
  <c r="C111" i="1"/>
  <c r="B111" i="1"/>
  <c r="B110" i="1"/>
  <c r="C110" i="1" s="1"/>
  <c r="C109" i="1"/>
  <c r="B109" i="1"/>
  <c r="B108" i="1"/>
  <c r="C108" i="1" s="1"/>
  <c r="C107" i="1"/>
  <c r="B107" i="1"/>
  <c r="C106" i="1"/>
  <c r="B106" i="1"/>
  <c r="B105" i="1"/>
  <c r="C105" i="1" s="1"/>
  <c r="C104" i="1"/>
  <c r="B104" i="1"/>
  <c r="C103" i="1"/>
  <c r="B103" i="1"/>
  <c r="B102" i="1"/>
  <c r="C102" i="1" s="1"/>
  <c r="C101" i="1"/>
  <c r="B101" i="1"/>
  <c r="B100" i="1"/>
  <c r="C100" i="1" s="1"/>
  <c r="C99" i="1"/>
  <c r="B99" i="1"/>
  <c r="C98" i="1"/>
  <c r="B98" i="1"/>
  <c r="B97" i="1"/>
  <c r="C97" i="1" s="1"/>
  <c r="C96" i="1"/>
  <c r="B96" i="1"/>
  <c r="C95" i="1"/>
  <c r="B95" i="1"/>
  <c r="B94" i="1"/>
  <c r="C94" i="1" s="1"/>
  <c r="C93" i="1"/>
  <c r="B93" i="1"/>
  <c r="B92" i="1"/>
  <c r="C92" i="1" s="1"/>
  <c r="C91" i="1"/>
  <c r="B91" i="1"/>
  <c r="C90" i="1"/>
  <c r="B90" i="1"/>
  <c r="B89" i="1"/>
  <c r="C89" i="1" s="1"/>
  <c r="C88" i="1"/>
  <c r="B88" i="1"/>
  <c r="C87" i="1"/>
  <c r="B87" i="1"/>
  <c r="B86" i="1"/>
  <c r="C86" i="1" s="1"/>
  <c r="C85" i="1"/>
  <c r="B85" i="1"/>
  <c r="B84" i="1"/>
  <c r="C84" i="1" s="1"/>
  <c r="C83" i="1"/>
  <c r="B83" i="1"/>
  <c r="C82" i="1"/>
  <c r="B82" i="1"/>
  <c r="B81" i="1"/>
  <c r="C81" i="1" s="1"/>
  <c r="C80" i="1"/>
  <c r="B80" i="1"/>
  <c r="C79" i="1"/>
  <c r="B79" i="1"/>
  <c r="B78" i="1"/>
  <c r="C78" i="1" s="1"/>
  <c r="C77" i="1"/>
  <c r="B77" i="1"/>
  <c r="B76" i="1"/>
  <c r="C76" i="1" s="1"/>
  <c r="C75" i="1"/>
  <c r="B75" i="1"/>
  <c r="C74" i="1"/>
  <c r="B74" i="1"/>
  <c r="B73" i="1"/>
  <c r="C73" i="1" s="1"/>
  <c r="B72" i="1"/>
  <c r="C72" i="1" s="1"/>
  <c r="C71" i="1"/>
  <c r="B71" i="1"/>
  <c r="B70" i="1"/>
  <c r="C70" i="1" s="1"/>
  <c r="C69" i="1"/>
  <c r="B69" i="1"/>
  <c r="B68" i="1"/>
  <c r="C68" i="1" s="1"/>
  <c r="B67" i="1"/>
  <c r="C67" i="1" s="1"/>
  <c r="C66" i="1"/>
  <c r="B66" i="1"/>
  <c r="D41" i="1"/>
  <c r="C41" i="1"/>
  <c r="C40" i="1"/>
  <c r="F29" i="1"/>
  <c r="G29" i="1" s="1"/>
  <c r="C35" i="1" s="1"/>
  <c r="E29" i="1"/>
  <c r="D29" i="1"/>
  <c r="C29" i="1"/>
  <c r="F28" i="1"/>
  <c r="G28" i="1" s="1"/>
  <c r="E28" i="1"/>
  <c r="D28" i="1"/>
  <c r="C28" i="1"/>
  <c r="D40" i="1" s="1"/>
  <c r="G27" i="1"/>
  <c r="F27" i="1"/>
  <c r="D27" i="1"/>
  <c r="E27" i="1" s="1"/>
  <c r="B33" i="1" s="1"/>
  <c r="C27" i="1"/>
  <c r="B22" i="1"/>
  <c r="B21" i="1"/>
  <c r="C20" i="1"/>
  <c r="B20" i="1"/>
  <c r="C19" i="1"/>
  <c r="B19" i="1"/>
  <c r="C15" i="1"/>
  <c r="C14" i="1"/>
  <c r="C33" i="1" s="1"/>
  <c r="B14" i="1"/>
  <c r="D35" i="1" l="1"/>
  <c r="E35" i="1" s="1"/>
  <c r="D33" i="1"/>
  <c r="E33" i="1" s="1"/>
  <c r="B23" i="1"/>
  <c r="D34" i="1"/>
  <c r="C39" i="1"/>
  <c r="D39" i="1" s="1"/>
  <c r="B34" i="1"/>
  <c r="C34" i="1"/>
  <c r="B35" i="1"/>
  <c r="C40" i="2"/>
  <c r="D40" i="2" s="1"/>
  <c r="B22" i="2"/>
  <c r="B35" i="2"/>
  <c r="C39" i="2"/>
  <c r="C33" i="2"/>
  <c r="D33" i="2" l="1"/>
  <c r="D35" i="2"/>
  <c r="E35" i="2" s="1"/>
  <c r="B23" i="2"/>
  <c r="D34" i="2"/>
  <c r="E34" i="2" s="1"/>
  <c r="D39" i="2"/>
  <c r="B45" i="2" s="1" a="1"/>
  <c r="E33" i="2"/>
  <c r="E34" i="1"/>
  <c r="B45" i="1" a="1"/>
  <c r="C45" i="1" a="1"/>
  <c r="B46" i="2" l="1"/>
  <c r="D46" i="2" s="1"/>
  <c r="B47" i="2"/>
  <c r="D47" i="2" s="1"/>
  <c r="B45" i="2"/>
  <c r="C45" i="2" a="1"/>
  <c r="C45" i="1"/>
  <c r="C47" i="1"/>
  <c r="E47" i="1" s="1"/>
  <c r="C46" i="1"/>
  <c r="B46" i="1"/>
  <c r="D46" i="1" s="1"/>
  <c r="B45" i="1"/>
  <c r="B47" i="1"/>
  <c r="D47" i="1" s="1"/>
  <c r="E46" i="1" l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1038" i="1"/>
  <c r="G1026" i="1"/>
  <c r="G1024" i="1"/>
  <c r="G1015" i="1"/>
  <c r="G1013" i="1"/>
  <c r="G1011" i="1"/>
  <c r="G974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702" i="1"/>
  <c r="G694" i="1"/>
  <c r="G686" i="1"/>
  <c r="G678" i="1"/>
  <c r="G670" i="1"/>
  <c r="G1062" i="1"/>
  <c r="G1050" i="1"/>
  <c r="G1048" i="1"/>
  <c r="G1039" i="1"/>
  <c r="G1037" i="1"/>
  <c r="G1035" i="1"/>
  <c r="G998" i="1"/>
  <c r="G986" i="1"/>
  <c r="G984" i="1"/>
  <c r="G975" i="1"/>
  <c r="G973" i="1"/>
  <c r="G971" i="1"/>
  <c r="G962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1063" i="1"/>
  <c r="G1061" i="1"/>
  <c r="G1059" i="1"/>
  <c r="G1022" i="1"/>
  <c r="G1010" i="1"/>
  <c r="G1008" i="1"/>
  <c r="G999" i="1"/>
  <c r="G997" i="1"/>
  <c r="G995" i="1"/>
  <c r="G957" i="1"/>
  <c r="G952" i="1"/>
  <c r="G944" i="1"/>
  <c r="G936" i="1"/>
  <c r="G928" i="1"/>
  <c r="G920" i="1"/>
  <c r="G912" i="1"/>
  <c r="G904" i="1"/>
  <c r="G896" i="1"/>
  <c r="G888" i="1"/>
  <c r="G880" i="1"/>
  <c r="G872" i="1"/>
  <c r="G1064" i="1"/>
  <c r="G1055" i="1"/>
  <c r="G1053" i="1"/>
  <c r="G1051" i="1"/>
  <c r="G1014" i="1"/>
  <c r="G1002" i="1"/>
  <c r="G1000" i="1"/>
  <c r="G991" i="1"/>
  <c r="G989" i="1"/>
  <c r="G987" i="1"/>
  <c r="G963" i="1"/>
  <c r="G959" i="1"/>
  <c r="G954" i="1"/>
  <c r="G945" i="1"/>
  <c r="G937" i="1"/>
  <c r="G929" i="1"/>
  <c r="G921" i="1"/>
  <c r="G913" i="1"/>
  <c r="G905" i="1"/>
  <c r="G897" i="1"/>
  <c r="G1058" i="1"/>
  <c r="G1054" i="1"/>
  <c r="G983" i="1"/>
  <c r="G976" i="1"/>
  <c r="G966" i="1"/>
  <c r="G946" i="1"/>
  <c r="G932" i="1"/>
  <c r="G925" i="1"/>
  <c r="G903" i="1"/>
  <c r="G893" i="1"/>
  <c r="G882" i="1"/>
  <c r="G871" i="1"/>
  <c r="G857" i="1"/>
  <c r="G855" i="1"/>
  <c r="G853" i="1"/>
  <c r="G841" i="1"/>
  <c r="G839" i="1"/>
  <c r="G837" i="1"/>
  <c r="G825" i="1"/>
  <c r="G823" i="1"/>
  <c r="G821" i="1"/>
  <c r="G809" i="1"/>
  <c r="G807" i="1"/>
  <c r="G805" i="1"/>
  <c r="G793" i="1"/>
  <c r="G791" i="1"/>
  <c r="G789" i="1"/>
  <c r="G777" i="1"/>
  <c r="G775" i="1"/>
  <c r="G773" i="1"/>
  <c r="G764" i="1"/>
  <c r="G759" i="1"/>
  <c r="G736" i="1"/>
  <c r="G732" i="1"/>
  <c r="G727" i="1"/>
  <c r="G704" i="1"/>
  <c r="G700" i="1"/>
  <c r="G695" i="1"/>
  <c r="G672" i="1"/>
  <c r="G668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1034" i="1"/>
  <c r="G1023" i="1"/>
  <c r="G1007" i="1"/>
  <c r="G994" i="1"/>
  <c r="G990" i="1"/>
  <c r="G938" i="1"/>
  <c r="G924" i="1"/>
  <c r="G917" i="1"/>
  <c r="G892" i="1"/>
  <c r="G881" i="1"/>
  <c r="G763" i="1"/>
  <c r="G754" i="1"/>
  <c r="G749" i="1"/>
  <c r="G745" i="1"/>
  <c r="G731" i="1"/>
  <c r="G722" i="1"/>
  <c r="G717" i="1"/>
  <c r="G713" i="1"/>
  <c r="G699" i="1"/>
  <c r="G690" i="1"/>
  <c r="G685" i="1"/>
  <c r="G681" i="1"/>
  <c r="G667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1045" i="1"/>
  <c r="G1032" i="1"/>
  <c r="G1021" i="1"/>
  <c r="G970" i="1"/>
  <c r="G951" i="1"/>
  <c r="G930" i="1"/>
  <c r="G916" i="1"/>
  <c r="G909" i="1"/>
  <c r="G895" i="1"/>
  <c r="G885" i="1"/>
  <c r="G874" i="1"/>
  <c r="G852" i="1"/>
  <c r="G850" i="1"/>
  <c r="G836" i="1"/>
  <c r="G834" i="1"/>
  <c r="G820" i="1"/>
  <c r="G818" i="1"/>
  <c r="G804" i="1"/>
  <c r="G802" i="1"/>
  <c r="G788" i="1"/>
  <c r="G786" i="1"/>
  <c r="G772" i="1"/>
  <c r="G770" i="1"/>
  <c r="G744" i="1"/>
  <c r="G740" i="1"/>
  <c r="G735" i="1"/>
  <c r="G712" i="1"/>
  <c r="G708" i="1"/>
  <c r="G703" i="1"/>
  <c r="G680" i="1"/>
  <c r="G676" i="1"/>
  <c r="G671" i="1"/>
  <c r="G661" i="1"/>
  <c r="G653" i="1"/>
  <c r="G645" i="1"/>
  <c r="G637" i="1"/>
  <c r="G629" i="1"/>
  <c r="G621" i="1"/>
  <c r="G613" i="1"/>
  <c r="G605" i="1"/>
  <c r="G597" i="1"/>
  <c r="G589" i="1"/>
  <c r="G581" i="1"/>
  <c r="G573" i="1"/>
  <c r="G565" i="1"/>
  <c r="G557" i="1"/>
  <c r="G549" i="1"/>
  <c r="G541" i="1"/>
  <c r="G533" i="1"/>
  <c r="G1056" i="1"/>
  <c r="G1046" i="1"/>
  <c r="G1031" i="1"/>
  <c r="G1019" i="1"/>
  <c r="G1018" i="1"/>
  <c r="G981" i="1"/>
  <c r="G968" i="1"/>
  <c r="G943" i="1"/>
  <c r="G922" i="1"/>
  <c r="G908" i="1"/>
  <c r="G901" i="1"/>
  <c r="G884" i="1"/>
  <c r="G873" i="1"/>
  <c r="G864" i="1"/>
  <c r="G1043" i="1"/>
  <c r="G919" i="1"/>
  <c r="G887" i="1"/>
  <c r="G879" i="1"/>
  <c r="G877" i="1"/>
  <c r="G866" i="1"/>
  <c r="G832" i="1"/>
  <c r="G826" i="1"/>
  <c r="G812" i="1"/>
  <c r="G760" i="1"/>
  <c r="G743" i="1"/>
  <c r="G741" i="1"/>
  <c r="G720" i="1"/>
  <c r="G719" i="1"/>
  <c r="G707" i="1"/>
  <c r="G706" i="1"/>
  <c r="G705" i="1"/>
  <c r="G701" i="1"/>
  <c r="G683" i="1"/>
  <c r="G662" i="1"/>
  <c r="G652" i="1"/>
  <c r="G649" i="1"/>
  <c r="G639" i="1"/>
  <c r="G626" i="1"/>
  <c r="G598" i="1"/>
  <c r="G588" i="1"/>
  <c r="G585" i="1"/>
  <c r="G575" i="1"/>
  <c r="G562" i="1"/>
  <c r="G527" i="1"/>
  <c r="G522" i="1"/>
  <c r="G518" i="1"/>
  <c r="G504" i="1"/>
  <c r="G495" i="1"/>
  <c r="G490" i="1"/>
  <c r="G486" i="1"/>
  <c r="G472" i="1"/>
  <c r="G463" i="1"/>
  <c r="G458" i="1"/>
  <c r="G454" i="1"/>
  <c r="G440" i="1"/>
  <c r="G431" i="1"/>
  <c r="G426" i="1"/>
  <c r="G422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225" i="1"/>
  <c r="G217" i="1"/>
  <c r="G209" i="1"/>
  <c r="G1047" i="1"/>
  <c r="G978" i="1"/>
  <c r="G965" i="1"/>
  <c r="G889" i="1"/>
  <c r="G868" i="1"/>
  <c r="G817" i="1"/>
  <c r="G808" i="1"/>
  <c r="G799" i="1"/>
  <c r="G781" i="1"/>
  <c r="G761" i="1"/>
  <c r="G757" i="1"/>
  <c r="G684" i="1"/>
  <c r="G682" i="1"/>
  <c r="G666" i="1"/>
  <c r="G638" i="1"/>
  <c r="G628" i="1"/>
  <c r="G625" i="1"/>
  <c r="G615" i="1"/>
  <c r="G602" i="1"/>
  <c r="G574" i="1"/>
  <c r="G564" i="1"/>
  <c r="G561" i="1"/>
  <c r="G551" i="1"/>
  <c r="G537" i="1"/>
  <c r="G536" i="1"/>
  <c r="G535" i="1"/>
  <c r="G517" i="1"/>
  <c r="G513" i="1"/>
  <c r="G508" i="1"/>
  <c r="G485" i="1"/>
  <c r="G481" i="1"/>
  <c r="G476" i="1"/>
  <c r="G453" i="1"/>
  <c r="G449" i="1"/>
  <c r="G444" i="1"/>
  <c r="G421" i="1"/>
  <c r="G417" i="1"/>
  <c r="G412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1006" i="1"/>
  <c r="G967" i="1"/>
  <c r="G955" i="1"/>
  <c r="G914" i="1"/>
  <c r="G869" i="1"/>
  <c r="G858" i="1"/>
  <c r="G847" i="1"/>
  <c r="G829" i="1"/>
  <c r="G800" i="1"/>
  <c r="G794" i="1"/>
  <c r="G780" i="1"/>
  <c r="G776" i="1"/>
  <c r="G767" i="1"/>
  <c r="G762" i="1"/>
  <c r="G756" i="1"/>
  <c r="G755" i="1"/>
  <c r="G721" i="1"/>
  <c r="G696" i="1"/>
  <c r="G679" i="1"/>
  <c r="G677" i="1"/>
  <c r="G665" i="1"/>
  <c r="G655" i="1"/>
  <c r="G642" i="1"/>
  <c r="G614" i="1"/>
  <c r="G604" i="1"/>
  <c r="G601" i="1"/>
  <c r="G591" i="1"/>
  <c r="G578" i="1"/>
  <c r="G550" i="1"/>
  <c r="G548" i="1"/>
  <c r="G534" i="1"/>
  <c r="G532" i="1"/>
  <c r="G526" i="1"/>
  <c r="G512" i="1"/>
  <c r="G503" i="1"/>
  <c r="G498" i="1"/>
  <c r="G494" i="1"/>
  <c r="G480" i="1"/>
  <c r="G471" i="1"/>
  <c r="G466" i="1"/>
  <c r="G462" i="1"/>
  <c r="G448" i="1"/>
  <c r="G439" i="1"/>
  <c r="G434" i="1"/>
  <c r="G430" i="1"/>
  <c r="G416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1016" i="1"/>
  <c r="G979" i="1"/>
  <c r="G940" i="1"/>
  <c r="G933" i="1"/>
  <c r="G927" i="1"/>
  <c r="G1030" i="1"/>
  <c r="G1003" i="1"/>
  <c r="G1040" i="1"/>
  <c r="G1005" i="1"/>
  <c r="G956" i="1"/>
  <c r="G948" i="1"/>
  <c r="G1042" i="1"/>
  <c r="G1027" i="1"/>
  <c r="G982" i="1"/>
  <c r="G949" i="1"/>
  <c r="G1029" i="1"/>
  <c r="G992" i="1"/>
  <c r="G960" i="1"/>
  <c r="G906" i="1"/>
  <c r="G876" i="1"/>
  <c r="G861" i="1"/>
  <c r="G860" i="1"/>
  <c r="G849" i="1"/>
  <c r="G840" i="1"/>
  <c r="G831" i="1"/>
  <c r="G813" i="1"/>
  <c r="G784" i="1"/>
  <c r="G769" i="1"/>
  <c r="G748" i="1"/>
  <c r="G746" i="1"/>
  <c r="G730" i="1"/>
  <c r="G724" i="1"/>
  <c r="G723" i="1"/>
  <c r="G689" i="1"/>
  <c r="G663" i="1"/>
  <c r="G650" i="1"/>
  <c r="G622" i="1"/>
  <c r="G612" i="1"/>
  <c r="G609" i="1"/>
  <c r="G599" i="1"/>
  <c r="G586" i="1"/>
  <c r="G558" i="1"/>
  <c r="G538" i="1"/>
  <c r="G509" i="1"/>
  <c r="G505" i="1"/>
  <c r="G500" i="1"/>
  <c r="G477" i="1"/>
  <c r="G473" i="1"/>
  <c r="G468" i="1"/>
  <c r="G445" i="1"/>
  <c r="G441" i="1"/>
  <c r="G436" i="1"/>
  <c r="G413" i="1"/>
  <c r="G404" i="1"/>
  <c r="G396" i="1"/>
  <c r="G388" i="1"/>
  <c r="G380" i="1"/>
  <c r="G372" i="1"/>
  <c r="G364" i="1"/>
  <c r="G356" i="1"/>
  <c r="G348" i="1"/>
  <c r="G340" i="1"/>
  <c r="G332" i="1"/>
  <c r="G324" i="1"/>
  <c r="G316" i="1"/>
  <c r="G308" i="1"/>
  <c r="G300" i="1"/>
  <c r="G292" i="1"/>
  <c r="G797" i="1"/>
  <c r="G778" i="1"/>
  <c r="G733" i="1"/>
  <c r="G729" i="1"/>
  <c r="G636" i="1"/>
  <c r="G630" i="1"/>
  <c r="G530" i="1"/>
  <c r="G529" i="1"/>
  <c r="G520" i="1"/>
  <c r="G496" i="1"/>
  <c r="G474" i="1"/>
  <c r="G438" i="1"/>
  <c r="G425" i="1"/>
  <c r="G418" i="1"/>
  <c r="G415" i="1"/>
  <c r="G389" i="1"/>
  <c r="G383" i="1"/>
  <c r="G357" i="1"/>
  <c r="G351" i="1"/>
  <c r="G325" i="1"/>
  <c r="G319" i="1"/>
  <c r="G293" i="1"/>
  <c r="G285" i="1"/>
  <c r="G276" i="1"/>
  <c r="G274" i="1"/>
  <c r="G259" i="1"/>
  <c r="G255" i="1"/>
  <c r="G250" i="1"/>
  <c r="G227" i="1"/>
  <c r="G223" i="1"/>
  <c r="G218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66" i="1"/>
  <c r="G420" i="1"/>
  <c r="G354" i="1"/>
  <c r="G322" i="1"/>
  <c r="G287" i="1"/>
  <c r="G262" i="1"/>
  <c r="G248" i="1"/>
  <c r="G170" i="1"/>
  <c r="G865" i="1"/>
  <c r="G842" i="1"/>
  <c r="G824" i="1"/>
  <c r="G752" i="1"/>
  <c r="G737" i="1"/>
  <c r="G714" i="1"/>
  <c r="G692" i="1"/>
  <c r="G674" i="1"/>
  <c r="G617" i="1"/>
  <c r="G607" i="1"/>
  <c r="G596" i="1"/>
  <c r="G582" i="1"/>
  <c r="G577" i="1"/>
  <c r="G546" i="1"/>
  <c r="G545" i="1"/>
  <c r="G542" i="1"/>
  <c r="G510" i="1"/>
  <c r="G487" i="1"/>
  <c r="G452" i="1"/>
  <c r="G429" i="1"/>
  <c r="G428" i="1"/>
  <c r="G408" i="1"/>
  <c r="G394" i="1"/>
  <c r="G376" i="1"/>
  <c r="G362" i="1"/>
  <c r="G344" i="1"/>
  <c r="G330" i="1"/>
  <c r="G312" i="1"/>
  <c r="G298" i="1"/>
  <c r="G284" i="1"/>
  <c r="G272" i="1"/>
  <c r="G254" i="1"/>
  <c r="G245" i="1"/>
  <c r="G240" i="1"/>
  <c r="G236" i="1"/>
  <c r="G222" i="1"/>
  <c r="G213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C51" i="1"/>
  <c r="G117" i="1"/>
  <c r="G101" i="1"/>
  <c r="G93" i="1"/>
  <c r="G77" i="1"/>
  <c r="G69" i="1"/>
  <c r="G697" i="1"/>
  <c r="G675" i="1"/>
  <c r="G524" i="1"/>
  <c r="G478" i="1"/>
  <c r="G455" i="1"/>
  <c r="G271" i="1"/>
  <c r="G194" i="1"/>
  <c r="G138" i="1"/>
  <c r="G106" i="1"/>
  <c r="G90" i="1"/>
  <c r="G900" i="1"/>
  <c r="G844" i="1"/>
  <c r="G828" i="1"/>
  <c r="G816" i="1"/>
  <c r="G801" i="1"/>
  <c r="G711" i="1"/>
  <c r="G693" i="1"/>
  <c r="G654" i="1"/>
  <c r="G633" i="1"/>
  <c r="G631" i="1"/>
  <c r="G623" i="1"/>
  <c r="G618" i="1"/>
  <c r="G593" i="1"/>
  <c r="G580" i="1"/>
  <c r="G521" i="1"/>
  <c r="G514" i="1"/>
  <c r="G511" i="1"/>
  <c r="G497" i="1"/>
  <c r="G488" i="1"/>
  <c r="G464" i="1"/>
  <c r="G442" i="1"/>
  <c r="G407" i="1"/>
  <c r="G381" i="1"/>
  <c r="G375" i="1"/>
  <c r="G349" i="1"/>
  <c r="G343" i="1"/>
  <c r="G317" i="1"/>
  <c r="G311" i="1"/>
  <c r="G288" i="1"/>
  <c r="G263" i="1"/>
  <c r="G258" i="1"/>
  <c r="G235" i="1"/>
  <c r="G231" i="1"/>
  <c r="G226" i="1"/>
  <c r="G205" i="1"/>
  <c r="G197" i="1"/>
  <c r="G189" i="1"/>
  <c r="G181" i="1"/>
  <c r="G173" i="1"/>
  <c r="G165" i="1"/>
  <c r="G157" i="1"/>
  <c r="G149" i="1"/>
  <c r="G141" i="1"/>
  <c r="G133" i="1"/>
  <c r="G125" i="1"/>
  <c r="G109" i="1"/>
  <c r="G85" i="1"/>
  <c r="G634" i="1"/>
  <c r="G594" i="1"/>
  <c r="G556" i="1"/>
  <c r="G543" i="1"/>
  <c r="G501" i="1"/>
  <c r="G336" i="1"/>
  <c r="G290" i="1"/>
  <c r="G270" i="1"/>
  <c r="G230" i="1"/>
  <c r="G221" i="1"/>
  <c r="G216" i="1"/>
  <c r="G178" i="1"/>
  <c r="G154" i="1"/>
  <c r="G146" i="1"/>
  <c r="G130" i="1"/>
  <c r="G890" i="1"/>
  <c r="G845" i="1"/>
  <c r="G715" i="1"/>
  <c r="G269" i="1"/>
  <c r="G122" i="1"/>
  <c r="G941" i="1"/>
  <c r="G810" i="1"/>
  <c r="G728" i="1"/>
  <c r="G687" i="1"/>
  <c r="G669" i="1"/>
  <c r="G610" i="1"/>
  <c r="G572" i="1"/>
  <c r="G566" i="1"/>
  <c r="G540" i="1"/>
  <c r="G502" i="1"/>
  <c r="G489" i="1"/>
  <c r="G482" i="1"/>
  <c r="G479" i="1"/>
  <c r="G465" i="1"/>
  <c r="G456" i="1"/>
  <c r="G783" i="1"/>
  <c r="G765" i="1"/>
  <c r="G738" i="1"/>
  <c r="G660" i="1"/>
  <c r="G646" i="1"/>
  <c r="G641" i="1"/>
  <c r="G553" i="1"/>
  <c r="G516" i="1"/>
  <c r="G493" i="1"/>
  <c r="G492" i="1"/>
  <c r="G469" i="1"/>
  <c r="G446" i="1"/>
  <c r="G911" i="1"/>
  <c r="G898" i="1"/>
  <c r="G856" i="1"/>
  <c r="G848" i="1"/>
  <c r="G833" i="1"/>
  <c r="G792" i="1"/>
  <c r="G785" i="1"/>
  <c r="G753" i="1"/>
  <c r="G751" i="1"/>
  <c r="G747" i="1"/>
  <c r="G725" i="1"/>
  <c r="G716" i="1"/>
  <c r="G709" i="1"/>
  <c r="G691" i="1"/>
  <c r="G673" i="1"/>
  <c r="G657" i="1"/>
  <c r="G644" i="1"/>
  <c r="G590" i="1"/>
  <c r="G569" i="1"/>
  <c r="G567" i="1"/>
  <c r="G559" i="1"/>
  <c r="G554" i="1"/>
  <c r="G544" i="1"/>
  <c r="G528" i="1"/>
  <c r="G506" i="1"/>
  <c r="G470" i="1"/>
  <c r="G457" i="1"/>
  <c r="G935" i="1"/>
  <c r="G863" i="1"/>
  <c r="G815" i="1"/>
  <c r="G796" i="1"/>
  <c r="G768" i="1"/>
  <c r="G739" i="1"/>
  <c r="G698" i="1"/>
  <c r="G688" i="1"/>
  <c r="G658" i="1"/>
  <c r="G647" i="1"/>
  <c r="G620" i="1"/>
  <c r="G606" i="1"/>
  <c r="G570" i="1"/>
  <c r="G519" i="1"/>
  <c r="G484" i="1"/>
  <c r="G461" i="1"/>
  <c r="G460" i="1"/>
  <c r="G437" i="1"/>
  <c r="G414" i="1"/>
  <c r="G402" i="1"/>
  <c r="G384" i="1"/>
  <c r="G370" i="1"/>
  <c r="G352" i="1"/>
  <c r="G338" i="1"/>
  <c r="G320" i="1"/>
  <c r="G306" i="1"/>
  <c r="G279" i="1"/>
  <c r="G278" i="1"/>
  <c r="G277" i="1"/>
  <c r="G264" i="1"/>
  <c r="G260" i="1"/>
  <c r="G246" i="1"/>
  <c r="G237" i="1"/>
  <c r="G232" i="1"/>
  <c r="G228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C52" i="1"/>
  <c r="G583" i="1"/>
  <c r="G525" i="1"/>
  <c r="G400" i="1"/>
  <c r="G386" i="1"/>
  <c r="G368" i="1"/>
  <c r="G304" i="1"/>
  <c r="G253" i="1"/>
  <c r="G244" i="1"/>
  <c r="G212" i="1"/>
  <c r="G202" i="1"/>
  <c r="G186" i="1"/>
  <c r="G162" i="1"/>
  <c r="G114" i="1"/>
  <c r="G98" i="1"/>
  <c r="G82" i="1"/>
  <c r="G432" i="1"/>
  <c r="G410" i="1"/>
  <c r="G405" i="1"/>
  <c r="G303" i="1"/>
  <c r="G239" i="1"/>
  <c r="G229" i="1"/>
  <c r="G220" i="1"/>
  <c r="G215" i="1"/>
  <c r="G196" i="1"/>
  <c r="G193" i="1"/>
  <c r="G188" i="1"/>
  <c r="G172" i="1"/>
  <c r="G167" i="1"/>
  <c r="G164" i="1"/>
  <c r="G153" i="1"/>
  <c r="G143" i="1"/>
  <c r="G140" i="1"/>
  <c r="G135" i="1"/>
  <c r="G127" i="1"/>
  <c r="G124" i="1"/>
  <c r="G121" i="1"/>
  <c r="G119" i="1"/>
  <c r="G111" i="1"/>
  <c r="G108" i="1"/>
  <c r="G105" i="1"/>
  <c r="G84" i="1"/>
  <c r="G76" i="1"/>
  <c r="G391" i="1"/>
  <c r="G328" i="1"/>
  <c r="G314" i="1"/>
  <c r="G309" i="1"/>
  <c r="G207" i="1"/>
  <c r="G204" i="1"/>
  <c r="G201" i="1"/>
  <c r="G199" i="1"/>
  <c r="G191" i="1"/>
  <c r="G185" i="1"/>
  <c r="G183" i="1"/>
  <c r="G180" i="1"/>
  <c r="G177" i="1"/>
  <c r="G175" i="1"/>
  <c r="G169" i="1"/>
  <c r="G161" i="1"/>
  <c r="G159" i="1"/>
  <c r="G156" i="1"/>
  <c r="G151" i="1"/>
  <c r="G148" i="1"/>
  <c r="G145" i="1"/>
  <c r="G137" i="1"/>
  <c r="G132" i="1"/>
  <c r="G129" i="1"/>
  <c r="G116" i="1"/>
  <c r="G113" i="1"/>
  <c r="G103" i="1"/>
  <c r="G100" i="1"/>
  <c r="G97" i="1"/>
  <c r="G95" i="1"/>
  <c r="G92" i="1"/>
  <c r="G89" i="1"/>
  <c r="G87" i="1"/>
  <c r="G81" i="1"/>
  <c r="G79" i="1"/>
  <c r="G301" i="1"/>
  <c r="G73" i="1"/>
  <c r="G266" i="1"/>
  <c r="G243" i="1"/>
  <c r="G238" i="1"/>
  <c r="G219" i="1"/>
  <c r="G210" i="1"/>
  <c r="G423" i="1"/>
  <c r="G367" i="1"/>
  <c r="G333" i="1"/>
  <c r="G295" i="1"/>
  <c r="G447" i="1"/>
  <c r="G392" i="1"/>
  <c r="G378" i="1"/>
  <c r="G373" i="1"/>
  <c r="G68" i="1"/>
  <c r="G296" i="1"/>
  <c r="G74" i="1"/>
  <c r="G335" i="1"/>
  <c r="G256" i="1"/>
  <c r="G251" i="1"/>
  <c r="G242" i="1"/>
  <c r="G224" i="1"/>
  <c r="C50" i="1"/>
  <c r="G450" i="1"/>
  <c r="G268" i="1"/>
  <c r="G433" i="1"/>
  <c r="G360" i="1"/>
  <c r="G346" i="1"/>
  <c r="G341" i="1"/>
  <c r="G282" i="1"/>
  <c r="G280" i="1"/>
  <c r="G424" i="1"/>
  <c r="G399" i="1"/>
  <c r="G365" i="1"/>
  <c r="G327" i="1"/>
  <c r="G261" i="1"/>
  <c r="G252" i="1"/>
  <c r="G247" i="1"/>
  <c r="G234" i="1"/>
  <c r="G211" i="1"/>
  <c r="G71" i="1"/>
  <c r="G397" i="1"/>
  <c r="G359" i="1"/>
  <c r="D1064" i="2"/>
  <c r="D1061" i="2"/>
  <c r="D1053" i="2"/>
  <c r="D1045" i="2"/>
  <c r="D1058" i="2"/>
  <c r="D1050" i="2"/>
  <c r="D1063" i="2"/>
  <c r="D1055" i="2"/>
  <c r="D1047" i="2"/>
  <c r="D1039" i="2"/>
  <c r="D1031" i="2"/>
  <c r="D1023" i="2"/>
  <c r="D1015" i="2"/>
  <c r="D1060" i="2"/>
  <c r="D1052" i="2"/>
  <c r="D1044" i="2"/>
  <c r="D1057" i="2"/>
  <c r="D1049" i="2"/>
  <c r="D1062" i="2"/>
  <c r="D1054" i="2"/>
  <c r="D1046" i="2"/>
  <c r="D1038" i="2"/>
  <c r="D1030" i="2"/>
  <c r="D1022" i="2"/>
  <c r="D1014" i="2"/>
  <c r="D1059" i="2"/>
  <c r="D1051" i="2"/>
  <c r="D1043" i="2"/>
  <c r="D1035" i="2"/>
  <c r="D1027" i="2"/>
  <c r="D1019" i="2"/>
  <c r="D1011" i="2"/>
  <c r="D1003" i="2"/>
  <c r="D1042" i="2"/>
  <c r="D1017" i="2"/>
  <c r="D1016" i="2"/>
  <c r="D1005" i="2"/>
  <c r="D991" i="2"/>
  <c r="D983" i="2"/>
  <c r="D975" i="2"/>
  <c r="D967" i="2"/>
  <c r="D1018" i="2"/>
  <c r="D1000" i="2"/>
  <c r="D1056" i="2"/>
  <c r="D1037" i="2"/>
  <c r="D996" i="2"/>
  <c r="D987" i="2"/>
  <c r="D982" i="2"/>
  <c r="D978" i="2"/>
  <c r="D973" i="2"/>
  <c r="D964" i="2"/>
  <c r="D960" i="2"/>
  <c r="D952" i="2"/>
  <c r="D944" i="2"/>
  <c r="D1034" i="2"/>
  <c r="D1025" i="2"/>
  <c r="D1008" i="2"/>
  <c r="D1007" i="2"/>
  <c r="D1006" i="2"/>
  <c r="D977" i="2"/>
  <c r="D968" i="2"/>
  <c r="D957" i="2"/>
  <c r="D995" i="2"/>
  <c r="D1028" i="2"/>
  <c r="D1012" i="2"/>
  <c r="D1002" i="2"/>
  <c r="D998" i="2"/>
  <c r="D961" i="2"/>
  <c r="D959" i="2"/>
  <c r="D935" i="2"/>
  <c r="D927" i="2"/>
  <c r="D919" i="2"/>
  <c r="D911" i="2"/>
  <c r="D903" i="2"/>
  <c r="D895" i="2"/>
  <c r="D887" i="2"/>
  <c r="D1033" i="2"/>
  <c r="D1026" i="2"/>
  <c r="D1020" i="2"/>
  <c r="D1010" i="2"/>
  <c r="D994" i="2"/>
  <c r="D985" i="2"/>
  <c r="D984" i="2"/>
  <c r="D963" i="2"/>
  <c r="D962" i="2"/>
  <c r="D958" i="2"/>
  <c r="D948" i="2"/>
  <c r="D943" i="2"/>
  <c r="D940" i="2"/>
  <c r="D932" i="2"/>
  <c r="D924" i="2"/>
  <c r="D916" i="2"/>
  <c r="D908" i="2"/>
  <c r="D900" i="2"/>
  <c r="D892" i="2"/>
  <c r="D1001" i="2"/>
  <c r="D992" i="2"/>
  <c r="D976" i="2"/>
  <c r="D945" i="2"/>
  <c r="D941" i="2"/>
  <c r="D933" i="2"/>
  <c r="D1024" i="2"/>
  <c r="D990" i="2"/>
  <c r="D971" i="2"/>
  <c r="D955" i="2"/>
  <c r="D939" i="2"/>
  <c r="D938" i="2"/>
  <c r="D923" i="2"/>
  <c r="D907" i="2"/>
  <c r="D891" i="2"/>
  <c r="D883" i="2"/>
  <c r="D876" i="2"/>
  <c r="D868" i="2"/>
  <c r="D860" i="2"/>
  <c r="D852" i="2"/>
  <c r="D844" i="2"/>
  <c r="D836" i="2"/>
  <c r="D828" i="2"/>
  <c r="D820" i="2"/>
  <c r="D1021" i="2"/>
  <c r="D1009" i="2"/>
  <c r="D999" i="2"/>
  <c r="D947" i="2"/>
  <c r="D929" i="2"/>
  <c r="D928" i="2"/>
  <c r="D922" i="2"/>
  <c r="D921" i="2"/>
  <c r="D906" i="2"/>
  <c r="D905" i="2"/>
  <c r="D890" i="2"/>
  <c r="D889" i="2"/>
  <c r="D873" i="2"/>
  <c r="D865" i="2"/>
  <c r="D857" i="2"/>
  <c r="D849" i="2"/>
  <c r="D841" i="2"/>
  <c r="D833" i="2"/>
  <c r="D825" i="2"/>
  <c r="D1029" i="2"/>
  <c r="D951" i="2"/>
  <c r="D926" i="2"/>
  <c r="D912" i="2"/>
  <c r="D910" i="2"/>
  <c r="D896" i="2"/>
  <c r="D894" i="2"/>
  <c r="D884" i="2"/>
  <c r="D874" i="2"/>
  <c r="D866" i="2"/>
  <c r="D858" i="2"/>
  <c r="D850" i="2"/>
  <c r="D842" i="2"/>
  <c r="D834" i="2"/>
  <c r="D826" i="2"/>
  <c r="D986" i="2"/>
  <c r="D966" i="2"/>
  <c r="D930" i="2"/>
  <c r="D885" i="2"/>
  <c r="D870" i="2"/>
  <c r="D869" i="2"/>
  <c r="D859" i="2"/>
  <c r="D814" i="2"/>
  <c r="D806" i="2"/>
  <c r="D798" i="2"/>
  <c r="D790" i="2"/>
  <c r="D782" i="2"/>
  <c r="D774" i="2"/>
  <c r="D1036" i="2"/>
  <c r="D993" i="2"/>
  <c r="D988" i="2"/>
  <c r="D980" i="2"/>
  <c r="D974" i="2"/>
  <c r="D953" i="2"/>
  <c r="D918" i="2"/>
  <c r="D914" i="2"/>
  <c r="D886" i="2"/>
  <c r="D880" i="2"/>
  <c r="D872" i="2"/>
  <c r="D871" i="2"/>
  <c r="D848" i="2"/>
  <c r="D847" i="2"/>
  <c r="D846" i="2"/>
  <c r="D845" i="2"/>
  <c r="D835" i="2"/>
  <c r="D819" i="2"/>
  <c r="D811" i="2"/>
  <c r="D803" i="2"/>
  <c r="D795" i="2"/>
  <c r="D787" i="2"/>
  <c r="D997" i="2"/>
  <c r="D956" i="2"/>
  <c r="D937" i="2"/>
  <c r="D934" i="2"/>
  <c r="D902" i="2"/>
  <c r="D898" i="2"/>
  <c r="D867" i="2"/>
  <c r="D969" i="2"/>
  <c r="D954" i="2"/>
  <c r="D949" i="2"/>
  <c r="D942" i="2"/>
  <c r="D925" i="2"/>
  <c r="D904" i="2"/>
  <c r="D878" i="2"/>
  <c r="D856" i="2"/>
  <c r="D832" i="2"/>
  <c r="D831" i="2"/>
  <c r="D830" i="2"/>
  <c r="D822" i="2"/>
  <c r="D817" i="2"/>
  <c r="D816" i="2"/>
  <c r="D801" i="2"/>
  <c r="D800" i="2"/>
  <c r="D786" i="2"/>
  <c r="D781" i="2"/>
  <c r="D777" i="2"/>
  <c r="D772" i="2"/>
  <c r="D769" i="2"/>
  <c r="D761" i="2"/>
  <c r="D753" i="2"/>
  <c r="D745" i="2"/>
  <c r="D737" i="2"/>
  <c r="D1032" i="2"/>
  <c r="D979" i="2"/>
  <c r="D972" i="2"/>
  <c r="D946" i="2"/>
  <c r="D936" i="2"/>
  <c r="D917" i="2"/>
  <c r="D915" i="2"/>
  <c r="D862" i="2"/>
  <c r="D840" i="2"/>
  <c r="D827" i="2"/>
  <c r="D815" i="2"/>
  <c r="D813" i="2"/>
  <c r="D799" i="2"/>
  <c r="D797" i="2"/>
  <c r="D776" i="2"/>
  <c r="D766" i="2"/>
  <c r="D758" i="2"/>
  <c r="D920" i="2"/>
  <c r="D897" i="2"/>
  <c r="D893" i="2"/>
  <c r="D864" i="2"/>
  <c r="D838" i="2"/>
  <c r="D807" i="2"/>
  <c r="D805" i="2"/>
  <c r="D791" i="2"/>
  <c r="D789" i="2"/>
  <c r="D783" i="2"/>
  <c r="D770" i="2"/>
  <c r="D970" i="2"/>
  <c r="D861" i="2"/>
  <c r="D853" i="2"/>
  <c r="D812" i="2"/>
  <c r="D808" i="2"/>
  <c r="D788" i="2"/>
  <c r="D778" i="2"/>
  <c r="D750" i="2"/>
  <c r="D741" i="2"/>
  <c r="D736" i="2"/>
  <c r="D727" i="2"/>
  <c r="D719" i="2"/>
  <c r="D711" i="2"/>
  <c r="D703" i="2"/>
  <c r="D695" i="2"/>
  <c r="D687" i="2"/>
  <c r="D679" i="2"/>
  <c r="D671" i="2"/>
  <c r="D663" i="2"/>
  <c r="D655" i="2"/>
  <c r="D647" i="2"/>
  <c r="D639" i="2"/>
  <c r="D631" i="2"/>
  <c r="D1004" i="2"/>
  <c r="D989" i="2"/>
  <c r="D965" i="2"/>
  <c r="D888" i="2"/>
  <c r="D784" i="2"/>
  <c r="D773" i="2"/>
  <c r="D763" i="2"/>
  <c r="D762" i="2"/>
  <c r="D760" i="2"/>
  <c r="D732" i="2"/>
  <c r="D724" i="2"/>
  <c r="D716" i="2"/>
  <c r="D708" i="2"/>
  <c r="D700" i="2"/>
  <c r="D692" i="2"/>
  <c r="D684" i="2"/>
  <c r="D676" i="2"/>
  <c r="D1041" i="2"/>
  <c r="D950" i="2"/>
  <c r="D851" i="2"/>
  <c r="D824" i="2"/>
  <c r="D794" i="2"/>
  <c r="D751" i="2"/>
  <c r="D742" i="2"/>
  <c r="D733" i="2"/>
  <c r="D725" i="2"/>
  <c r="D717" i="2"/>
  <c r="D709" i="2"/>
  <c r="D701" i="2"/>
  <c r="D693" i="2"/>
  <c r="D685" i="2"/>
  <c r="D1040" i="2"/>
  <c r="D1013" i="2"/>
  <c r="D899" i="2"/>
  <c r="D854" i="2"/>
  <c r="D818" i="2"/>
  <c r="D764" i="2"/>
  <c r="D747" i="2"/>
  <c r="D729" i="2"/>
  <c r="D728" i="2"/>
  <c r="D697" i="2"/>
  <c r="D696" i="2"/>
  <c r="D680" i="2"/>
  <c r="D678" i="2"/>
  <c r="D667" i="2"/>
  <c r="D662" i="2"/>
  <c r="D658" i="2"/>
  <c r="D653" i="2"/>
  <c r="D644" i="2"/>
  <c r="D635" i="2"/>
  <c r="D630" i="2"/>
  <c r="D624" i="2"/>
  <c r="D616" i="2"/>
  <c r="D608" i="2"/>
  <c r="D600" i="2"/>
  <c r="D592" i="2"/>
  <c r="D584" i="2"/>
  <c r="D576" i="2"/>
  <c r="D568" i="2"/>
  <c r="D560" i="2"/>
  <c r="D552" i="2"/>
  <c r="D544" i="2"/>
  <c r="D881" i="2"/>
  <c r="D829" i="2"/>
  <c r="D775" i="2"/>
  <c r="D759" i="2"/>
  <c r="D752" i="2"/>
  <c r="D743" i="2"/>
  <c r="D731" i="2"/>
  <c r="D730" i="2"/>
  <c r="D710" i="2"/>
  <c r="D699" i="2"/>
  <c r="D698" i="2"/>
  <c r="D677" i="2"/>
  <c r="D657" i="2"/>
  <c r="D648" i="2"/>
  <c r="D621" i="2"/>
  <c r="D613" i="2"/>
  <c r="D605" i="2"/>
  <c r="D597" i="2"/>
  <c r="D589" i="2"/>
  <c r="D581" i="2"/>
  <c r="D573" i="2"/>
  <c r="D565" i="2"/>
  <c r="D557" i="2"/>
  <c r="D549" i="2"/>
  <c r="D541" i="2"/>
  <c r="D533" i="2"/>
  <c r="D525" i="2"/>
  <c r="D517" i="2"/>
  <c r="D509" i="2"/>
  <c r="D501" i="2"/>
  <c r="D493" i="2"/>
  <c r="D485" i="2"/>
  <c r="D909" i="2"/>
  <c r="D875" i="2"/>
  <c r="D981" i="2"/>
  <c r="D879" i="2"/>
  <c r="D839" i="2"/>
  <c r="D796" i="2"/>
  <c r="D779" i="2"/>
  <c r="D754" i="2"/>
  <c r="D746" i="2"/>
  <c r="D705" i="2"/>
  <c r="D704" i="2"/>
  <c r="D683" i="2"/>
  <c r="D668" i="2"/>
  <c r="D659" i="2"/>
  <c r="D654" i="2"/>
  <c r="D650" i="2"/>
  <c r="D645" i="2"/>
  <c r="D636" i="2"/>
  <c r="D877" i="2"/>
  <c r="D855" i="2"/>
  <c r="D821" i="2"/>
  <c r="D723" i="2"/>
  <c r="D718" i="2"/>
  <c r="D715" i="2"/>
  <c r="D706" i="2"/>
  <c r="D689" i="2"/>
  <c r="D672" i="2"/>
  <c r="D656" i="2"/>
  <c r="D634" i="2"/>
  <c r="D625" i="2"/>
  <c r="D623" i="2"/>
  <c r="D609" i="2"/>
  <c r="D607" i="2"/>
  <c r="D593" i="2"/>
  <c r="D591" i="2"/>
  <c r="D901" i="2"/>
  <c r="D792" i="2"/>
  <c r="D749" i="2"/>
  <c r="D740" i="2"/>
  <c r="D738" i="2"/>
  <c r="D721" i="2"/>
  <c r="D712" i="2"/>
  <c r="D707" i="2"/>
  <c r="D694" i="2"/>
  <c r="D640" i="2"/>
  <c r="D622" i="2"/>
  <c r="D606" i="2"/>
  <c r="D590" i="2"/>
  <c r="D574" i="2"/>
  <c r="D558" i="2"/>
  <c r="D545" i="2"/>
  <c r="D543" i="2"/>
  <c r="D538" i="2"/>
  <c r="D529" i="2"/>
  <c r="D524" i="2"/>
  <c r="D520" i="2"/>
  <c r="D515" i="2"/>
  <c r="D506" i="2"/>
  <c r="D497" i="2"/>
  <c r="D492" i="2"/>
  <c r="D488" i="2"/>
  <c r="D793" i="2"/>
  <c r="D785" i="2"/>
  <c r="D780" i="2"/>
  <c r="D720" i="2"/>
  <c r="D714" i="2"/>
  <c r="D682" i="2"/>
  <c r="D661" i="2"/>
  <c r="D643" i="2"/>
  <c r="D633" i="2"/>
  <c r="D628" i="2"/>
  <c r="D612" i="2"/>
  <c r="D596" i="2"/>
  <c r="D580" i="2"/>
  <c r="D564" i="2"/>
  <c r="D548" i="2"/>
  <c r="D535" i="2"/>
  <c r="D526" i="2"/>
  <c r="D809" i="2"/>
  <c r="D768" i="2"/>
  <c r="D757" i="2"/>
  <c r="D755" i="2"/>
  <c r="D735" i="2"/>
  <c r="D691" i="2"/>
  <c r="D686" i="2"/>
  <c r="D666" i="2"/>
  <c r="D649" i="2"/>
  <c r="D629" i="2"/>
  <c r="D627" i="2"/>
  <c r="D626" i="2"/>
  <c r="D611" i="2"/>
  <c r="D610" i="2"/>
  <c r="D595" i="2"/>
  <c r="D594" i="2"/>
  <c r="D579" i="2"/>
  <c r="D578" i="2"/>
  <c r="D563" i="2"/>
  <c r="D562" i="2"/>
  <c r="D547" i="2"/>
  <c r="D931" i="2"/>
  <c r="D802" i="2"/>
  <c r="D744" i="2"/>
  <c r="D681" i="2"/>
  <c r="D674" i="2"/>
  <c r="D641" i="2"/>
  <c r="D615" i="2"/>
  <c r="D602" i="2"/>
  <c r="D554" i="2"/>
  <c r="D550" i="2"/>
  <c r="D532" i="2"/>
  <c r="D531" i="2"/>
  <c r="D530" i="2"/>
  <c r="D528" i="2"/>
  <c r="D767" i="2"/>
  <c r="D665" i="2"/>
  <c r="D620" i="2"/>
  <c r="D1048" i="2"/>
  <c r="D713" i="2"/>
  <c r="D690" i="2"/>
  <c r="D673" i="2"/>
  <c r="D669" i="2"/>
  <c r="D651" i="2"/>
  <c r="D618" i="2"/>
  <c r="D587" i="2"/>
  <c r="D582" i="2"/>
  <c r="D882" i="2"/>
  <c r="D863" i="2"/>
  <c r="D739" i="2"/>
  <c r="D734" i="2"/>
  <c r="D726" i="2"/>
  <c r="D688" i="2"/>
  <c r="D652" i="2"/>
  <c r="D637" i="2"/>
  <c r="D837" i="2"/>
  <c r="D756" i="2"/>
  <c r="D702" i="2"/>
  <c r="D617" i="2"/>
  <c r="D604" i="2"/>
  <c r="D586" i="2"/>
  <c r="D571" i="2"/>
  <c r="D537" i="2"/>
  <c r="D521" i="2"/>
  <c r="D508" i="2"/>
  <c r="D486" i="2"/>
  <c r="D475" i="2"/>
  <c r="D467" i="2"/>
  <c r="D459" i="2"/>
  <c r="D451" i="2"/>
  <c r="D771" i="2"/>
  <c r="D599" i="2"/>
  <c r="D523" i="2"/>
  <c r="D522" i="2"/>
  <c r="D519" i="2"/>
  <c r="D507" i="2"/>
  <c r="D496" i="2"/>
  <c r="D495" i="2"/>
  <c r="D484" i="2"/>
  <c r="D480" i="2"/>
  <c r="D472" i="2"/>
  <c r="D464" i="2"/>
  <c r="D748" i="2"/>
  <c r="D660" i="2"/>
  <c r="D619" i="2"/>
  <c r="D588" i="2"/>
  <c r="D583" i="2"/>
  <c r="D569" i="2"/>
  <c r="D566" i="2"/>
  <c r="D555" i="2"/>
  <c r="D539" i="2"/>
  <c r="D518" i="2"/>
  <c r="D494" i="2"/>
  <c r="D477" i="2"/>
  <c r="D469" i="2"/>
  <c r="D843" i="2"/>
  <c r="D632" i="2"/>
  <c r="D567" i="2"/>
  <c r="D561" i="2"/>
  <c r="D553" i="2"/>
  <c r="D540" i="2"/>
  <c r="D534" i="2"/>
  <c r="D504" i="2"/>
  <c r="D503" i="2"/>
  <c r="D765" i="2"/>
  <c r="D614" i="2"/>
  <c r="D601" i="2"/>
  <c r="D585" i="2"/>
  <c r="D542" i="2"/>
  <c r="D502" i="2"/>
  <c r="D499" i="2"/>
  <c r="D491" i="2"/>
  <c r="D481" i="2"/>
  <c r="D460" i="2"/>
  <c r="D443" i="2"/>
  <c r="D435" i="2"/>
  <c r="D427" i="2"/>
  <c r="D419" i="2"/>
  <c r="D411" i="2"/>
  <c r="D403" i="2"/>
  <c r="D395" i="2"/>
  <c r="D387" i="2"/>
  <c r="D379" i="2"/>
  <c r="D371" i="2"/>
  <c r="D363" i="2"/>
  <c r="D355" i="2"/>
  <c r="D347" i="2"/>
  <c r="D339" i="2"/>
  <c r="D331" i="2"/>
  <c r="D323" i="2"/>
  <c r="D913" i="2"/>
  <c r="D664" i="2"/>
  <c r="D577" i="2"/>
  <c r="D551" i="2"/>
  <c r="D536" i="2"/>
  <c r="D513" i="2"/>
  <c r="D510" i="2"/>
  <c r="D487" i="2"/>
  <c r="D482" i="2"/>
  <c r="D474" i="2"/>
  <c r="D473" i="2"/>
  <c r="D455" i="2"/>
  <c r="D450" i="2"/>
  <c r="D446" i="2"/>
  <c r="D440" i="2"/>
  <c r="D432" i="2"/>
  <c r="D424" i="2"/>
  <c r="D416" i="2"/>
  <c r="D408" i="2"/>
  <c r="D400" i="2"/>
  <c r="D392" i="2"/>
  <c r="D384" i="2"/>
  <c r="D823" i="2"/>
  <c r="D722" i="2"/>
  <c r="D603" i="2"/>
  <c r="D559" i="2"/>
  <c r="D546" i="2"/>
  <c r="D516" i="2"/>
  <c r="D500" i="2"/>
  <c r="D483" i="2"/>
  <c r="D445" i="2"/>
  <c r="D437" i="2"/>
  <c r="D429" i="2"/>
  <c r="D421" i="2"/>
  <c r="D413" i="2"/>
  <c r="D405" i="2"/>
  <c r="D397" i="2"/>
  <c r="D389" i="2"/>
  <c r="D381" i="2"/>
  <c r="D642" i="2"/>
  <c r="D575" i="2"/>
  <c r="D570" i="2"/>
  <c r="D490" i="2"/>
  <c r="D461" i="2"/>
  <c r="D452" i="2"/>
  <c r="D441" i="2"/>
  <c r="D433" i="2"/>
  <c r="D425" i="2"/>
  <c r="D417" i="2"/>
  <c r="D409" i="2"/>
  <c r="D401" i="2"/>
  <c r="D393" i="2"/>
  <c r="D385" i="2"/>
  <c r="D377" i="2"/>
  <c r="D505" i="2"/>
  <c r="D498" i="2"/>
  <c r="D457" i="2"/>
  <c r="D454" i="2"/>
  <c r="D420" i="2"/>
  <c r="D383" i="2"/>
  <c r="D365" i="2"/>
  <c r="D356" i="2"/>
  <c r="D333" i="2"/>
  <c r="D324" i="2"/>
  <c r="D314" i="2"/>
  <c r="D306" i="2"/>
  <c r="D298" i="2"/>
  <c r="D290" i="2"/>
  <c r="D282" i="2"/>
  <c r="D274" i="2"/>
  <c r="D266" i="2"/>
  <c r="D258" i="2"/>
  <c r="D250" i="2"/>
  <c r="D242" i="2"/>
  <c r="D234" i="2"/>
  <c r="D226" i="2"/>
  <c r="D218" i="2"/>
  <c r="D210" i="2"/>
  <c r="D202" i="2"/>
  <c r="D194" i="2"/>
  <c r="D186" i="2"/>
  <c r="D178" i="2"/>
  <c r="D170" i="2"/>
  <c r="D162" i="2"/>
  <c r="D489" i="2"/>
  <c r="D448" i="2"/>
  <c r="D412" i="2"/>
  <c r="D404" i="2"/>
  <c r="D374" i="2"/>
  <c r="D369" i="2"/>
  <c r="D360" i="2"/>
  <c r="D351" i="2"/>
  <c r="D346" i="2"/>
  <c r="D342" i="2"/>
  <c r="D337" i="2"/>
  <c r="D328" i="2"/>
  <c r="D319" i="2"/>
  <c r="D311" i="2"/>
  <c r="D303" i="2"/>
  <c r="D295" i="2"/>
  <c r="D287" i="2"/>
  <c r="D279" i="2"/>
  <c r="D271" i="2"/>
  <c r="D263" i="2"/>
  <c r="D255" i="2"/>
  <c r="D247" i="2"/>
  <c r="D239" i="2"/>
  <c r="D231" i="2"/>
  <c r="D514" i="2"/>
  <c r="D512" i="2"/>
  <c r="D476" i="2"/>
  <c r="D466" i="2"/>
  <c r="D458" i="2"/>
  <c r="D442" i="2"/>
  <c r="D434" i="2"/>
  <c r="D396" i="2"/>
  <c r="D388" i="2"/>
  <c r="D373" i="2"/>
  <c r="D364" i="2"/>
  <c r="D341" i="2"/>
  <c r="D332" i="2"/>
  <c r="D316" i="2"/>
  <c r="D308" i="2"/>
  <c r="D300" i="2"/>
  <c r="D292" i="2"/>
  <c r="D284" i="2"/>
  <c r="D276" i="2"/>
  <c r="D268" i="2"/>
  <c r="D260" i="2"/>
  <c r="D252" i="2"/>
  <c r="D244" i="2"/>
  <c r="D236" i="2"/>
  <c r="D675" i="2"/>
  <c r="D598" i="2"/>
  <c r="D572" i="2"/>
  <c r="D479" i="2"/>
  <c r="D471" i="2"/>
  <c r="D463" i="2"/>
  <c r="D444" i="2"/>
  <c r="D436" i="2"/>
  <c r="D428" i="2"/>
  <c r="D399" i="2"/>
  <c r="D391" i="2"/>
  <c r="D382" i="2"/>
  <c r="D375" i="2"/>
  <c r="D370" i="2"/>
  <c r="D366" i="2"/>
  <c r="D361" i="2"/>
  <c r="D352" i="2"/>
  <c r="D343" i="2"/>
  <c r="D338" i="2"/>
  <c r="D334" i="2"/>
  <c r="D329" i="2"/>
  <c r="D320" i="2"/>
  <c r="D317" i="2"/>
  <c r="D309" i="2"/>
  <c r="D301" i="2"/>
  <c r="D293" i="2"/>
  <c r="D285" i="2"/>
  <c r="D277" i="2"/>
  <c r="D269" i="2"/>
  <c r="D261" i="2"/>
  <c r="D253" i="2"/>
  <c r="D245" i="2"/>
  <c r="D237" i="2"/>
  <c r="D670" i="2"/>
  <c r="D468" i="2"/>
  <c r="D439" i="2"/>
  <c r="D426" i="2"/>
  <c r="D422" i="2"/>
  <c r="D394" i="2"/>
  <c r="D386" i="2"/>
  <c r="D353" i="2"/>
  <c r="D350" i="2"/>
  <c r="D321" i="2"/>
  <c r="D305" i="2"/>
  <c r="D296" i="2"/>
  <c r="D275" i="2"/>
  <c r="D262" i="2"/>
  <c r="D241" i="2"/>
  <c r="D232" i="2"/>
  <c r="D219" i="2"/>
  <c r="D196" i="2"/>
  <c r="D187" i="2"/>
  <c r="D164" i="2"/>
  <c r="D157" i="2"/>
  <c r="D430" i="2"/>
  <c r="D415" i="2"/>
  <c r="D390" i="2"/>
  <c r="D376" i="2"/>
  <c r="D344" i="2"/>
  <c r="D318" i="2"/>
  <c r="D297" i="2"/>
  <c r="D288" i="2"/>
  <c r="D267" i="2"/>
  <c r="D254" i="2"/>
  <c r="D233" i="2"/>
  <c r="D223" i="2"/>
  <c r="D214" i="2"/>
  <c r="D462" i="2"/>
  <c r="D402" i="2"/>
  <c r="D357" i="2"/>
  <c r="D354" i="2"/>
  <c r="D325" i="2"/>
  <c r="D322" i="2"/>
  <c r="D310" i="2"/>
  <c r="D289" i="2"/>
  <c r="D280" i="2"/>
  <c r="D259" i="2"/>
  <c r="D246" i="2"/>
  <c r="D810" i="2"/>
  <c r="D804" i="2"/>
  <c r="D638" i="2"/>
  <c r="D556" i="2"/>
  <c r="D527" i="2"/>
  <c r="D470" i="2"/>
  <c r="D438" i="2"/>
  <c r="D410" i="2"/>
  <c r="D406" i="2"/>
  <c r="D398" i="2"/>
  <c r="D367" i="2"/>
  <c r="D348" i="2"/>
  <c r="D345" i="2"/>
  <c r="D335" i="2"/>
  <c r="D315" i="2"/>
  <c r="D453" i="2"/>
  <c r="D423" i="2"/>
  <c r="D299" i="2"/>
  <c r="D286" i="2"/>
  <c r="D264" i="2"/>
  <c r="D249" i="2"/>
  <c r="D240" i="2"/>
  <c r="D238" i="2"/>
  <c r="D228" i="2"/>
  <c r="D224" i="2"/>
  <c r="D212" i="2"/>
  <c r="D211" i="2"/>
  <c r="D199" i="2"/>
  <c r="D189" i="2"/>
  <c r="D188" i="2"/>
  <c r="D176" i="2"/>
  <c r="D163" i="2"/>
  <c r="D156" i="2"/>
  <c r="D148" i="2"/>
  <c r="D140" i="2"/>
  <c r="D132" i="2"/>
  <c r="D124" i="2"/>
  <c r="D116" i="2"/>
  <c r="D108" i="2"/>
  <c r="D100" i="2"/>
  <c r="D92" i="2"/>
  <c r="D84" i="2"/>
  <c r="D76" i="2"/>
  <c r="D68" i="2"/>
  <c r="B52" i="2"/>
  <c r="D449" i="2"/>
  <c r="D407" i="2"/>
  <c r="D340" i="2"/>
  <c r="D326" i="2"/>
  <c r="D273" i="2"/>
  <c r="D243" i="2"/>
  <c r="D225" i="2"/>
  <c r="D213" i="2"/>
  <c r="D198" i="2"/>
  <c r="D175" i="2"/>
  <c r="D161" i="2"/>
  <c r="D153" i="2"/>
  <c r="D145" i="2"/>
  <c r="D137" i="2"/>
  <c r="D129" i="2"/>
  <c r="D121" i="2"/>
  <c r="D113" i="2"/>
  <c r="D105" i="2"/>
  <c r="D97" i="2"/>
  <c r="D89" i="2"/>
  <c r="D81" i="2"/>
  <c r="D73" i="2"/>
  <c r="D456" i="2"/>
  <c r="D414" i="2"/>
  <c r="D380" i="2"/>
  <c r="D359" i="2"/>
  <c r="D349" i="2"/>
  <c r="D312" i="2"/>
  <c r="D304" i="2"/>
  <c r="D302" i="2"/>
  <c r="D291" i="2"/>
  <c r="D220" i="2"/>
  <c r="D197" i="2"/>
  <c r="D185" i="2"/>
  <c r="D174" i="2"/>
  <c r="D173" i="2"/>
  <c r="D172" i="2"/>
  <c r="D160" i="2"/>
  <c r="D150" i="2"/>
  <c r="D142" i="2"/>
  <c r="D134" i="2"/>
  <c r="D126" i="2"/>
  <c r="D118" i="2"/>
  <c r="D110" i="2"/>
  <c r="D102" i="2"/>
  <c r="D94" i="2"/>
  <c r="D86" i="2"/>
  <c r="D78" i="2"/>
  <c r="D70" i="2"/>
  <c r="D66" i="2"/>
  <c r="E66" i="2" s="1"/>
  <c r="D646" i="2"/>
  <c r="D478" i="2"/>
  <c r="D465" i="2"/>
  <c r="D378" i="2"/>
  <c r="D362" i="2"/>
  <c r="D336" i="2"/>
  <c r="D270" i="2"/>
  <c r="D209" i="2"/>
  <c r="D201" i="2"/>
  <c r="D200" i="2"/>
  <c r="D190" i="2"/>
  <c r="D177" i="2"/>
  <c r="D165" i="2"/>
  <c r="D151" i="2"/>
  <c r="D143" i="2"/>
  <c r="D135" i="2"/>
  <c r="D127" i="2"/>
  <c r="D119" i="2"/>
  <c r="D111" i="2"/>
  <c r="D103" i="2"/>
  <c r="D95" i="2"/>
  <c r="D87" i="2"/>
  <c r="D79" i="2"/>
  <c r="D71" i="2"/>
  <c r="D447" i="2"/>
  <c r="D372" i="2"/>
  <c r="D330" i="2"/>
  <c r="D265" i="2"/>
  <c r="D192" i="2"/>
  <c r="D171" i="2"/>
  <c r="D166" i="2"/>
  <c r="D149" i="2"/>
  <c r="D136" i="2"/>
  <c r="D115" i="2"/>
  <c r="D106" i="2"/>
  <c r="D85" i="2"/>
  <c r="D72" i="2"/>
  <c r="D368" i="2"/>
  <c r="D257" i="2"/>
  <c r="D251" i="2"/>
  <c r="D203" i="2"/>
  <c r="D184" i="2"/>
  <c r="D179" i="2"/>
  <c r="D169" i="2"/>
  <c r="D158" i="2"/>
  <c r="D141" i="2"/>
  <c r="D128" i="2"/>
  <c r="D107" i="2"/>
  <c r="D98" i="2"/>
  <c r="D77" i="2"/>
  <c r="D511" i="2"/>
  <c r="D327" i="2"/>
  <c r="D281" i="2"/>
  <c r="D235" i="2"/>
  <c r="D230" i="2"/>
  <c r="D222" i="2"/>
  <c r="D195" i="2"/>
  <c r="D182" i="2"/>
  <c r="D167" i="2"/>
  <c r="D154" i="2"/>
  <c r="D133" i="2"/>
  <c r="D120" i="2"/>
  <c r="D99" i="2"/>
  <c r="D90" i="2"/>
  <c r="D69" i="2"/>
  <c r="B51" i="2"/>
  <c r="D431" i="2"/>
  <c r="D418" i="2"/>
  <c r="D358" i="2"/>
  <c r="D307" i="2"/>
  <c r="D215" i="2"/>
  <c r="D208" i="2"/>
  <c r="D205" i="2"/>
  <c r="D181" i="2"/>
  <c r="D144" i="2"/>
  <c r="D123" i="2"/>
  <c r="D114" i="2"/>
  <c r="D93" i="2"/>
  <c r="D80" i="2"/>
  <c r="D294" i="2"/>
  <c r="D283" i="2"/>
  <c r="D221" i="2"/>
  <c r="D191" i="2"/>
  <c r="D130" i="2"/>
  <c r="D125" i="2"/>
  <c r="D83" i="2"/>
  <c r="D278" i="2"/>
  <c r="D229" i="2"/>
  <c r="D147" i="2"/>
  <c r="D112" i="2"/>
  <c r="D104" i="2"/>
  <c r="D91" i="2"/>
  <c r="D74" i="2"/>
  <c r="D180" i="2"/>
  <c r="D155" i="2"/>
  <c r="D138" i="2"/>
  <c r="D67" i="2"/>
  <c r="B50" i="2"/>
  <c r="D207" i="2"/>
  <c r="D204" i="2"/>
  <c r="D183" i="2"/>
  <c r="D159" i="2"/>
  <c r="D131" i="2"/>
  <c r="D82" i="2"/>
  <c r="D256" i="2"/>
  <c r="D248" i="2"/>
  <c r="D216" i="2"/>
  <c r="D193" i="2"/>
  <c r="D168" i="2"/>
  <c r="D117" i="2"/>
  <c r="D96" i="2"/>
  <c r="D217" i="2"/>
  <c r="D122" i="2"/>
  <c r="D101" i="2"/>
  <c r="D313" i="2"/>
  <c r="D146" i="2"/>
  <c r="D139" i="2"/>
  <c r="D75" i="2"/>
  <c r="D272" i="2"/>
  <c r="D227" i="2"/>
  <c r="D152" i="2"/>
  <c r="D88" i="2"/>
  <c r="D109" i="2"/>
  <c r="D206" i="2"/>
  <c r="D45" i="2"/>
  <c r="C47" i="2"/>
  <c r="E47" i="2" s="1"/>
  <c r="C46" i="2"/>
  <c r="E46" i="2" s="1"/>
  <c r="C45" i="2"/>
  <c r="D1058" i="1"/>
  <c r="D1050" i="1"/>
  <c r="D1042" i="1"/>
  <c r="D1034" i="1"/>
  <c r="D1026" i="1"/>
  <c r="D1018" i="1"/>
  <c r="D1010" i="1"/>
  <c r="D1002" i="1"/>
  <c r="D994" i="1"/>
  <c r="D986" i="1"/>
  <c r="D978" i="1"/>
  <c r="D970" i="1"/>
  <c r="D962" i="1"/>
  <c r="D954" i="1"/>
  <c r="D1061" i="1"/>
  <c r="D1053" i="1"/>
  <c r="D1045" i="1"/>
  <c r="D1037" i="1"/>
  <c r="D1029" i="1"/>
  <c r="D1021" i="1"/>
  <c r="D1013" i="1"/>
  <c r="D1005" i="1"/>
  <c r="D997" i="1"/>
  <c r="D989" i="1"/>
  <c r="D981" i="1"/>
  <c r="D973" i="1"/>
  <c r="D965" i="1"/>
  <c r="D1055" i="1"/>
  <c r="D1041" i="1"/>
  <c r="D1030" i="1"/>
  <c r="D1028" i="1"/>
  <c r="D1016" i="1"/>
  <c r="D1003" i="1"/>
  <c r="D991" i="1"/>
  <c r="D977" i="1"/>
  <c r="D966" i="1"/>
  <c r="D964" i="1"/>
  <c r="D955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695" i="1"/>
  <c r="D687" i="1"/>
  <c r="D679" i="1"/>
  <c r="D671" i="1"/>
  <c r="D1054" i="1"/>
  <c r="D1052" i="1"/>
  <c r="D1040" i="1"/>
  <c r="D1027" i="1"/>
  <c r="D1015" i="1"/>
  <c r="D1001" i="1"/>
  <c r="D990" i="1"/>
  <c r="D988" i="1"/>
  <c r="D976" i="1"/>
  <c r="D959" i="1"/>
  <c r="D948" i="1"/>
  <c r="D940" i="1"/>
  <c r="D932" i="1"/>
  <c r="D924" i="1"/>
  <c r="D916" i="1"/>
  <c r="D908" i="1"/>
  <c r="D900" i="1"/>
  <c r="D892" i="1"/>
  <c r="D884" i="1"/>
  <c r="D876" i="1"/>
  <c r="D868" i="1"/>
  <c r="D860" i="1"/>
  <c r="D852" i="1"/>
  <c r="D844" i="1"/>
  <c r="D836" i="1"/>
  <c r="D828" i="1"/>
  <c r="D820" i="1"/>
  <c r="D812" i="1"/>
  <c r="D804" i="1"/>
  <c r="D796" i="1"/>
  <c r="D788" i="1"/>
  <c r="D780" i="1"/>
  <c r="D772" i="1"/>
  <c r="D1064" i="1"/>
  <c r="D1051" i="1"/>
  <c r="D1039" i="1"/>
  <c r="D1025" i="1"/>
  <c r="D1014" i="1"/>
  <c r="D1012" i="1"/>
  <c r="D1000" i="1"/>
  <c r="D987" i="1"/>
  <c r="D975" i="1"/>
  <c r="D963" i="1"/>
  <c r="D945" i="1"/>
  <c r="D937" i="1"/>
  <c r="D929" i="1"/>
  <c r="D921" i="1"/>
  <c r="D913" i="1"/>
  <c r="D905" i="1"/>
  <c r="D897" i="1"/>
  <c r="D889" i="1"/>
  <c r="D881" i="1"/>
  <c r="D873" i="1"/>
  <c r="D865" i="1"/>
  <c r="D1056" i="1"/>
  <c r="D1043" i="1"/>
  <c r="D1031" i="1"/>
  <c r="D1017" i="1"/>
  <c r="D1006" i="1"/>
  <c r="D1004" i="1"/>
  <c r="D992" i="1"/>
  <c r="D979" i="1"/>
  <c r="D967" i="1"/>
  <c r="D960" i="1"/>
  <c r="D946" i="1"/>
  <c r="D938" i="1"/>
  <c r="D930" i="1"/>
  <c r="D922" i="1"/>
  <c r="D914" i="1"/>
  <c r="D906" i="1"/>
  <c r="D898" i="1"/>
  <c r="D1047" i="1"/>
  <c r="D1020" i="1"/>
  <c r="D998" i="1"/>
  <c r="D996" i="1"/>
  <c r="D993" i="1"/>
  <c r="D969" i="1"/>
  <c r="D949" i="1"/>
  <c r="D928" i="1"/>
  <c r="D915" i="1"/>
  <c r="D859" i="1"/>
  <c r="D843" i="1"/>
  <c r="D827" i="1"/>
  <c r="D811" i="1"/>
  <c r="D795" i="1"/>
  <c r="D779" i="1"/>
  <c r="D765" i="1"/>
  <c r="D756" i="1"/>
  <c r="D747" i="1"/>
  <c r="D742" i="1"/>
  <c r="D738" i="1"/>
  <c r="D733" i="1"/>
  <c r="D724" i="1"/>
  <c r="D715" i="1"/>
  <c r="D710" i="1"/>
  <c r="D706" i="1"/>
  <c r="D701" i="1"/>
  <c r="D692" i="1"/>
  <c r="D683" i="1"/>
  <c r="D678" i="1"/>
  <c r="D674" i="1"/>
  <c r="D669" i="1"/>
  <c r="D660" i="1"/>
  <c r="D652" i="1"/>
  <c r="D644" i="1"/>
  <c r="D636" i="1"/>
  <c r="D628" i="1"/>
  <c r="D620" i="1"/>
  <c r="D612" i="1"/>
  <c r="D604" i="1"/>
  <c r="D596" i="1"/>
  <c r="D588" i="1"/>
  <c r="D580" i="1"/>
  <c r="D572" i="1"/>
  <c r="D564" i="1"/>
  <c r="D556" i="1"/>
  <c r="D548" i="1"/>
  <c r="D540" i="1"/>
  <c r="D532" i="1"/>
  <c r="D524" i="1"/>
  <c r="D516" i="1"/>
  <c r="D508" i="1"/>
  <c r="D500" i="1"/>
  <c r="D492" i="1"/>
  <c r="D484" i="1"/>
  <c r="D476" i="1"/>
  <c r="D468" i="1"/>
  <c r="D460" i="1"/>
  <c r="D452" i="1"/>
  <c r="D444" i="1"/>
  <c r="D436" i="1"/>
  <c r="D428" i="1"/>
  <c r="D420" i="1"/>
  <c r="D412" i="1"/>
  <c r="D1044" i="1"/>
  <c r="D1038" i="1"/>
  <c r="D1036" i="1"/>
  <c r="D983" i="1"/>
  <c r="D950" i="1"/>
  <c r="D941" i="1"/>
  <c r="D920" i="1"/>
  <c r="D907" i="1"/>
  <c r="D891" i="1"/>
  <c r="D890" i="1"/>
  <c r="D880" i="1"/>
  <c r="D870" i="1"/>
  <c r="D869" i="1"/>
  <c r="D858" i="1"/>
  <c r="D857" i="1"/>
  <c r="D842" i="1"/>
  <c r="D841" i="1"/>
  <c r="D826" i="1"/>
  <c r="D825" i="1"/>
  <c r="D810" i="1"/>
  <c r="D809" i="1"/>
  <c r="D794" i="1"/>
  <c r="D793" i="1"/>
  <c r="D778" i="1"/>
  <c r="D777" i="1"/>
  <c r="D760" i="1"/>
  <c r="D737" i="1"/>
  <c r="D728" i="1"/>
  <c r="D705" i="1"/>
  <c r="D696" i="1"/>
  <c r="D673" i="1"/>
  <c r="D665" i="1"/>
  <c r="D657" i="1"/>
  <c r="D649" i="1"/>
  <c r="D641" i="1"/>
  <c r="D633" i="1"/>
  <c r="D625" i="1"/>
  <c r="D617" i="1"/>
  <c r="D609" i="1"/>
  <c r="D601" i="1"/>
  <c r="D593" i="1"/>
  <c r="D585" i="1"/>
  <c r="D577" i="1"/>
  <c r="D569" i="1"/>
  <c r="D561" i="1"/>
  <c r="D553" i="1"/>
  <c r="D1063" i="1"/>
  <c r="D1023" i="1"/>
  <c r="D1007" i="1"/>
  <c r="D980" i="1"/>
  <c r="D974" i="1"/>
  <c r="D972" i="1"/>
  <c r="D957" i="1"/>
  <c r="D942" i="1"/>
  <c r="D933" i="1"/>
  <c r="D912" i="1"/>
  <c r="D899" i="1"/>
  <c r="D856" i="1"/>
  <c r="D854" i="1"/>
  <c r="D840" i="1"/>
  <c r="D838" i="1"/>
  <c r="D824" i="1"/>
  <c r="D822" i="1"/>
  <c r="D808" i="1"/>
  <c r="D806" i="1"/>
  <c r="D792" i="1"/>
  <c r="D790" i="1"/>
  <c r="D776" i="1"/>
  <c r="D774" i="1"/>
  <c r="D764" i="1"/>
  <c r="D755" i="1"/>
  <c r="D750" i="1"/>
  <c r="D746" i="1"/>
  <c r="D741" i="1"/>
  <c r="D732" i="1"/>
  <c r="D723" i="1"/>
  <c r="D718" i="1"/>
  <c r="D714" i="1"/>
  <c r="D709" i="1"/>
  <c r="D700" i="1"/>
  <c r="D691" i="1"/>
  <c r="D686" i="1"/>
  <c r="D682" i="1"/>
  <c r="D677" i="1"/>
  <c r="D668" i="1"/>
  <c r="D662" i="1"/>
  <c r="D654" i="1"/>
  <c r="D646" i="1"/>
  <c r="D638" i="1"/>
  <c r="D630" i="1"/>
  <c r="D622" i="1"/>
  <c r="D614" i="1"/>
  <c r="D606" i="1"/>
  <c r="D598" i="1"/>
  <c r="D590" i="1"/>
  <c r="D582" i="1"/>
  <c r="D574" i="1"/>
  <c r="D566" i="1"/>
  <c r="D558" i="1"/>
  <c r="D550" i="1"/>
  <c r="D542" i="1"/>
  <c r="D534" i="1"/>
  <c r="D1048" i="1"/>
  <c r="D999" i="1"/>
  <c r="D961" i="1"/>
  <c r="D934" i="1"/>
  <c r="D925" i="1"/>
  <c r="D904" i="1"/>
  <c r="D894" i="1"/>
  <c r="D893" i="1"/>
  <c r="D883" i="1"/>
  <c r="D882" i="1"/>
  <c r="D872" i="1"/>
  <c r="D853" i="1"/>
  <c r="D1060" i="1"/>
  <c r="D1024" i="1"/>
  <c r="D984" i="1"/>
  <c r="D849" i="1"/>
  <c r="D845" i="1"/>
  <c r="D834" i="1"/>
  <c r="D816" i="1"/>
  <c r="D798" i="1"/>
  <c r="D769" i="1"/>
  <c r="D729" i="1"/>
  <c r="D699" i="1"/>
  <c r="D688" i="1"/>
  <c r="D675" i="1"/>
  <c r="D670" i="1"/>
  <c r="D661" i="1"/>
  <c r="D648" i="1"/>
  <c r="D647" i="1"/>
  <c r="D635" i="1"/>
  <c r="D634" i="1"/>
  <c r="D597" i="1"/>
  <c r="D584" i="1"/>
  <c r="D583" i="1"/>
  <c r="D571" i="1"/>
  <c r="D570" i="1"/>
  <c r="D543" i="1"/>
  <c r="D541" i="1"/>
  <c r="D510" i="1"/>
  <c r="D501" i="1"/>
  <c r="D478" i="1"/>
  <c r="D469" i="1"/>
  <c r="D446" i="1"/>
  <c r="D437" i="1"/>
  <c r="D414" i="1"/>
  <c r="D410" i="1"/>
  <c r="D402" i="1"/>
  <c r="D394" i="1"/>
  <c r="D386" i="1"/>
  <c r="D378" i="1"/>
  <c r="D370" i="1"/>
  <c r="D362" i="1"/>
  <c r="D354" i="1"/>
  <c r="D346" i="1"/>
  <c r="D338" i="1"/>
  <c r="D3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1019" i="1"/>
  <c r="D1009" i="1"/>
  <c r="D982" i="1"/>
  <c r="D936" i="1"/>
  <c r="D885" i="1"/>
  <c r="D846" i="1"/>
  <c r="D805" i="1"/>
  <c r="D787" i="1"/>
  <c r="D766" i="1"/>
  <c r="D754" i="1"/>
  <c r="D748" i="1"/>
  <c r="D736" i="1"/>
  <c r="D725" i="1"/>
  <c r="D712" i="1"/>
  <c r="D689" i="1"/>
  <c r="D676" i="1"/>
  <c r="D637" i="1"/>
  <c r="D624" i="1"/>
  <c r="D623" i="1"/>
  <c r="D611" i="1"/>
  <c r="D610" i="1"/>
  <c r="D573" i="1"/>
  <c r="D560" i="1"/>
  <c r="D559" i="1"/>
  <c r="D539" i="1"/>
  <c r="D528" i="1"/>
  <c r="D523" i="1"/>
  <c r="D519" i="1"/>
  <c r="D514" i="1"/>
  <c r="D505" i="1"/>
  <c r="D496" i="1"/>
  <c r="D491" i="1"/>
  <c r="D487" i="1"/>
  <c r="D482" i="1"/>
  <c r="D473" i="1"/>
  <c r="D464" i="1"/>
  <c r="D459" i="1"/>
  <c r="D455" i="1"/>
  <c r="D450" i="1"/>
  <c r="D441" i="1"/>
  <c r="D432" i="1"/>
  <c r="D427" i="1"/>
  <c r="D423" i="1"/>
  <c r="D418" i="1"/>
  <c r="D407" i="1"/>
  <c r="D399" i="1"/>
  <c r="D391" i="1"/>
  <c r="D383" i="1"/>
  <c r="D375" i="1"/>
  <c r="D367" i="1"/>
  <c r="D359" i="1"/>
  <c r="D351" i="1"/>
  <c r="D343" i="1"/>
  <c r="D335" i="1"/>
  <c r="D327" i="1"/>
  <c r="D319" i="1"/>
  <c r="D311" i="1"/>
  <c r="D303" i="1"/>
  <c r="D295" i="1"/>
  <c r="D287" i="1"/>
  <c r="D1059" i="1"/>
  <c r="D1033" i="1"/>
  <c r="D953" i="1"/>
  <c r="D923" i="1"/>
  <c r="D910" i="1"/>
  <c r="D861" i="1"/>
  <c r="D835" i="1"/>
  <c r="D817" i="1"/>
  <c r="D813" i="1"/>
  <c r="D802" i="1"/>
  <c r="D784" i="1"/>
  <c r="D773" i="1"/>
  <c r="D749" i="1"/>
  <c r="D730" i="1"/>
  <c r="D726" i="1"/>
  <c r="D713" i="1"/>
  <c r="D664" i="1"/>
  <c r="D663" i="1"/>
  <c r="D651" i="1"/>
  <c r="D650" i="1"/>
  <c r="D613" i="1"/>
  <c r="D600" i="1"/>
  <c r="D599" i="1"/>
  <c r="D587" i="1"/>
  <c r="D586" i="1"/>
  <c r="D538" i="1"/>
  <c r="D518" i="1"/>
  <c r="D509" i="1"/>
  <c r="D486" i="1"/>
  <c r="D477" i="1"/>
  <c r="D454" i="1"/>
  <c r="D445" i="1"/>
  <c r="D422" i="1"/>
  <c r="D413" i="1"/>
  <c r="D404" i="1"/>
  <c r="D396" i="1"/>
  <c r="D388" i="1"/>
  <c r="D380" i="1"/>
  <c r="D372" i="1"/>
  <c r="D364" i="1"/>
  <c r="D356" i="1"/>
  <c r="D348" i="1"/>
  <c r="D340" i="1"/>
  <c r="D332" i="1"/>
  <c r="D324" i="1"/>
  <c r="D316" i="1"/>
  <c r="D308" i="1"/>
  <c r="D300" i="1"/>
  <c r="D292" i="1"/>
  <c r="D284" i="1"/>
  <c r="D276" i="1"/>
  <c r="D268" i="1"/>
  <c r="D1062" i="1"/>
  <c r="D1057" i="1"/>
  <c r="D1049" i="1"/>
  <c r="D1011" i="1"/>
  <c r="D1008" i="1"/>
  <c r="D944" i="1"/>
  <c r="D1035" i="1"/>
  <c r="D971" i="1"/>
  <c r="D995" i="1"/>
  <c r="D952" i="1"/>
  <c r="D1046" i="1"/>
  <c r="D1032" i="1"/>
  <c r="D1022" i="1"/>
  <c r="D985" i="1"/>
  <c r="D939" i="1"/>
  <c r="D968" i="1"/>
  <c r="D958" i="1"/>
  <c r="D956" i="1"/>
  <c r="D947" i="1"/>
  <c r="D917" i="1"/>
  <c r="D902" i="1"/>
  <c r="D874" i="1"/>
  <c r="D837" i="1"/>
  <c r="D819" i="1"/>
  <c r="D801" i="1"/>
  <c r="D797" i="1"/>
  <c r="D786" i="1"/>
  <c r="D753" i="1"/>
  <c r="D740" i="1"/>
  <c r="D717" i="1"/>
  <c r="D698" i="1"/>
  <c r="D694" i="1"/>
  <c r="D681" i="1"/>
  <c r="D659" i="1"/>
  <c r="D658" i="1"/>
  <c r="D621" i="1"/>
  <c r="D608" i="1"/>
  <c r="D607" i="1"/>
  <c r="D595" i="1"/>
  <c r="D594" i="1"/>
  <c r="D557" i="1"/>
  <c r="D545" i="1"/>
  <c r="D544" i="1"/>
  <c r="D529" i="1"/>
  <c r="D520" i="1"/>
  <c r="D515" i="1"/>
  <c r="D511" i="1"/>
  <c r="D506" i="1"/>
  <c r="D497" i="1"/>
  <c r="D488" i="1"/>
  <c r="D483" i="1"/>
  <c r="D479" i="1"/>
  <c r="D474" i="1"/>
  <c r="D465" i="1"/>
  <c r="D456" i="1"/>
  <c r="D451" i="1"/>
  <c r="D447" i="1"/>
  <c r="D442" i="1"/>
  <c r="D433" i="1"/>
  <c r="D424" i="1"/>
  <c r="D419" i="1"/>
  <c r="D415" i="1"/>
  <c r="D405" i="1"/>
  <c r="D397" i="1"/>
  <c r="D389" i="1"/>
  <c r="D381" i="1"/>
  <c r="D373" i="1"/>
  <c r="D365" i="1"/>
  <c r="D357" i="1"/>
  <c r="D349" i="1"/>
  <c r="D341" i="1"/>
  <c r="D333" i="1"/>
  <c r="D325" i="1"/>
  <c r="D317" i="1"/>
  <c r="D309" i="1"/>
  <c r="D301" i="1"/>
  <c r="D293" i="1"/>
  <c r="D850" i="1"/>
  <c r="D763" i="1"/>
  <c r="D757" i="1"/>
  <c r="D745" i="1"/>
  <c r="D716" i="1"/>
  <c r="D702" i="1"/>
  <c r="D672" i="1"/>
  <c r="D667" i="1"/>
  <c r="D655" i="1"/>
  <c r="D602" i="1"/>
  <c r="D565" i="1"/>
  <c r="D526" i="1"/>
  <c r="D513" i="1"/>
  <c r="D493" i="1"/>
  <c r="D490" i="1"/>
  <c r="D480" i="1"/>
  <c r="D470" i="1"/>
  <c r="D457" i="1"/>
  <c r="D421" i="1"/>
  <c r="D411" i="1"/>
  <c r="D406" i="1"/>
  <c r="D392" i="1"/>
  <c r="D379" i="1"/>
  <c r="D374" i="1"/>
  <c r="D360" i="1"/>
  <c r="D347" i="1"/>
  <c r="D342" i="1"/>
  <c r="D328" i="1"/>
  <c r="D315" i="1"/>
  <c r="D310" i="1"/>
  <c r="D296" i="1"/>
  <c r="D281" i="1"/>
  <c r="D280" i="1"/>
  <c r="D265" i="1"/>
  <c r="D261" i="1"/>
  <c r="D256" i="1"/>
  <c r="D247" i="1"/>
  <c r="D238" i="1"/>
  <c r="D233" i="1"/>
  <c r="D229" i="1"/>
  <c r="D224" i="1"/>
  <c r="D215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B52" i="1"/>
  <c r="D385" i="1"/>
  <c r="D259" i="1"/>
  <c r="D236" i="1"/>
  <c r="D203" i="1"/>
  <c r="D179" i="1"/>
  <c r="D163" i="1"/>
  <c r="D107" i="1"/>
  <c r="D848" i="1"/>
  <c r="D782" i="1"/>
  <c r="D770" i="1"/>
  <c r="D731" i="1"/>
  <c r="D721" i="1"/>
  <c r="D704" i="1"/>
  <c r="D690" i="1"/>
  <c r="D684" i="1"/>
  <c r="D640" i="1"/>
  <c r="D615" i="1"/>
  <c r="D579" i="1"/>
  <c r="D575" i="1"/>
  <c r="D567" i="1"/>
  <c r="D554" i="1"/>
  <c r="D552" i="1"/>
  <c r="D503" i="1"/>
  <c r="D467" i="1"/>
  <c r="D434" i="1"/>
  <c r="D431" i="1"/>
  <c r="D393" i="1"/>
  <c r="D361" i="1"/>
  <c r="D329" i="1"/>
  <c r="D297" i="1"/>
  <c r="D283" i="1"/>
  <c r="D279" i="1"/>
  <c r="D278" i="1"/>
  <c r="D260" i="1"/>
  <c r="D251" i="1"/>
  <c r="D228" i="1"/>
  <c r="D21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118" i="1"/>
  <c r="D110" i="1"/>
  <c r="D86" i="1"/>
  <c r="D78" i="1"/>
  <c r="D70" i="1"/>
  <c r="D66" i="1"/>
  <c r="E66" i="1" s="1"/>
  <c r="B51" i="1"/>
  <c r="D627" i="1"/>
  <c r="D555" i="1"/>
  <c r="D530" i="1"/>
  <c r="D353" i="1"/>
  <c r="D321" i="1"/>
  <c r="D285" i="1"/>
  <c r="D227" i="1"/>
  <c r="D155" i="1"/>
  <c r="D83" i="1"/>
  <c r="D918" i="1"/>
  <c r="D862" i="1"/>
  <c r="D832" i="1"/>
  <c r="D830" i="1"/>
  <c r="D789" i="1"/>
  <c r="D768" i="1"/>
  <c r="D739" i="1"/>
  <c r="D708" i="1"/>
  <c r="D680" i="1"/>
  <c r="D642" i="1"/>
  <c r="D589" i="1"/>
  <c r="D517" i="1"/>
  <c r="D507" i="1"/>
  <c r="D494" i="1"/>
  <c r="D481" i="1"/>
  <c r="D461" i="1"/>
  <c r="D458" i="1"/>
  <c r="D448" i="1"/>
  <c r="D438" i="1"/>
  <c r="D425" i="1"/>
  <c r="D403" i="1"/>
  <c r="D398" i="1"/>
  <c r="D384" i="1"/>
  <c r="D371" i="1"/>
  <c r="D366" i="1"/>
  <c r="D352" i="1"/>
  <c r="D339" i="1"/>
  <c r="D334" i="1"/>
  <c r="D320" i="1"/>
  <c r="D307" i="1"/>
  <c r="D302" i="1"/>
  <c r="D277" i="1"/>
  <c r="D275" i="1"/>
  <c r="D264" i="1"/>
  <c r="D255" i="1"/>
  <c r="D246" i="1"/>
  <c r="D241" i="1"/>
  <c r="D237" i="1"/>
  <c r="D232" i="1"/>
  <c r="D223" i="1"/>
  <c r="D214" i="1"/>
  <c r="D209" i="1"/>
  <c r="D206" i="1"/>
  <c r="D198" i="1"/>
  <c r="D190" i="1"/>
  <c r="D182" i="1"/>
  <c r="D174" i="1"/>
  <c r="D166" i="1"/>
  <c r="D158" i="1"/>
  <c r="D150" i="1"/>
  <c r="D142" i="1"/>
  <c r="D134" i="1"/>
  <c r="D126" i="1"/>
  <c r="D102" i="1"/>
  <c r="D94" i="1"/>
  <c r="D656" i="1"/>
  <c r="D537" i="1"/>
  <c r="D527" i="1"/>
  <c r="D435" i="1"/>
  <c r="D286" i="1"/>
  <c r="D187" i="1"/>
  <c r="D171" i="1"/>
  <c r="D115" i="1"/>
  <c r="D99" i="1"/>
  <c r="D91" i="1"/>
  <c r="D909" i="1"/>
  <c r="D888" i="1"/>
  <c r="D814" i="1"/>
  <c r="D131" i="1"/>
  <c r="D896" i="1"/>
  <c r="D875" i="1"/>
  <c r="D867" i="1"/>
  <c r="D864" i="1"/>
  <c r="D821" i="1"/>
  <c r="D803" i="1"/>
  <c r="D758" i="1"/>
  <c r="D752" i="1"/>
  <c r="D744" i="1"/>
  <c r="D720" i="1"/>
  <c r="D666" i="1"/>
  <c r="D629" i="1"/>
  <c r="D605" i="1"/>
  <c r="D603" i="1"/>
  <c r="D591" i="1"/>
  <c r="D546" i="1"/>
  <c r="D535" i="1"/>
  <c r="D533" i="1"/>
  <c r="D521" i="1"/>
  <c r="D485" i="1"/>
  <c r="D475" i="1"/>
  <c r="D462" i="1"/>
  <c r="D449" i="1"/>
  <c r="D931" i="1"/>
  <c r="D878" i="1"/>
  <c r="D851" i="1"/>
  <c r="D781" i="1"/>
  <c r="D762" i="1"/>
  <c r="D734" i="1"/>
  <c r="D707" i="1"/>
  <c r="D697" i="1"/>
  <c r="D693" i="1"/>
  <c r="D643" i="1"/>
  <c r="D639" i="1"/>
  <c r="D631" i="1"/>
  <c r="D618" i="1"/>
  <c r="D616" i="1"/>
  <c r="D576" i="1"/>
  <c r="D551" i="1"/>
  <c r="D549" i="1"/>
  <c r="D531" i="1"/>
  <c r="D498" i="1"/>
  <c r="D495" i="1"/>
  <c r="D472" i="1"/>
  <c r="D866" i="1"/>
  <c r="D818" i="1"/>
  <c r="D800" i="1"/>
  <c r="D771" i="1"/>
  <c r="D722" i="1"/>
  <c r="D685" i="1"/>
  <c r="D653" i="1"/>
  <c r="D578" i="1"/>
  <c r="D547" i="1"/>
  <c r="D525" i="1"/>
  <c r="D522" i="1"/>
  <c r="D512" i="1"/>
  <c r="D502" i="1"/>
  <c r="D489" i="1"/>
  <c r="D453" i="1"/>
  <c r="D926" i="1"/>
  <c r="D901" i="1"/>
  <c r="D886" i="1"/>
  <c r="D877" i="1"/>
  <c r="D833" i="1"/>
  <c r="D829" i="1"/>
  <c r="D785" i="1"/>
  <c r="D761" i="1"/>
  <c r="D632" i="1"/>
  <c r="D626" i="1"/>
  <c r="D619" i="1"/>
  <c r="D592" i="1"/>
  <c r="D581" i="1"/>
  <c r="D563" i="1"/>
  <c r="D536" i="1"/>
  <c r="D499" i="1"/>
  <c r="D466" i="1"/>
  <c r="D463" i="1"/>
  <c r="D440" i="1"/>
  <c r="D401" i="1"/>
  <c r="D369" i="1"/>
  <c r="D337" i="1"/>
  <c r="D305" i="1"/>
  <c r="D252" i="1"/>
  <c r="D243" i="1"/>
  <c r="D220" i="1"/>
  <c r="D211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45" i="1"/>
  <c r="D568" i="1"/>
  <c r="D562" i="1"/>
  <c r="D504" i="1"/>
  <c r="D471" i="1"/>
  <c r="D273" i="1"/>
  <c r="D195" i="1"/>
  <c r="D147" i="1"/>
  <c r="D139" i="1"/>
  <c r="D123" i="1"/>
  <c r="D408" i="1"/>
  <c r="D377" i="1"/>
  <c r="D331" i="1"/>
  <c r="D222" i="1"/>
  <c r="D213" i="1"/>
  <c r="D75" i="1"/>
  <c r="D429" i="1"/>
  <c r="D426" i="1"/>
  <c r="D355" i="1"/>
  <c r="D350" i="1"/>
  <c r="D326" i="1"/>
  <c r="D312" i="1"/>
  <c r="D257" i="1"/>
  <c r="D216" i="1"/>
  <c r="D235" i="1"/>
  <c r="D146" i="1"/>
  <c r="D122" i="1"/>
  <c r="D90" i="1"/>
  <c r="D249" i="1"/>
  <c r="D205" i="1"/>
  <c r="D197" i="1"/>
  <c r="D181" i="1"/>
  <c r="D149" i="1"/>
  <c r="D141" i="1"/>
  <c r="D133" i="1"/>
  <c r="D125" i="1"/>
  <c r="D117" i="1"/>
  <c r="D109" i="1"/>
  <c r="D93" i="1"/>
  <c r="D85" i="1"/>
  <c r="D270" i="1"/>
  <c r="D184" i="1"/>
  <c r="D168" i="1"/>
  <c r="D80" i="1"/>
  <c r="D395" i="1"/>
  <c r="D336" i="1"/>
  <c r="D248" i="1"/>
  <c r="D239" i="1"/>
  <c r="D225" i="1"/>
  <c r="D67" i="1"/>
  <c r="D439" i="1"/>
  <c r="D417" i="1"/>
  <c r="D390" i="1"/>
  <c r="D376" i="1"/>
  <c r="D345" i="1"/>
  <c r="D299" i="1"/>
  <c r="D288" i="1"/>
  <c r="D271" i="1"/>
  <c r="D267" i="1"/>
  <c r="D262" i="1"/>
  <c r="D244" i="1"/>
  <c r="D212" i="1"/>
  <c r="D194" i="1"/>
  <c r="D186" i="1"/>
  <c r="D154" i="1"/>
  <c r="D138" i="1"/>
  <c r="D130" i="1"/>
  <c r="D98" i="1"/>
  <c r="D240" i="1"/>
  <c r="D221" i="1"/>
  <c r="D77" i="1"/>
  <c r="D263" i="1"/>
  <c r="D208" i="1"/>
  <c r="D200" i="1"/>
  <c r="D160" i="1"/>
  <c r="D152" i="1"/>
  <c r="D144" i="1"/>
  <c r="D112" i="1"/>
  <c r="D88" i="1"/>
  <c r="D269" i="1"/>
  <c r="D202" i="1"/>
  <c r="D178" i="1"/>
  <c r="D170" i="1"/>
  <c r="D106" i="1"/>
  <c r="D82" i="1"/>
  <c r="D304" i="1"/>
  <c r="D189" i="1"/>
  <c r="D173" i="1"/>
  <c r="D165" i="1"/>
  <c r="D157" i="1"/>
  <c r="D101" i="1"/>
  <c r="D162" i="1"/>
  <c r="D217" i="1"/>
  <c r="D192" i="1"/>
  <c r="D176" i="1"/>
  <c r="D136" i="1"/>
  <c r="D128" i="1"/>
  <c r="D120" i="1"/>
  <c r="D104" i="1"/>
  <c r="D96" i="1"/>
  <c r="D69" i="1"/>
  <c r="D416" i="1"/>
  <c r="D409" i="1"/>
  <c r="D363" i="1"/>
  <c r="D443" i="1"/>
  <c r="D430" i="1"/>
  <c r="D387" i="1"/>
  <c r="D382" i="1"/>
  <c r="D358" i="1"/>
  <c r="D344" i="1"/>
  <c r="D313" i="1"/>
  <c r="D368" i="1"/>
  <c r="D291" i="1"/>
  <c r="D289" i="1"/>
  <c r="D272" i="1"/>
  <c r="D254" i="1"/>
  <c r="D245" i="1"/>
  <c r="D231" i="1"/>
  <c r="D74" i="1"/>
  <c r="B50" i="1"/>
  <c r="D72" i="1"/>
  <c r="D400" i="1"/>
  <c r="D323" i="1"/>
  <c r="D318" i="1"/>
  <c r="D294" i="1"/>
  <c r="D253" i="1"/>
  <c r="D230" i="1"/>
  <c r="D114" i="1"/>
  <c r="D45" i="1"/>
  <c r="E45" i="1" s="1"/>
  <c r="K217" i="1" l="1"/>
  <c r="E217" i="1"/>
  <c r="K244" i="1"/>
  <c r="E244" i="1"/>
  <c r="K117" i="1"/>
  <c r="E117" i="1"/>
  <c r="K471" i="1"/>
  <c r="E471" i="1"/>
  <c r="K626" i="1"/>
  <c r="E626" i="1"/>
  <c r="K616" i="1"/>
  <c r="E616" i="1"/>
  <c r="K475" i="1"/>
  <c r="E475" i="1"/>
  <c r="K821" i="1"/>
  <c r="E821" i="1"/>
  <c r="K150" i="1"/>
  <c r="E150" i="1"/>
  <c r="K352" i="1"/>
  <c r="E352" i="1"/>
  <c r="K530" i="1"/>
  <c r="E530" i="1"/>
  <c r="K467" i="1"/>
  <c r="E467" i="1"/>
  <c r="F467" i="1" s="1"/>
  <c r="K124" i="1"/>
  <c r="E124" i="1"/>
  <c r="K247" i="1"/>
  <c r="E247" i="1"/>
  <c r="K315" i="1"/>
  <c r="E315" i="1"/>
  <c r="K716" i="1"/>
  <c r="E716" i="1"/>
  <c r="K317" i="1"/>
  <c r="E317" i="1"/>
  <c r="K442" i="1"/>
  <c r="E442" i="1"/>
  <c r="K488" i="1"/>
  <c r="E488" i="1"/>
  <c r="K545" i="1"/>
  <c r="E545" i="1"/>
  <c r="K659" i="1"/>
  <c r="E659" i="1"/>
  <c r="K956" i="1"/>
  <c r="E956" i="1"/>
  <c r="K952" i="1"/>
  <c r="E952" i="1"/>
  <c r="K1057" i="1"/>
  <c r="E1057" i="1"/>
  <c r="K316" i="1"/>
  <c r="E316" i="1"/>
  <c r="K380" i="1"/>
  <c r="E380" i="1"/>
  <c r="K600" i="1"/>
  <c r="E600" i="1"/>
  <c r="K730" i="1"/>
  <c r="E730" i="1"/>
  <c r="K861" i="1"/>
  <c r="E861" i="1"/>
  <c r="K303" i="1"/>
  <c r="E303" i="1"/>
  <c r="K427" i="1"/>
  <c r="E427" i="1"/>
  <c r="F427" i="1" s="1"/>
  <c r="K482" i="1"/>
  <c r="E482" i="1"/>
  <c r="K528" i="1"/>
  <c r="E528" i="1"/>
  <c r="K624" i="1"/>
  <c r="E624" i="1"/>
  <c r="K754" i="1"/>
  <c r="E754" i="1"/>
  <c r="K258" i="1"/>
  <c r="E258" i="1"/>
  <c r="K322" i="1"/>
  <c r="E322" i="1"/>
  <c r="K386" i="1"/>
  <c r="E386" i="1"/>
  <c r="K478" i="1"/>
  <c r="E478" i="1"/>
  <c r="K584" i="1"/>
  <c r="E584" i="1"/>
  <c r="K845" i="1"/>
  <c r="E845" i="1"/>
  <c r="K883" i="1"/>
  <c r="E883" i="1"/>
  <c r="K1048" i="1"/>
  <c r="E1048" i="1"/>
  <c r="K590" i="1"/>
  <c r="E590" i="1"/>
  <c r="K654" i="1"/>
  <c r="E654" i="1"/>
  <c r="K709" i="1"/>
  <c r="E709" i="1"/>
  <c r="K822" i="1"/>
  <c r="E822" i="1"/>
  <c r="F822" i="1" s="1"/>
  <c r="K933" i="1"/>
  <c r="E933" i="1"/>
  <c r="K1063" i="1"/>
  <c r="E1063" i="1"/>
  <c r="K609" i="1"/>
  <c r="E609" i="1"/>
  <c r="K673" i="1"/>
  <c r="E673" i="1"/>
  <c r="K793" i="1"/>
  <c r="E793" i="1"/>
  <c r="K857" i="1"/>
  <c r="E857" i="1"/>
  <c r="K318" i="1"/>
  <c r="E318" i="1"/>
  <c r="F318" i="1" s="1"/>
  <c r="K254" i="1"/>
  <c r="E254" i="1"/>
  <c r="K382" i="1"/>
  <c r="E382" i="1"/>
  <c r="K96" i="1"/>
  <c r="E96" i="1"/>
  <c r="K162" i="1"/>
  <c r="E162" i="1"/>
  <c r="K106" i="1"/>
  <c r="E106" i="1"/>
  <c r="K152" i="1"/>
  <c r="E152" i="1"/>
  <c r="K98" i="1"/>
  <c r="E98" i="1"/>
  <c r="K262" i="1"/>
  <c r="E262" i="1"/>
  <c r="K417" i="1"/>
  <c r="E417" i="1"/>
  <c r="K80" i="1"/>
  <c r="E80" i="1"/>
  <c r="K125" i="1"/>
  <c r="E125" i="1"/>
  <c r="F125" i="1" s="1"/>
  <c r="K90" i="1"/>
  <c r="E90" i="1"/>
  <c r="K350" i="1"/>
  <c r="E350" i="1"/>
  <c r="F350" i="1" s="1"/>
  <c r="K377" i="1"/>
  <c r="E377" i="1"/>
  <c r="K504" i="1"/>
  <c r="E504" i="1"/>
  <c r="K103" i="1"/>
  <c r="E103" i="1"/>
  <c r="K167" i="1"/>
  <c r="E167" i="1"/>
  <c r="K243" i="1"/>
  <c r="E243" i="1"/>
  <c r="K466" i="1"/>
  <c r="E466" i="1"/>
  <c r="K632" i="1"/>
  <c r="E632" i="1"/>
  <c r="K926" i="1"/>
  <c r="E926" i="1"/>
  <c r="F926" i="1" s="1"/>
  <c r="K578" i="1"/>
  <c r="E578" i="1"/>
  <c r="F578" i="1" s="1"/>
  <c r="K472" i="1"/>
  <c r="E472" i="1"/>
  <c r="K618" i="1"/>
  <c r="E618" i="1"/>
  <c r="K762" i="1"/>
  <c r="E762" i="1"/>
  <c r="K485" i="1"/>
  <c r="E485" i="1"/>
  <c r="K629" i="1"/>
  <c r="E629" i="1"/>
  <c r="K864" i="1"/>
  <c r="E864" i="1"/>
  <c r="K91" i="1"/>
  <c r="E91" i="1"/>
  <c r="F91" i="1" s="1"/>
  <c r="K537" i="1"/>
  <c r="E537" i="1"/>
  <c r="K158" i="1"/>
  <c r="E158" i="1"/>
  <c r="K214" i="1"/>
  <c r="E214" i="1"/>
  <c r="K275" i="1"/>
  <c r="E275" i="1"/>
  <c r="K366" i="1"/>
  <c r="E366" i="1"/>
  <c r="K458" i="1"/>
  <c r="E458" i="1"/>
  <c r="K680" i="1"/>
  <c r="E680" i="1"/>
  <c r="K918" i="1"/>
  <c r="E918" i="1"/>
  <c r="K555" i="1"/>
  <c r="E555" i="1"/>
  <c r="K118" i="1"/>
  <c r="E118" i="1"/>
  <c r="K129" i="1"/>
  <c r="E129" i="1"/>
  <c r="K193" i="1"/>
  <c r="E193" i="1"/>
  <c r="K283" i="1"/>
  <c r="E283" i="1"/>
  <c r="K503" i="1"/>
  <c r="E503" i="1"/>
  <c r="K684" i="1"/>
  <c r="E684" i="1"/>
  <c r="K107" i="1"/>
  <c r="E107" i="1"/>
  <c r="F107" i="1" s="1"/>
  <c r="K68" i="1"/>
  <c r="E68" i="1"/>
  <c r="K132" i="1"/>
  <c r="E132" i="1"/>
  <c r="K196" i="1"/>
  <c r="E196" i="1"/>
  <c r="K256" i="1"/>
  <c r="E256" i="1"/>
  <c r="K328" i="1"/>
  <c r="E328" i="1"/>
  <c r="F328" i="1" s="1"/>
  <c r="K411" i="1"/>
  <c r="E411" i="1"/>
  <c r="K526" i="1"/>
  <c r="E526" i="1"/>
  <c r="K745" i="1"/>
  <c r="E745" i="1"/>
  <c r="F745" i="1" s="1"/>
  <c r="K325" i="1"/>
  <c r="E325" i="1"/>
  <c r="F325" i="1" s="1"/>
  <c r="K389" i="1"/>
  <c r="E389" i="1"/>
  <c r="K447" i="1"/>
  <c r="E447" i="1"/>
  <c r="K497" i="1"/>
  <c r="E497" i="1"/>
  <c r="K557" i="1"/>
  <c r="E557" i="1"/>
  <c r="K681" i="1"/>
  <c r="E681" i="1"/>
  <c r="K801" i="1"/>
  <c r="E801" i="1"/>
  <c r="K958" i="1"/>
  <c r="E958" i="1"/>
  <c r="K995" i="1"/>
  <c r="E995" i="1"/>
  <c r="K1062" i="1"/>
  <c r="E1062" i="1"/>
  <c r="K324" i="1"/>
  <c r="E324" i="1"/>
  <c r="K388" i="1"/>
  <c r="E388" i="1"/>
  <c r="K486" i="1"/>
  <c r="E486" i="1"/>
  <c r="F486" i="1" s="1"/>
  <c r="K613" i="1"/>
  <c r="E613" i="1"/>
  <c r="K749" i="1"/>
  <c r="E749" i="1"/>
  <c r="K910" i="1"/>
  <c r="E910" i="1"/>
  <c r="K311" i="1"/>
  <c r="E311" i="1"/>
  <c r="K375" i="1"/>
  <c r="E375" i="1"/>
  <c r="K432" i="1"/>
  <c r="E432" i="1"/>
  <c r="K487" i="1"/>
  <c r="E487" i="1"/>
  <c r="F487" i="1" s="1"/>
  <c r="K539" i="1"/>
  <c r="E539" i="1"/>
  <c r="F539" i="1" s="1"/>
  <c r="K637" i="1"/>
  <c r="E637" i="1"/>
  <c r="K766" i="1"/>
  <c r="E766" i="1"/>
  <c r="K1019" i="1"/>
  <c r="E1019" i="1"/>
  <c r="F1019" i="1" s="1"/>
  <c r="K266" i="1"/>
  <c r="E266" i="1"/>
  <c r="K330" i="1"/>
  <c r="E330" i="1"/>
  <c r="K394" i="1"/>
  <c r="E394" i="1"/>
  <c r="K501" i="1"/>
  <c r="E501" i="1"/>
  <c r="F501" i="1" s="1"/>
  <c r="K597" i="1"/>
  <c r="E597" i="1"/>
  <c r="K688" i="1"/>
  <c r="E688" i="1"/>
  <c r="K849" i="1"/>
  <c r="E849" i="1"/>
  <c r="K893" i="1"/>
  <c r="E893" i="1"/>
  <c r="F893" i="1" s="1"/>
  <c r="K534" i="1"/>
  <c r="E534" i="1"/>
  <c r="K598" i="1"/>
  <c r="E598" i="1"/>
  <c r="K662" i="1"/>
  <c r="E662" i="1"/>
  <c r="K714" i="1"/>
  <c r="E714" i="1"/>
  <c r="K764" i="1"/>
  <c r="E764" i="1"/>
  <c r="K824" i="1"/>
  <c r="E824" i="1"/>
  <c r="K942" i="1"/>
  <c r="E942" i="1"/>
  <c r="K553" i="1"/>
  <c r="E553" i="1"/>
  <c r="K617" i="1"/>
  <c r="E617" i="1"/>
  <c r="F617" i="1" s="1"/>
  <c r="K696" i="1"/>
  <c r="E696" i="1"/>
  <c r="K794" i="1"/>
  <c r="E794" i="1"/>
  <c r="K858" i="1"/>
  <c r="E858" i="1"/>
  <c r="F858" i="1" s="1"/>
  <c r="K941" i="1"/>
  <c r="E941" i="1"/>
  <c r="K428" i="1"/>
  <c r="E428" i="1"/>
  <c r="K492" i="1"/>
  <c r="E492" i="1"/>
  <c r="K556" i="1"/>
  <c r="E556" i="1"/>
  <c r="F556" i="1" s="1"/>
  <c r="K620" i="1"/>
  <c r="E620" i="1"/>
  <c r="K678" i="1"/>
  <c r="E678" i="1"/>
  <c r="K733" i="1"/>
  <c r="E733" i="1"/>
  <c r="K811" i="1"/>
  <c r="E811" i="1"/>
  <c r="K993" i="1"/>
  <c r="E993" i="1"/>
  <c r="K922" i="1"/>
  <c r="E922" i="1"/>
  <c r="K1004" i="1"/>
  <c r="E1004" i="1"/>
  <c r="K881" i="1"/>
  <c r="E881" i="1"/>
  <c r="K945" i="1"/>
  <c r="E945" i="1"/>
  <c r="F945" i="1" s="1"/>
  <c r="K1039" i="1"/>
  <c r="E1039" i="1"/>
  <c r="K812" i="1"/>
  <c r="E812" i="1"/>
  <c r="K876" i="1"/>
  <c r="E876" i="1"/>
  <c r="F876" i="1" s="1"/>
  <c r="K940" i="1"/>
  <c r="E940" i="1"/>
  <c r="K1027" i="1"/>
  <c r="E1027" i="1"/>
  <c r="K703" i="1"/>
  <c r="E703" i="1"/>
  <c r="K767" i="1"/>
  <c r="E767" i="1"/>
  <c r="F767" i="1" s="1"/>
  <c r="K831" i="1"/>
  <c r="E831" i="1"/>
  <c r="K895" i="1"/>
  <c r="E895" i="1"/>
  <c r="K955" i="1"/>
  <c r="E955" i="1"/>
  <c r="F955" i="1" s="1"/>
  <c r="K1030" i="1"/>
  <c r="E1030" i="1"/>
  <c r="K1005" i="1"/>
  <c r="E1005" i="1"/>
  <c r="F1005" i="1" s="1"/>
  <c r="K954" i="1"/>
  <c r="E954" i="1"/>
  <c r="K1018" i="1"/>
  <c r="E1018" i="1"/>
  <c r="K75" i="2"/>
  <c r="E75" i="2"/>
  <c r="K117" i="2"/>
  <c r="E117" i="2"/>
  <c r="K159" i="2"/>
  <c r="E159" i="2"/>
  <c r="K180" i="2"/>
  <c r="E180" i="2"/>
  <c r="K83" i="2"/>
  <c r="E83" i="2"/>
  <c r="K93" i="2"/>
  <c r="E93" i="2"/>
  <c r="K307" i="2"/>
  <c r="E307" i="2"/>
  <c r="K120" i="2"/>
  <c r="E120" i="2"/>
  <c r="K235" i="2"/>
  <c r="E235" i="2"/>
  <c r="K141" i="2"/>
  <c r="E141" i="2"/>
  <c r="K368" i="2"/>
  <c r="E368" i="2"/>
  <c r="K171" i="2"/>
  <c r="E171" i="2"/>
  <c r="K87" i="2"/>
  <c r="E87" i="2"/>
  <c r="F87" i="2" s="1"/>
  <c r="K151" i="2"/>
  <c r="E151" i="2"/>
  <c r="K336" i="2"/>
  <c r="E336" i="2"/>
  <c r="K78" i="2"/>
  <c r="E78" i="2"/>
  <c r="K142" i="2"/>
  <c r="E142" i="2"/>
  <c r="F142" i="2" s="1"/>
  <c r="K220" i="2"/>
  <c r="E220" i="2"/>
  <c r="K414" i="2"/>
  <c r="E414" i="2"/>
  <c r="K121" i="2"/>
  <c r="E121" i="2"/>
  <c r="F121" i="2" s="1"/>
  <c r="K213" i="2"/>
  <c r="E213" i="2"/>
  <c r="F213" i="2" s="1"/>
  <c r="K124" i="2"/>
  <c r="E124" i="2"/>
  <c r="F124" i="2" s="1"/>
  <c r="K189" i="2"/>
  <c r="E189" i="2"/>
  <c r="K249" i="2"/>
  <c r="E249" i="2"/>
  <c r="K345" i="2"/>
  <c r="E345" i="2"/>
  <c r="K527" i="2"/>
  <c r="E527" i="2"/>
  <c r="K289" i="2"/>
  <c r="E289" i="2"/>
  <c r="K214" i="2"/>
  <c r="E214" i="2"/>
  <c r="K344" i="2"/>
  <c r="E344" i="2"/>
  <c r="F344" i="2" s="1"/>
  <c r="K196" i="2"/>
  <c r="E196" i="2"/>
  <c r="K321" i="2"/>
  <c r="E321" i="2"/>
  <c r="K468" i="2"/>
  <c r="E468" i="2"/>
  <c r="K285" i="2"/>
  <c r="E285" i="2"/>
  <c r="K338" i="2"/>
  <c r="E338" i="2"/>
  <c r="K391" i="2"/>
  <c r="E391" i="2"/>
  <c r="K572" i="2"/>
  <c r="E572" i="2"/>
  <c r="K276" i="2"/>
  <c r="E276" i="2"/>
  <c r="K364" i="2"/>
  <c r="E364" i="2"/>
  <c r="K476" i="2"/>
  <c r="E476" i="2"/>
  <c r="K271" i="2"/>
  <c r="E271" i="2"/>
  <c r="K337" i="2"/>
  <c r="E337" i="2"/>
  <c r="F337" i="2" s="1"/>
  <c r="K412" i="2"/>
  <c r="E412" i="2"/>
  <c r="F412" i="2" s="1"/>
  <c r="K202" i="2"/>
  <c r="E202" i="2"/>
  <c r="K266" i="2"/>
  <c r="E266" i="2"/>
  <c r="K333" i="2"/>
  <c r="E333" i="2"/>
  <c r="K505" i="2"/>
  <c r="E505" i="2"/>
  <c r="K433" i="2"/>
  <c r="E433" i="2"/>
  <c r="K381" i="2"/>
  <c r="E381" i="2"/>
  <c r="K445" i="2"/>
  <c r="E445" i="2"/>
  <c r="K823" i="2"/>
  <c r="E823" i="2"/>
  <c r="K440" i="2"/>
  <c r="E440" i="2"/>
  <c r="K510" i="2"/>
  <c r="E510" i="2"/>
  <c r="K331" i="2"/>
  <c r="E331" i="2"/>
  <c r="K395" i="2"/>
  <c r="E395" i="2"/>
  <c r="K481" i="2"/>
  <c r="E481" i="2"/>
  <c r="K765" i="2"/>
  <c r="E765" i="2"/>
  <c r="K632" i="2"/>
  <c r="E632" i="2"/>
  <c r="K566" i="2"/>
  <c r="E566" i="2"/>
  <c r="K472" i="2"/>
  <c r="E472" i="2"/>
  <c r="K523" i="2"/>
  <c r="E523" i="2"/>
  <c r="K508" i="2"/>
  <c r="E508" i="2"/>
  <c r="K756" i="2"/>
  <c r="E756" i="2"/>
  <c r="K863" i="2"/>
  <c r="E863" i="2"/>
  <c r="K690" i="2"/>
  <c r="E690" i="2"/>
  <c r="K531" i="2"/>
  <c r="E531" i="2"/>
  <c r="K681" i="2"/>
  <c r="E681" i="2"/>
  <c r="K579" i="2"/>
  <c r="E579" i="2"/>
  <c r="K649" i="2"/>
  <c r="E649" i="2"/>
  <c r="K809" i="2"/>
  <c r="E809" i="2"/>
  <c r="K628" i="2"/>
  <c r="E628" i="2"/>
  <c r="K785" i="2"/>
  <c r="E785" i="2"/>
  <c r="K524" i="2"/>
  <c r="E524" i="2"/>
  <c r="F524" i="2" s="1"/>
  <c r="K606" i="2"/>
  <c r="E606" i="2"/>
  <c r="K740" i="2"/>
  <c r="E740" i="2"/>
  <c r="K623" i="2"/>
  <c r="E623" i="2"/>
  <c r="K718" i="2"/>
  <c r="E718" i="2"/>
  <c r="K654" i="2"/>
  <c r="E654" i="2"/>
  <c r="K779" i="2"/>
  <c r="E779" i="2"/>
  <c r="K493" i="2"/>
  <c r="E493" i="2"/>
  <c r="K557" i="2"/>
  <c r="E557" i="2"/>
  <c r="K621" i="2"/>
  <c r="E621" i="2"/>
  <c r="F621" i="2" s="1"/>
  <c r="K731" i="2"/>
  <c r="E731" i="2"/>
  <c r="K552" i="2"/>
  <c r="E552" i="2"/>
  <c r="K616" i="2"/>
  <c r="E616" i="2"/>
  <c r="K667" i="2"/>
  <c r="E667" i="2"/>
  <c r="F667" i="2" s="1"/>
  <c r="K764" i="2"/>
  <c r="E764" i="2"/>
  <c r="K701" i="2"/>
  <c r="E701" i="2"/>
  <c r="K824" i="2"/>
  <c r="E824" i="2"/>
  <c r="K708" i="2"/>
  <c r="E708" i="2"/>
  <c r="K784" i="2"/>
  <c r="E784" i="2"/>
  <c r="K655" i="2"/>
  <c r="E655" i="2"/>
  <c r="K719" i="2"/>
  <c r="E719" i="2"/>
  <c r="F719" i="2" s="1"/>
  <c r="K812" i="2"/>
  <c r="E812" i="2"/>
  <c r="K805" i="2"/>
  <c r="E805" i="2"/>
  <c r="K766" i="2"/>
  <c r="E766" i="2"/>
  <c r="K862" i="2"/>
  <c r="E862" i="2"/>
  <c r="K737" i="2"/>
  <c r="E737" i="2"/>
  <c r="F737" i="2" s="1"/>
  <c r="K786" i="2"/>
  <c r="E786" i="2"/>
  <c r="F786" i="2" s="1"/>
  <c r="K832" i="2"/>
  <c r="E832" i="2"/>
  <c r="K969" i="2"/>
  <c r="E969" i="2"/>
  <c r="K787" i="2"/>
  <c r="E787" i="2"/>
  <c r="F787" i="2" s="1"/>
  <c r="K847" i="2"/>
  <c r="E847" i="2"/>
  <c r="K953" i="2"/>
  <c r="E953" i="2"/>
  <c r="K790" i="2"/>
  <c r="E790" i="2"/>
  <c r="K930" i="2"/>
  <c r="E930" i="2"/>
  <c r="K866" i="2"/>
  <c r="E866" i="2"/>
  <c r="K951" i="2"/>
  <c r="E951" i="2"/>
  <c r="K873" i="2"/>
  <c r="E873" i="2"/>
  <c r="K929" i="2"/>
  <c r="E929" i="2"/>
  <c r="K844" i="2"/>
  <c r="E844" i="2"/>
  <c r="F844" i="2" s="1"/>
  <c r="K923" i="2"/>
  <c r="E923" i="2"/>
  <c r="K941" i="2"/>
  <c r="E941" i="2"/>
  <c r="K916" i="2"/>
  <c r="E916" i="2"/>
  <c r="K963" i="2"/>
  <c r="E963" i="2"/>
  <c r="K887" i="2"/>
  <c r="E887" i="2"/>
  <c r="K961" i="2"/>
  <c r="E961" i="2"/>
  <c r="K977" i="2"/>
  <c r="E977" i="2"/>
  <c r="K960" i="2"/>
  <c r="E960" i="2"/>
  <c r="K1056" i="2"/>
  <c r="E1056" i="2"/>
  <c r="K1016" i="2"/>
  <c r="E1016" i="2"/>
  <c r="K1043" i="2"/>
  <c r="E1043" i="2"/>
  <c r="K1054" i="2"/>
  <c r="E1054" i="2"/>
  <c r="F1054" i="2" s="1"/>
  <c r="K1023" i="2"/>
  <c r="E1023" i="2"/>
  <c r="K1045" i="2"/>
  <c r="E1045" i="2"/>
  <c r="L234" i="1"/>
  <c r="J234" i="1"/>
  <c r="H234" i="1"/>
  <c r="I234" i="1" s="1"/>
  <c r="J280" i="1"/>
  <c r="L280" i="1"/>
  <c r="H280" i="1"/>
  <c r="L68" i="1"/>
  <c r="J68" i="1"/>
  <c r="H68" i="1"/>
  <c r="L423" i="1"/>
  <c r="J423" i="1"/>
  <c r="H423" i="1"/>
  <c r="J79" i="1"/>
  <c r="L79" i="1"/>
  <c r="H79" i="1"/>
  <c r="J103" i="1"/>
  <c r="L103" i="1"/>
  <c r="H103" i="1"/>
  <c r="J151" i="1"/>
  <c r="L151" i="1"/>
  <c r="H151" i="1"/>
  <c r="J183" i="1"/>
  <c r="L183" i="1"/>
  <c r="H183" i="1"/>
  <c r="L314" i="1"/>
  <c r="J314" i="1"/>
  <c r="H314" i="1"/>
  <c r="I314" i="1" s="1"/>
  <c r="J119" i="1"/>
  <c r="L119" i="1"/>
  <c r="H119" i="1"/>
  <c r="L164" i="1"/>
  <c r="J164" i="1"/>
  <c r="H164" i="1"/>
  <c r="L229" i="1"/>
  <c r="J229" i="1"/>
  <c r="H229" i="1"/>
  <c r="J114" i="1"/>
  <c r="L114" i="1"/>
  <c r="H114" i="1"/>
  <c r="J368" i="1"/>
  <c r="L368" i="1"/>
  <c r="H368" i="1"/>
  <c r="L86" i="1"/>
  <c r="J86" i="1"/>
  <c r="H86" i="1"/>
  <c r="L150" i="1"/>
  <c r="J150" i="1"/>
  <c r="H150" i="1"/>
  <c r="L214" i="1"/>
  <c r="J214" i="1"/>
  <c r="H214" i="1"/>
  <c r="L278" i="1"/>
  <c r="J278" i="1"/>
  <c r="H278" i="1"/>
  <c r="L402" i="1"/>
  <c r="J402" i="1"/>
  <c r="H402" i="1"/>
  <c r="I402" i="1" s="1"/>
  <c r="L606" i="1"/>
  <c r="J606" i="1"/>
  <c r="H606" i="1"/>
  <c r="I606" i="1" s="1"/>
  <c r="L796" i="1"/>
  <c r="J796" i="1"/>
  <c r="H796" i="1"/>
  <c r="L544" i="1"/>
  <c r="J544" i="1"/>
  <c r="H544" i="1"/>
  <c r="I544" i="1" s="1"/>
  <c r="L673" i="1"/>
  <c r="J673" i="1"/>
  <c r="H673" i="1"/>
  <c r="J785" i="1"/>
  <c r="L785" i="1"/>
  <c r="H785" i="1"/>
  <c r="L469" i="1"/>
  <c r="J469" i="1"/>
  <c r="H469" i="1"/>
  <c r="I469" i="1" s="1"/>
  <c r="L738" i="1"/>
  <c r="J738" i="1"/>
  <c r="H738" i="1"/>
  <c r="I738" i="1" s="1"/>
  <c r="J502" i="1"/>
  <c r="L502" i="1"/>
  <c r="H502" i="1"/>
  <c r="J810" i="1"/>
  <c r="L810" i="1"/>
  <c r="H810" i="1"/>
  <c r="I810" i="1" s="1"/>
  <c r="J146" i="1"/>
  <c r="L146" i="1"/>
  <c r="H146" i="1"/>
  <c r="J336" i="1"/>
  <c r="L336" i="1"/>
  <c r="H336" i="1"/>
  <c r="J125" i="1"/>
  <c r="L125" i="1"/>
  <c r="H125" i="1"/>
  <c r="J189" i="1"/>
  <c r="L189" i="1"/>
  <c r="H189" i="1"/>
  <c r="J288" i="1"/>
  <c r="L288" i="1"/>
  <c r="H288" i="1"/>
  <c r="I288" i="1" s="1"/>
  <c r="J442" i="1"/>
  <c r="L442" i="1"/>
  <c r="H442" i="1"/>
  <c r="L593" i="1"/>
  <c r="J593" i="1"/>
  <c r="H593" i="1"/>
  <c r="I593" i="1" s="1"/>
  <c r="J801" i="1"/>
  <c r="L801" i="1"/>
  <c r="H801" i="1"/>
  <c r="I801" i="1" s="1"/>
  <c r="J194" i="1"/>
  <c r="L194" i="1"/>
  <c r="H194" i="1"/>
  <c r="J77" i="1"/>
  <c r="L77" i="1"/>
  <c r="H77" i="1"/>
  <c r="J88" i="1"/>
  <c r="L88" i="1"/>
  <c r="H88" i="1"/>
  <c r="J152" i="1"/>
  <c r="L152" i="1"/>
  <c r="H152" i="1"/>
  <c r="I152" i="1" s="1"/>
  <c r="L213" i="1"/>
  <c r="J213" i="1"/>
  <c r="H213" i="1"/>
  <c r="L298" i="1"/>
  <c r="J298" i="1"/>
  <c r="H298" i="1"/>
  <c r="L428" i="1"/>
  <c r="J428" i="1"/>
  <c r="H428" i="1"/>
  <c r="L577" i="1"/>
  <c r="J577" i="1"/>
  <c r="H577" i="1"/>
  <c r="I577" i="1" s="1"/>
  <c r="L737" i="1"/>
  <c r="J737" i="1"/>
  <c r="H737" i="1"/>
  <c r="L287" i="1"/>
  <c r="J287" i="1"/>
  <c r="H287" i="1"/>
  <c r="I287" i="1" s="1"/>
  <c r="L91" i="1"/>
  <c r="J91" i="1"/>
  <c r="H91" i="1"/>
  <c r="L155" i="1"/>
  <c r="J155" i="1"/>
  <c r="H155" i="1"/>
  <c r="L223" i="1"/>
  <c r="J223" i="1"/>
  <c r="H223" i="1"/>
  <c r="J293" i="1"/>
  <c r="L293" i="1"/>
  <c r="H293" i="1"/>
  <c r="J418" i="1"/>
  <c r="L418" i="1"/>
  <c r="H418" i="1"/>
  <c r="L630" i="1"/>
  <c r="J630" i="1"/>
  <c r="H630" i="1"/>
  <c r="I630" i="1" s="1"/>
  <c r="L308" i="1"/>
  <c r="J308" i="1"/>
  <c r="H308" i="1"/>
  <c r="L372" i="1"/>
  <c r="J372" i="1"/>
  <c r="H372" i="1"/>
  <c r="L445" i="1"/>
  <c r="J445" i="1"/>
  <c r="H445" i="1"/>
  <c r="L558" i="1"/>
  <c r="J558" i="1"/>
  <c r="H558" i="1"/>
  <c r="J689" i="1"/>
  <c r="L689" i="1"/>
  <c r="H689" i="1"/>
  <c r="I689" i="1" s="1"/>
  <c r="J813" i="1"/>
  <c r="L813" i="1"/>
  <c r="H813" i="1"/>
  <c r="J960" i="1"/>
  <c r="L960" i="1"/>
  <c r="H960" i="1"/>
  <c r="J956" i="1"/>
  <c r="L956" i="1"/>
  <c r="H956" i="1"/>
  <c r="I956" i="1" s="1"/>
  <c r="J979" i="1"/>
  <c r="L979" i="1"/>
  <c r="H979" i="1"/>
  <c r="J315" i="1"/>
  <c r="L315" i="1"/>
  <c r="H315" i="1"/>
  <c r="I315" i="1" s="1"/>
  <c r="J379" i="1"/>
  <c r="L379" i="1"/>
  <c r="H379" i="1"/>
  <c r="J448" i="1"/>
  <c r="L448" i="1"/>
  <c r="H448" i="1"/>
  <c r="J512" i="1"/>
  <c r="L512" i="1"/>
  <c r="H512" i="1"/>
  <c r="L601" i="1"/>
  <c r="J601" i="1"/>
  <c r="H601" i="1"/>
  <c r="L696" i="1"/>
  <c r="J696" i="1"/>
  <c r="H696" i="1"/>
  <c r="J794" i="1"/>
  <c r="L794" i="1"/>
  <c r="H794" i="1"/>
  <c r="I794" i="1" s="1"/>
  <c r="L967" i="1"/>
  <c r="J967" i="1"/>
  <c r="H967" i="1"/>
  <c r="J334" i="1"/>
  <c r="L334" i="1"/>
  <c r="H334" i="1"/>
  <c r="J398" i="1"/>
  <c r="L398" i="1"/>
  <c r="H398" i="1"/>
  <c r="L476" i="1"/>
  <c r="J476" i="1"/>
  <c r="H476" i="1"/>
  <c r="L537" i="1"/>
  <c r="J537" i="1"/>
  <c r="H537" i="1"/>
  <c r="L628" i="1"/>
  <c r="J628" i="1"/>
  <c r="H628" i="1"/>
  <c r="L799" i="1"/>
  <c r="J799" i="1"/>
  <c r="H799" i="1"/>
  <c r="L209" i="1"/>
  <c r="J209" i="1"/>
  <c r="H209" i="1"/>
  <c r="J273" i="1"/>
  <c r="L273" i="1"/>
  <c r="H273" i="1"/>
  <c r="L337" i="1"/>
  <c r="J337" i="1"/>
  <c r="H337" i="1"/>
  <c r="I337" i="1" s="1"/>
  <c r="L401" i="1"/>
  <c r="J401" i="1"/>
  <c r="H401" i="1"/>
  <c r="L463" i="1"/>
  <c r="J463" i="1"/>
  <c r="H463" i="1"/>
  <c r="L527" i="1"/>
  <c r="J527" i="1"/>
  <c r="H527" i="1"/>
  <c r="L649" i="1"/>
  <c r="J649" i="1"/>
  <c r="H649" i="1"/>
  <c r="L719" i="1"/>
  <c r="J719" i="1"/>
  <c r="H719" i="1"/>
  <c r="J866" i="1"/>
  <c r="L866" i="1"/>
  <c r="H866" i="1"/>
  <c r="I866" i="1" s="1"/>
  <c r="L884" i="1"/>
  <c r="J884" i="1"/>
  <c r="H884" i="1"/>
  <c r="J1019" i="1"/>
  <c r="L1019" i="1"/>
  <c r="H1019" i="1"/>
  <c r="J565" i="1"/>
  <c r="L565" i="1"/>
  <c r="H565" i="1"/>
  <c r="J629" i="1"/>
  <c r="L629" i="1"/>
  <c r="H629" i="1"/>
  <c r="I629" i="1" s="1"/>
  <c r="L703" i="1"/>
  <c r="J703" i="1"/>
  <c r="H703" i="1"/>
  <c r="I703" i="1" s="1"/>
  <c r="J786" i="1"/>
  <c r="L786" i="1"/>
  <c r="H786" i="1"/>
  <c r="I786" i="1" s="1"/>
  <c r="J850" i="1"/>
  <c r="L850" i="1"/>
  <c r="H850" i="1"/>
  <c r="L951" i="1"/>
  <c r="J951" i="1"/>
  <c r="H951" i="1"/>
  <c r="I951" i="1" s="1"/>
  <c r="J576" i="1"/>
  <c r="L576" i="1"/>
  <c r="H576" i="1"/>
  <c r="J640" i="1"/>
  <c r="L640" i="1"/>
  <c r="H640" i="1"/>
  <c r="L699" i="1"/>
  <c r="J699" i="1"/>
  <c r="H699" i="1"/>
  <c r="L763" i="1"/>
  <c r="J763" i="1"/>
  <c r="H763" i="1"/>
  <c r="L1007" i="1"/>
  <c r="J1007" i="1"/>
  <c r="H1007" i="1"/>
  <c r="I1007" i="1" s="1"/>
  <c r="L451" i="1"/>
  <c r="J451" i="1"/>
  <c r="H451" i="1"/>
  <c r="L515" i="1"/>
  <c r="J515" i="1"/>
  <c r="H515" i="1"/>
  <c r="L579" i="1"/>
  <c r="J579" i="1"/>
  <c r="H579" i="1"/>
  <c r="L643" i="1"/>
  <c r="J643" i="1"/>
  <c r="H643" i="1"/>
  <c r="L727" i="1"/>
  <c r="J727" i="1"/>
  <c r="H727" i="1"/>
  <c r="J789" i="1"/>
  <c r="L789" i="1"/>
  <c r="H789" i="1"/>
  <c r="L825" i="1"/>
  <c r="J825" i="1"/>
  <c r="H825" i="1"/>
  <c r="J882" i="1"/>
  <c r="L882" i="1"/>
  <c r="H882" i="1"/>
  <c r="I882" i="1" s="1"/>
  <c r="J983" i="1"/>
  <c r="L983" i="1"/>
  <c r="H983" i="1"/>
  <c r="L937" i="1"/>
  <c r="J937" i="1"/>
  <c r="H937" i="1"/>
  <c r="J1000" i="1"/>
  <c r="L1000" i="1"/>
  <c r="H1000" i="1"/>
  <c r="L880" i="1"/>
  <c r="J880" i="1"/>
  <c r="H880" i="1"/>
  <c r="J944" i="1"/>
  <c r="L944" i="1"/>
  <c r="H944" i="1"/>
  <c r="I944" i="1" s="1"/>
  <c r="J1022" i="1"/>
  <c r="L1022" i="1"/>
  <c r="H1022" i="1"/>
  <c r="J803" i="1"/>
  <c r="L803" i="1"/>
  <c r="H803" i="1"/>
  <c r="L867" i="1"/>
  <c r="J867" i="1"/>
  <c r="H867" i="1"/>
  <c r="L931" i="1"/>
  <c r="J931" i="1"/>
  <c r="H931" i="1"/>
  <c r="L986" i="1"/>
  <c r="J986" i="1"/>
  <c r="H986" i="1"/>
  <c r="J670" i="1"/>
  <c r="L670" i="1"/>
  <c r="H670" i="1"/>
  <c r="J734" i="1"/>
  <c r="L734" i="1"/>
  <c r="H734" i="1"/>
  <c r="L798" i="1"/>
  <c r="J798" i="1"/>
  <c r="H798" i="1"/>
  <c r="L862" i="1"/>
  <c r="J862" i="1"/>
  <c r="H862" i="1"/>
  <c r="L926" i="1"/>
  <c r="J926" i="1"/>
  <c r="H926" i="1"/>
  <c r="L1015" i="1"/>
  <c r="J1015" i="1"/>
  <c r="H1015" i="1"/>
  <c r="I1015" i="1" s="1"/>
  <c r="J996" i="1"/>
  <c r="L996" i="1"/>
  <c r="H996" i="1"/>
  <c r="J1060" i="1"/>
  <c r="L1060" i="1"/>
  <c r="H1060" i="1"/>
  <c r="I1060" i="1" s="1"/>
  <c r="J1009" i="1"/>
  <c r="L1009" i="1"/>
  <c r="H1009" i="1"/>
  <c r="I1009" i="1" s="1"/>
  <c r="K631" i="1"/>
  <c r="E631" i="1"/>
  <c r="K757" i="1"/>
  <c r="E757" i="1"/>
  <c r="K274" i="1"/>
  <c r="E274" i="1"/>
  <c r="K738" i="1"/>
  <c r="E738" i="1"/>
  <c r="F738" i="1" s="1"/>
  <c r="K358" i="2"/>
  <c r="E358" i="2"/>
  <c r="K389" i="2"/>
  <c r="E389" i="2"/>
  <c r="K723" i="2"/>
  <c r="E723" i="2"/>
  <c r="K663" i="2"/>
  <c r="E663" i="2"/>
  <c r="F663" i="2" s="1"/>
  <c r="K800" i="2"/>
  <c r="E800" i="2"/>
  <c r="K848" i="2"/>
  <c r="E848" i="2"/>
  <c r="K798" i="2"/>
  <c r="E798" i="2"/>
  <c r="F798" i="2" s="1"/>
  <c r="K1029" i="2"/>
  <c r="E1029" i="2"/>
  <c r="F1029" i="2" s="1"/>
  <c r="K947" i="2"/>
  <c r="E947" i="2"/>
  <c r="K852" i="2"/>
  <c r="E852" i="2"/>
  <c r="K938" i="2"/>
  <c r="E938" i="2"/>
  <c r="K945" i="2"/>
  <c r="E945" i="2"/>
  <c r="K924" i="2"/>
  <c r="E924" i="2"/>
  <c r="F924" i="2" s="1"/>
  <c r="K984" i="2"/>
  <c r="E984" i="2"/>
  <c r="K895" i="2"/>
  <c r="E895" i="2"/>
  <c r="F895" i="2" s="1"/>
  <c r="K998" i="2"/>
  <c r="E998" i="2"/>
  <c r="F998" i="2" s="1"/>
  <c r="K1006" i="2"/>
  <c r="E1006" i="2"/>
  <c r="K964" i="2"/>
  <c r="E964" i="2"/>
  <c r="K1000" i="2"/>
  <c r="E1000" i="2"/>
  <c r="F1000" i="2" s="1"/>
  <c r="K1017" i="2"/>
  <c r="E1017" i="2"/>
  <c r="F1017" i="2" s="1"/>
  <c r="K1053" i="2"/>
  <c r="E1053" i="2"/>
  <c r="L247" i="1"/>
  <c r="J247" i="1"/>
  <c r="H247" i="1"/>
  <c r="L282" i="1"/>
  <c r="J282" i="1"/>
  <c r="H282" i="1"/>
  <c r="I282" i="1" s="1"/>
  <c r="J224" i="1"/>
  <c r="L224" i="1"/>
  <c r="H224" i="1"/>
  <c r="J373" i="1"/>
  <c r="L373" i="1"/>
  <c r="H373" i="1"/>
  <c r="I373" i="1" s="1"/>
  <c r="L210" i="1"/>
  <c r="J210" i="1"/>
  <c r="H210" i="1"/>
  <c r="L81" i="1"/>
  <c r="J81" i="1"/>
  <c r="H81" i="1"/>
  <c r="J113" i="1"/>
  <c r="L113" i="1"/>
  <c r="H113" i="1"/>
  <c r="I113" i="1" s="1"/>
  <c r="L156" i="1"/>
  <c r="J156" i="1"/>
  <c r="H156" i="1"/>
  <c r="I156" i="1" s="1"/>
  <c r="L185" i="1"/>
  <c r="J185" i="1"/>
  <c r="H185" i="1"/>
  <c r="J328" i="1"/>
  <c r="L328" i="1"/>
  <c r="H328" i="1"/>
  <c r="I328" i="1" s="1"/>
  <c r="L121" i="1"/>
  <c r="J121" i="1"/>
  <c r="H121" i="1"/>
  <c r="J167" i="1"/>
  <c r="L167" i="1"/>
  <c r="H167" i="1"/>
  <c r="I167" i="1" s="1"/>
  <c r="J239" i="1"/>
  <c r="L239" i="1"/>
  <c r="H239" i="1"/>
  <c r="J162" i="1"/>
  <c r="L162" i="1"/>
  <c r="H162" i="1"/>
  <c r="L386" i="1"/>
  <c r="J386" i="1"/>
  <c r="H386" i="1"/>
  <c r="I386" i="1" s="1"/>
  <c r="L94" i="1"/>
  <c r="J94" i="1"/>
  <c r="H94" i="1"/>
  <c r="L158" i="1"/>
  <c r="J158" i="1"/>
  <c r="H158" i="1"/>
  <c r="L228" i="1"/>
  <c r="J228" i="1"/>
  <c r="H228" i="1"/>
  <c r="L279" i="1"/>
  <c r="J279" i="1"/>
  <c r="H279" i="1"/>
  <c r="I279" i="1" s="1"/>
  <c r="L414" i="1"/>
  <c r="J414" i="1"/>
  <c r="H414" i="1"/>
  <c r="I414" i="1" s="1"/>
  <c r="L620" i="1"/>
  <c r="J620" i="1"/>
  <c r="H620" i="1"/>
  <c r="L815" i="1"/>
  <c r="J815" i="1"/>
  <c r="H815" i="1"/>
  <c r="J554" i="1"/>
  <c r="L554" i="1"/>
  <c r="H554" i="1"/>
  <c r="I554" i="1" s="1"/>
  <c r="L691" i="1"/>
  <c r="J691" i="1"/>
  <c r="H691" i="1"/>
  <c r="L792" i="1"/>
  <c r="J792" i="1"/>
  <c r="H792" i="1"/>
  <c r="I792" i="1" s="1"/>
  <c r="L492" i="1"/>
  <c r="J492" i="1"/>
  <c r="H492" i="1"/>
  <c r="J765" i="1"/>
  <c r="L765" i="1"/>
  <c r="H765" i="1"/>
  <c r="L540" i="1"/>
  <c r="J540" i="1"/>
  <c r="H540" i="1"/>
  <c r="J941" i="1"/>
  <c r="L941" i="1"/>
  <c r="H941" i="1"/>
  <c r="J154" i="1"/>
  <c r="L154" i="1"/>
  <c r="H154" i="1"/>
  <c r="L501" i="1"/>
  <c r="J501" i="1"/>
  <c r="H501" i="1"/>
  <c r="I501" i="1" s="1"/>
  <c r="J133" i="1"/>
  <c r="L133" i="1"/>
  <c r="H133" i="1"/>
  <c r="J197" i="1"/>
  <c r="L197" i="1"/>
  <c r="H197" i="1"/>
  <c r="L311" i="1"/>
  <c r="J311" i="1"/>
  <c r="H311" i="1"/>
  <c r="L464" i="1"/>
  <c r="J464" i="1"/>
  <c r="H464" i="1"/>
  <c r="I464" i="1" s="1"/>
  <c r="J618" i="1"/>
  <c r="L618" i="1"/>
  <c r="H618" i="1"/>
  <c r="I618" i="1" s="1"/>
  <c r="L816" i="1"/>
  <c r="J816" i="1"/>
  <c r="H816" i="1"/>
  <c r="J271" i="1"/>
  <c r="L271" i="1"/>
  <c r="H271" i="1"/>
  <c r="J93" i="1"/>
  <c r="L93" i="1"/>
  <c r="H93" i="1"/>
  <c r="J96" i="1"/>
  <c r="L96" i="1"/>
  <c r="H96" i="1"/>
  <c r="L160" i="1"/>
  <c r="J160" i="1"/>
  <c r="H160" i="1"/>
  <c r="J222" i="1"/>
  <c r="L222" i="1"/>
  <c r="H222" i="1"/>
  <c r="J312" i="1"/>
  <c r="L312" i="1"/>
  <c r="H312" i="1"/>
  <c r="J429" i="1"/>
  <c r="L429" i="1"/>
  <c r="H429" i="1"/>
  <c r="I429" i="1" s="1"/>
  <c r="L582" i="1"/>
  <c r="J582" i="1"/>
  <c r="H582" i="1"/>
  <c r="L752" i="1"/>
  <c r="J752" i="1"/>
  <c r="H752" i="1"/>
  <c r="L322" i="1"/>
  <c r="J322" i="1"/>
  <c r="H322" i="1"/>
  <c r="L99" i="1"/>
  <c r="J99" i="1"/>
  <c r="H99" i="1"/>
  <c r="L163" i="1"/>
  <c r="J163" i="1"/>
  <c r="H163" i="1"/>
  <c r="I163" i="1" s="1"/>
  <c r="J227" i="1"/>
  <c r="L227" i="1"/>
  <c r="H227" i="1"/>
  <c r="I227" i="1" s="1"/>
  <c r="L319" i="1"/>
  <c r="J319" i="1"/>
  <c r="H319" i="1"/>
  <c r="J425" i="1"/>
  <c r="L425" i="1"/>
  <c r="H425" i="1"/>
  <c r="L636" i="1"/>
  <c r="J636" i="1"/>
  <c r="H636" i="1"/>
  <c r="L316" i="1"/>
  <c r="J316" i="1"/>
  <c r="H316" i="1"/>
  <c r="L380" i="1"/>
  <c r="J380" i="1"/>
  <c r="H380" i="1"/>
  <c r="I380" i="1" s="1"/>
  <c r="L468" i="1"/>
  <c r="J468" i="1"/>
  <c r="H468" i="1"/>
  <c r="J586" i="1"/>
  <c r="L586" i="1"/>
  <c r="H586" i="1"/>
  <c r="J723" i="1"/>
  <c r="L723" i="1"/>
  <c r="H723" i="1"/>
  <c r="I723" i="1" s="1"/>
  <c r="L831" i="1"/>
  <c r="J831" i="1"/>
  <c r="H831" i="1"/>
  <c r="J992" i="1"/>
  <c r="L992" i="1"/>
  <c r="H992" i="1"/>
  <c r="L1005" i="1"/>
  <c r="J1005" i="1"/>
  <c r="H1005" i="1"/>
  <c r="J1016" i="1"/>
  <c r="L1016" i="1"/>
  <c r="H1016" i="1"/>
  <c r="J323" i="1"/>
  <c r="L323" i="1"/>
  <c r="H323" i="1"/>
  <c r="I323" i="1" s="1"/>
  <c r="J387" i="1"/>
  <c r="L387" i="1"/>
  <c r="H387" i="1"/>
  <c r="J462" i="1"/>
  <c r="L462" i="1"/>
  <c r="H462" i="1"/>
  <c r="J526" i="1"/>
  <c r="L526" i="1"/>
  <c r="H526" i="1"/>
  <c r="L604" i="1"/>
  <c r="J604" i="1"/>
  <c r="H604" i="1"/>
  <c r="I604" i="1" s="1"/>
  <c r="J721" i="1"/>
  <c r="L721" i="1"/>
  <c r="H721" i="1"/>
  <c r="L800" i="1"/>
  <c r="J800" i="1"/>
  <c r="H800" i="1"/>
  <c r="L1006" i="1"/>
  <c r="J1006" i="1"/>
  <c r="H1006" i="1"/>
  <c r="I1006" i="1" s="1"/>
  <c r="L342" i="1"/>
  <c r="J342" i="1"/>
  <c r="H342" i="1"/>
  <c r="I342" i="1" s="1"/>
  <c r="J406" i="1"/>
  <c r="L406" i="1"/>
  <c r="H406" i="1"/>
  <c r="J481" i="1"/>
  <c r="L481" i="1"/>
  <c r="H481" i="1"/>
  <c r="J551" i="1"/>
  <c r="L551" i="1"/>
  <c r="H551" i="1"/>
  <c r="L638" i="1"/>
  <c r="J638" i="1"/>
  <c r="H638" i="1"/>
  <c r="I638" i="1" s="1"/>
  <c r="J808" i="1"/>
  <c r="L808" i="1"/>
  <c r="H808" i="1"/>
  <c r="I808" i="1" s="1"/>
  <c r="J217" i="1"/>
  <c r="L217" i="1"/>
  <c r="H217" i="1"/>
  <c r="L281" i="1"/>
  <c r="J281" i="1"/>
  <c r="H281" i="1"/>
  <c r="I281" i="1" s="1"/>
  <c r="L345" i="1"/>
  <c r="J345" i="1"/>
  <c r="H345" i="1"/>
  <c r="L409" i="1"/>
  <c r="J409" i="1"/>
  <c r="H409" i="1"/>
  <c r="L472" i="1"/>
  <c r="J472" i="1"/>
  <c r="H472" i="1"/>
  <c r="J562" i="1"/>
  <c r="L562" i="1"/>
  <c r="H562" i="1"/>
  <c r="I562" i="1" s="1"/>
  <c r="L652" i="1"/>
  <c r="J652" i="1"/>
  <c r="H652" i="1"/>
  <c r="I652" i="1" s="1"/>
  <c r="L720" i="1"/>
  <c r="J720" i="1"/>
  <c r="H720" i="1"/>
  <c r="I720" i="1" s="1"/>
  <c r="J877" i="1"/>
  <c r="L877" i="1"/>
  <c r="H877" i="1"/>
  <c r="J901" i="1"/>
  <c r="L901" i="1"/>
  <c r="H901" i="1"/>
  <c r="L1031" i="1"/>
  <c r="J1031" i="1"/>
  <c r="H1031" i="1"/>
  <c r="I1031" i="1" s="1"/>
  <c r="J573" i="1"/>
  <c r="L573" i="1"/>
  <c r="H573" i="1"/>
  <c r="L637" i="1"/>
  <c r="J637" i="1"/>
  <c r="H637" i="1"/>
  <c r="I637" i="1" s="1"/>
  <c r="L708" i="1"/>
  <c r="J708" i="1"/>
  <c r="H708" i="1"/>
  <c r="I708" i="1" s="1"/>
  <c r="L788" i="1"/>
  <c r="J788" i="1"/>
  <c r="H788" i="1"/>
  <c r="L852" i="1"/>
  <c r="J852" i="1"/>
  <c r="H852" i="1"/>
  <c r="L970" i="1"/>
  <c r="J970" i="1"/>
  <c r="H970" i="1"/>
  <c r="L584" i="1"/>
  <c r="J584" i="1"/>
  <c r="H584" i="1"/>
  <c r="J648" i="1"/>
  <c r="L648" i="1"/>
  <c r="H648" i="1"/>
  <c r="J713" i="1"/>
  <c r="L713" i="1"/>
  <c r="H713" i="1"/>
  <c r="L881" i="1"/>
  <c r="J881" i="1"/>
  <c r="H881" i="1"/>
  <c r="I881" i="1" s="1"/>
  <c r="J1023" i="1"/>
  <c r="L1023" i="1"/>
  <c r="H1023" i="1"/>
  <c r="I1023" i="1" s="1"/>
  <c r="L459" i="1"/>
  <c r="J459" i="1"/>
  <c r="H459" i="1"/>
  <c r="L523" i="1"/>
  <c r="J523" i="1"/>
  <c r="H523" i="1"/>
  <c r="J587" i="1"/>
  <c r="L587" i="1"/>
  <c r="H587" i="1"/>
  <c r="J651" i="1"/>
  <c r="L651" i="1"/>
  <c r="H651" i="1"/>
  <c r="L732" i="1"/>
  <c r="J732" i="1"/>
  <c r="H732" i="1"/>
  <c r="I732" i="1" s="1"/>
  <c r="L791" i="1"/>
  <c r="J791" i="1"/>
  <c r="H791" i="1"/>
  <c r="J837" i="1"/>
  <c r="L837" i="1"/>
  <c r="H837" i="1"/>
  <c r="J893" i="1"/>
  <c r="L893" i="1"/>
  <c r="H893" i="1"/>
  <c r="I893" i="1" s="1"/>
  <c r="L1054" i="1"/>
  <c r="J1054" i="1"/>
  <c r="H1054" i="1"/>
  <c r="I1054" i="1" s="1"/>
  <c r="L945" i="1"/>
  <c r="J945" i="1"/>
  <c r="H945" i="1"/>
  <c r="I945" i="1" s="1"/>
  <c r="L1002" i="1"/>
  <c r="J1002" i="1"/>
  <c r="H1002" i="1"/>
  <c r="L888" i="1"/>
  <c r="J888" i="1"/>
  <c r="H888" i="1"/>
  <c r="J952" i="1"/>
  <c r="L952" i="1"/>
  <c r="H952" i="1"/>
  <c r="J1059" i="1"/>
  <c r="L1059" i="1"/>
  <c r="H1059" i="1"/>
  <c r="L811" i="1"/>
  <c r="J811" i="1"/>
  <c r="H811" i="1"/>
  <c r="L875" i="1"/>
  <c r="J875" i="1"/>
  <c r="H875" i="1"/>
  <c r="I875" i="1" s="1"/>
  <c r="L939" i="1"/>
  <c r="J939" i="1"/>
  <c r="H939" i="1"/>
  <c r="J998" i="1"/>
  <c r="L998" i="1"/>
  <c r="H998" i="1"/>
  <c r="L678" i="1"/>
  <c r="J678" i="1"/>
  <c r="H678" i="1"/>
  <c r="L742" i="1"/>
  <c r="J742" i="1"/>
  <c r="H742" i="1"/>
  <c r="L806" i="1"/>
  <c r="J806" i="1"/>
  <c r="H806" i="1"/>
  <c r="I806" i="1" s="1"/>
  <c r="J870" i="1"/>
  <c r="L870" i="1"/>
  <c r="H870" i="1"/>
  <c r="J934" i="1"/>
  <c r="L934" i="1"/>
  <c r="H934" i="1"/>
  <c r="J1024" i="1"/>
  <c r="L1024" i="1"/>
  <c r="H1024" i="1"/>
  <c r="I1024" i="1" s="1"/>
  <c r="L1004" i="1"/>
  <c r="J1004" i="1"/>
  <c r="H1004" i="1"/>
  <c r="I1004" i="1" s="1"/>
  <c r="J953" i="1"/>
  <c r="L953" i="1"/>
  <c r="H953" i="1"/>
  <c r="L1017" i="1"/>
  <c r="J1017" i="1"/>
  <c r="H1017" i="1"/>
  <c r="K294" i="1"/>
  <c r="E294" i="1"/>
  <c r="K99" i="1"/>
  <c r="E99" i="1"/>
  <c r="F99" i="1" s="1"/>
  <c r="K948" i="1"/>
  <c r="E948" i="1"/>
  <c r="K889" i="2"/>
  <c r="E889" i="2"/>
  <c r="K511" i="1"/>
  <c r="E511" i="1"/>
  <c r="K1064" i="1"/>
  <c r="E1064" i="1"/>
  <c r="F1064" i="1" s="1"/>
  <c r="K638" i="2"/>
  <c r="E638" i="2"/>
  <c r="K630" i="2"/>
  <c r="E630" i="2"/>
  <c r="K1049" i="2"/>
  <c r="E1049" i="2"/>
  <c r="J341" i="1"/>
  <c r="L341" i="1"/>
  <c r="H341" i="1"/>
  <c r="I341" i="1" s="1"/>
  <c r="L242" i="1"/>
  <c r="J242" i="1"/>
  <c r="H242" i="1"/>
  <c r="L378" i="1"/>
  <c r="J378" i="1"/>
  <c r="H378" i="1"/>
  <c r="L219" i="1"/>
  <c r="J219" i="1"/>
  <c r="H219" i="1"/>
  <c r="J87" i="1"/>
  <c r="L87" i="1"/>
  <c r="H87" i="1"/>
  <c r="I87" i="1" s="1"/>
  <c r="L116" i="1"/>
  <c r="J116" i="1"/>
  <c r="H116" i="1"/>
  <c r="J159" i="1"/>
  <c r="L159" i="1"/>
  <c r="H159" i="1"/>
  <c r="I159" i="1" s="1"/>
  <c r="J191" i="1"/>
  <c r="L191" i="1"/>
  <c r="H191" i="1"/>
  <c r="L391" i="1"/>
  <c r="J391" i="1"/>
  <c r="H391" i="1"/>
  <c r="L124" i="1"/>
  <c r="J124" i="1"/>
  <c r="H124" i="1"/>
  <c r="L172" i="1"/>
  <c r="J172" i="1"/>
  <c r="H172" i="1"/>
  <c r="I172" i="1" s="1"/>
  <c r="L303" i="1"/>
  <c r="J303" i="1"/>
  <c r="H303" i="1"/>
  <c r="I303" i="1" s="1"/>
  <c r="J186" i="1"/>
  <c r="L186" i="1"/>
  <c r="H186" i="1"/>
  <c r="J400" i="1"/>
  <c r="L400" i="1"/>
  <c r="H400" i="1"/>
  <c r="L102" i="1"/>
  <c r="J102" i="1"/>
  <c r="H102" i="1"/>
  <c r="I102" i="1" s="1"/>
  <c r="L166" i="1"/>
  <c r="J166" i="1"/>
  <c r="H166" i="1"/>
  <c r="J232" i="1"/>
  <c r="L232" i="1"/>
  <c r="H232" i="1"/>
  <c r="I232" i="1" s="1"/>
  <c r="L306" i="1"/>
  <c r="J306" i="1"/>
  <c r="H306" i="1"/>
  <c r="L437" i="1"/>
  <c r="J437" i="1"/>
  <c r="H437" i="1"/>
  <c r="J647" i="1"/>
  <c r="L647" i="1"/>
  <c r="H647" i="1"/>
  <c r="J559" i="1"/>
  <c r="L559" i="1"/>
  <c r="H559" i="1"/>
  <c r="I559" i="1" s="1"/>
  <c r="J833" i="1"/>
  <c r="L833" i="1"/>
  <c r="H833" i="1"/>
  <c r="L783" i="1"/>
  <c r="J783" i="1"/>
  <c r="H783" i="1"/>
  <c r="L566" i="1"/>
  <c r="J566" i="1"/>
  <c r="H566" i="1"/>
  <c r="I566" i="1" s="1"/>
  <c r="J122" i="1"/>
  <c r="L122" i="1"/>
  <c r="H122" i="1"/>
  <c r="I122" i="1" s="1"/>
  <c r="J178" i="1"/>
  <c r="L178" i="1"/>
  <c r="H178" i="1"/>
  <c r="L543" i="1"/>
  <c r="J543" i="1"/>
  <c r="H543" i="1"/>
  <c r="J141" i="1"/>
  <c r="L141" i="1"/>
  <c r="H141" i="1"/>
  <c r="J205" i="1"/>
  <c r="L205" i="1"/>
  <c r="H205" i="1"/>
  <c r="J317" i="1"/>
  <c r="L317" i="1"/>
  <c r="H317" i="1"/>
  <c r="I317" i="1" s="1"/>
  <c r="L488" i="1"/>
  <c r="J488" i="1"/>
  <c r="H488" i="1"/>
  <c r="I488" i="1" s="1"/>
  <c r="J623" i="1"/>
  <c r="L623" i="1"/>
  <c r="H623" i="1"/>
  <c r="L828" i="1"/>
  <c r="J828" i="1"/>
  <c r="H828" i="1"/>
  <c r="I828" i="1" s="1"/>
  <c r="L455" i="1"/>
  <c r="J455" i="1"/>
  <c r="H455" i="1"/>
  <c r="J101" i="1"/>
  <c r="L101" i="1"/>
  <c r="H101" i="1"/>
  <c r="J104" i="1"/>
  <c r="L104" i="1"/>
  <c r="H104" i="1"/>
  <c r="I104" i="1" s="1"/>
  <c r="J168" i="1"/>
  <c r="L168" i="1"/>
  <c r="H168" i="1"/>
  <c r="L236" i="1"/>
  <c r="J236" i="1"/>
  <c r="H236" i="1"/>
  <c r="L330" i="1"/>
  <c r="J330" i="1"/>
  <c r="H330" i="1"/>
  <c r="I330" i="1" s="1"/>
  <c r="L452" i="1"/>
  <c r="J452" i="1"/>
  <c r="H452" i="1"/>
  <c r="I452" i="1" s="1"/>
  <c r="L596" i="1"/>
  <c r="J596" i="1"/>
  <c r="H596" i="1"/>
  <c r="L824" i="1"/>
  <c r="J824" i="1"/>
  <c r="H824" i="1"/>
  <c r="L354" i="1"/>
  <c r="J354" i="1"/>
  <c r="H354" i="1"/>
  <c r="L107" i="1"/>
  <c r="J107" i="1"/>
  <c r="H107" i="1"/>
  <c r="I107" i="1" s="1"/>
  <c r="L171" i="1"/>
  <c r="J171" i="1"/>
  <c r="H171" i="1"/>
  <c r="L250" i="1"/>
  <c r="J250" i="1"/>
  <c r="H250" i="1"/>
  <c r="J325" i="1"/>
  <c r="L325" i="1"/>
  <c r="H325" i="1"/>
  <c r="I325" i="1" s="1"/>
  <c r="J438" i="1"/>
  <c r="L438" i="1"/>
  <c r="H438" i="1"/>
  <c r="I438" i="1" s="1"/>
  <c r="L729" i="1"/>
  <c r="J729" i="1"/>
  <c r="H729" i="1"/>
  <c r="L324" i="1"/>
  <c r="J324" i="1"/>
  <c r="H324" i="1"/>
  <c r="L388" i="1"/>
  <c r="J388" i="1"/>
  <c r="H388" i="1"/>
  <c r="I388" i="1" s="1"/>
  <c r="L473" i="1"/>
  <c r="J473" i="1"/>
  <c r="H473" i="1"/>
  <c r="I473" i="1" s="1"/>
  <c r="J599" i="1"/>
  <c r="L599" i="1"/>
  <c r="H599" i="1"/>
  <c r="L724" i="1"/>
  <c r="J724" i="1"/>
  <c r="H724" i="1"/>
  <c r="J840" i="1"/>
  <c r="L840" i="1"/>
  <c r="H840" i="1"/>
  <c r="I840" i="1" s="1"/>
  <c r="L1029" i="1"/>
  <c r="J1029" i="1"/>
  <c r="H1029" i="1"/>
  <c r="J1040" i="1"/>
  <c r="L1040" i="1"/>
  <c r="H1040" i="1"/>
  <c r="L267" i="1"/>
  <c r="J267" i="1"/>
  <c r="H267" i="1"/>
  <c r="J331" i="1"/>
  <c r="L331" i="1"/>
  <c r="H331" i="1"/>
  <c r="J395" i="1"/>
  <c r="L395" i="1"/>
  <c r="H395" i="1"/>
  <c r="J466" i="1"/>
  <c r="L466" i="1"/>
  <c r="H466" i="1"/>
  <c r="L532" i="1"/>
  <c r="J532" i="1"/>
  <c r="H532" i="1"/>
  <c r="L614" i="1"/>
  <c r="J614" i="1"/>
  <c r="H614" i="1"/>
  <c r="I614" i="1" s="1"/>
  <c r="J755" i="1"/>
  <c r="L755" i="1"/>
  <c r="H755" i="1"/>
  <c r="J829" i="1"/>
  <c r="L829" i="1"/>
  <c r="H829" i="1"/>
  <c r="I829" i="1" s="1"/>
  <c r="J286" i="1"/>
  <c r="L286" i="1"/>
  <c r="H286" i="1"/>
  <c r="L350" i="1"/>
  <c r="J350" i="1"/>
  <c r="H350" i="1"/>
  <c r="L412" i="1"/>
  <c r="J412" i="1"/>
  <c r="H412" i="1"/>
  <c r="J485" i="1"/>
  <c r="L485" i="1"/>
  <c r="H485" i="1"/>
  <c r="L561" i="1"/>
  <c r="J561" i="1"/>
  <c r="H561" i="1"/>
  <c r="J666" i="1"/>
  <c r="L666" i="1"/>
  <c r="H666" i="1"/>
  <c r="J817" i="1"/>
  <c r="L817" i="1"/>
  <c r="H817" i="1"/>
  <c r="I817" i="1" s="1"/>
  <c r="J225" i="1"/>
  <c r="L225" i="1"/>
  <c r="H225" i="1"/>
  <c r="I225" i="1" s="1"/>
  <c r="L289" i="1"/>
  <c r="J289" i="1"/>
  <c r="H289" i="1"/>
  <c r="J353" i="1"/>
  <c r="L353" i="1"/>
  <c r="H353" i="1"/>
  <c r="J422" i="1"/>
  <c r="L422" i="1"/>
  <c r="H422" i="1"/>
  <c r="I422" i="1" s="1"/>
  <c r="J486" i="1"/>
  <c r="L486" i="1"/>
  <c r="H486" i="1"/>
  <c r="I486" i="1" s="1"/>
  <c r="J575" i="1"/>
  <c r="L575" i="1"/>
  <c r="H575" i="1"/>
  <c r="L662" i="1"/>
  <c r="J662" i="1"/>
  <c r="H662" i="1"/>
  <c r="I662" i="1" s="1"/>
  <c r="J741" i="1"/>
  <c r="L741" i="1"/>
  <c r="H741" i="1"/>
  <c r="L879" i="1"/>
  <c r="J879" i="1"/>
  <c r="H879" i="1"/>
  <c r="L908" i="1"/>
  <c r="J908" i="1"/>
  <c r="H908" i="1"/>
  <c r="L1046" i="1"/>
  <c r="J1046" i="1"/>
  <c r="H1046" i="1"/>
  <c r="L581" i="1"/>
  <c r="J581" i="1"/>
  <c r="H581" i="1"/>
  <c r="I581" i="1" s="1"/>
  <c r="L645" i="1"/>
  <c r="J645" i="1"/>
  <c r="H645" i="1"/>
  <c r="J712" i="1"/>
  <c r="L712" i="1"/>
  <c r="H712" i="1"/>
  <c r="J802" i="1"/>
  <c r="L802" i="1"/>
  <c r="H802" i="1"/>
  <c r="I802" i="1" s="1"/>
  <c r="J874" i="1"/>
  <c r="L874" i="1"/>
  <c r="H874" i="1"/>
  <c r="L1021" i="1"/>
  <c r="J1021" i="1"/>
  <c r="H1021" i="1"/>
  <c r="L592" i="1"/>
  <c r="J592" i="1"/>
  <c r="H592" i="1"/>
  <c r="L656" i="1"/>
  <c r="J656" i="1"/>
  <c r="H656" i="1"/>
  <c r="J717" i="1"/>
  <c r="L717" i="1"/>
  <c r="H717" i="1"/>
  <c r="I717" i="1" s="1"/>
  <c r="L892" i="1"/>
  <c r="J892" i="1"/>
  <c r="H892" i="1"/>
  <c r="L1034" i="1"/>
  <c r="J1034" i="1"/>
  <c r="H1034" i="1"/>
  <c r="I1034" i="1" s="1"/>
  <c r="J467" i="1"/>
  <c r="L467" i="1"/>
  <c r="H467" i="1"/>
  <c r="I467" i="1" s="1"/>
  <c r="J531" i="1"/>
  <c r="L531" i="1"/>
  <c r="H531" i="1"/>
  <c r="L595" i="1"/>
  <c r="J595" i="1"/>
  <c r="H595" i="1"/>
  <c r="L659" i="1"/>
  <c r="J659" i="1"/>
  <c r="H659" i="1"/>
  <c r="J736" i="1"/>
  <c r="L736" i="1"/>
  <c r="H736" i="1"/>
  <c r="J793" i="1"/>
  <c r="L793" i="1"/>
  <c r="H793" i="1"/>
  <c r="I793" i="1" s="1"/>
  <c r="L839" i="1"/>
  <c r="J839" i="1"/>
  <c r="H839" i="1"/>
  <c r="L903" i="1"/>
  <c r="J903" i="1"/>
  <c r="H903" i="1"/>
  <c r="L1058" i="1"/>
  <c r="J1058" i="1"/>
  <c r="H1058" i="1"/>
  <c r="I1058" i="1" s="1"/>
  <c r="L954" i="1"/>
  <c r="J954" i="1"/>
  <c r="H954" i="1"/>
  <c r="J1014" i="1"/>
  <c r="L1014" i="1"/>
  <c r="H1014" i="1"/>
  <c r="L896" i="1"/>
  <c r="J896" i="1"/>
  <c r="H896" i="1"/>
  <c r="J957" i="1"/>
  <c r="L957" i="1"/>
  <c r="H957" i="1"/>
  <c r="L1061" i="1"/>
  <c r="J1061" i="1"/>
  <c r="H1061" i="1"/>
  <c r="I1061" i="1" s="1"/>
  <c r="J819" i="1"/>
  <c r="L819" i="1"/>
  <c r="H819" i="1"/>
  <c r="J883" i="1"/>
  <c r="L883" i="1"/>
  <c r="H883" i="1"/>
  <c r="L947" i="1"/>
  <c r="J947" i="1"/>
  <c r="H947" i="1"/>
  <c r="J1035" i="1"/>
  <c r="L1035" i="1"/>
  <c r="H1035" i="1"/>
  <c r="I1035" i="1" s="1"/>
  <c r="L686" i="1"/>
  <c r="J686" i="1"/>
  <c r="H686" i="1"/>
  <c r="J750" i="1"/>
  <c r="L750" i="1"/>
  <c r="H750" i="1"/>
  <c r="L814" i="1"/>
  <c r="J814" i="1"/>
  <c r="H814" i="1"/>
  <c r="I814" i="1" s="1"/>
  <c r="L878" i="1"/>
  <c r="J878" i="1"/>
  <c r="H878" i="1"/>
  <c r="I878" i="1" s="1"/>
  <c r="J942" i="1"/>
  <c r="L942" i="1"/>
  <c r="H942" i="1"/>
  <c r="I942" i="1" s="1"/>
  <c r="L1026" i="1"/>
  <c r="J1026" i="1"/>
  <c r="H1026" i="1"/>
  <c r="J1012" i="1"/>
  <c r="L1012" i="1"/>
  <c r="H1012" i="1"/>
  <c r="J961" i="1"/>
  <c r="L961" i="1"/>
  <c r="H961" i="1"/>
  <c r="I961" i="1" s="1"/>
  <c r="J1025" i="1"/>
  <c r="L1025" i="1"/>
  <c r="H1025" i="1"/>
  <c r="K69" i="1"/>
  <c r="E69" i="1"/>
  <c r="F69" i="1" s="1"/>
  <c r="K240" i="1"/>
  <c r="E240" i="1"/>
  <c r="K249" i="1"/>
  <c r="E249" i="1"/>
  <c r="K159" i="1"/>
  <c r="E159" i="1"/>
  <c r="F159" i="1" s="1"/>
  <c r="K499" i="1"/>
  <c r="E499" i="1"/>
  <c r="F499" i="1" s="1"/>
  <c r="K962" i="1"/>
  <c r="E962" i="1"/>
  <c r="K183" i="2"/>
  <c r="E183" i="2"/>
  <c r="K114" i="2"/>
  <c r="E114" i="2"/>
  <c r="K133" i="2"/>
  <c r="E133" i="2"/>
  <c r="F133" i="2" s="1"/>
  <c r="K72" i="2"/>
  <c r="E72" i="2"/>
  <c r="K165" i="2"/>
  <c r="E165" i="2"/>
  <c r="K150" i="2"/>
  <c r="E150" i="2"/>
  <c r="F150" i="2" s="1"/>
  <c r="K129" i="2"/>
  <c r="E129" i="2"/>
  <c r="F129" i="2" s="1"/>
  <c r="K68" i="2"/>
  <c r="E68" i="2"/>
  <c r="K264" i="2"/>
  <c r="E264" i="2"/>
  <c r="K310" i="2"/>
  <c r="E310" i="2"/>
  <c r="K219" i="2"/>
  <c r="E219" i="2"/>
  <c r="K293" i="2"/>
  <c r="E293" i="2"/>
  <c r="K598" i="2"/>
  <c r="E598" i="2"/>
  <c r="K512" i="2"/>
  <c r="E512" i="2"/>
  <c r="F512" i="2" s="1"/>
  <c r="K448" i="2"/>
  <c r="E448" i="2"/>
  <c r="K377" i="2"/>
  <c r="E377" i="2"/>
  <c r="K384" i="2"/>
  <c r="E384" i="2"/>
  <c r="K513" i="2"/>
  <c r="E513" i="2"/>
  <c r="F513" i="2" s="1"/>
  <c r="K491" i="2"/>
  <c r="E491" i="2"/>
  <c r="K843" i="2"/>
  <c r="E843" i="2"/>
  <c r="K480" i="2"/>
  <c r="E480" i="2"/>
  <c r="K521" i="2"/>
  <c r="E521" i="2"/>
  <c r="K882" i="2"/>
  <c r="E882" i="2"/>
  <c r="K744" i="2"/>
  <c r="E744" i="2"/>
  <c r="K666" i="2"/>
  <c r="E666" i="2"/>
  <c r="K633" i="2"/>
  <c r="E633" i="2"/>
  <c r="F633" i="2" s="1"/>
  <c r="K529" i="2"/>
  <c r="E529" i="2"/>
  <c r="F529" i="2" s="1"/>
  <c r="K625" i="2"/>
  <c r="E625" i="2"/>
  <c r="K796" i="2"/>
  <c r="E796" i="2"/>
  <c r="K565" i="2"/>
  <c r="E565" i="2"/>
  <c r="K743" i="2"/>
  <c r="E743" i="2"/>
  <c r="F743" i="2" s="1"/>
  <c r="K624" i="2"/>
  <c r="E624" i="2"/>
  <c r="F624" i="2" s="1"/>
  <c r="K818" i="2"/>
  <c r="E818" i="2"/>
  <c r="K851" i="2"/>
  <c r="E851" i="2"/>
  <c r="K716" i="2"/>
  <c r="E716" i="2"/>
  <c r="K727" i="2"/>
  <c r="E727" i="2"/>
  <c r="K853" i="2"/>
  <c r="E853" i="2"/>
  <c r="F853" i="2" s="1"/>
  <c r="K807" i="2"/>
  <c r="E807" i="2"/>
  <c r="K915" i="2"/>
  <c r="E915" i="2"/>
  <c r="K745" i="2"/>
  <c r="E745" i="2"/>
  <c r="F745" i="2" s="1"/>
  <c r="K856" i="2"/>
  <c r="E856" i="2"/>
  <c r="K867" i="2"/>
  <c r="E867" i="2"/>
  <c r="F867" i="2" s="1"/>
  <c r="K795" i="2"/>
  <c r="E795" i="2"/>
  <c r="K974" i="2"/>
  <c r="E974" i="2"/>
  <c r="K966" i="2"/>
  <c r="E966" i="2"/>
  <c r="K1031" i="2"/>
  <c r="E1031" i="2"/>
  <c r="K289" i="1"/>
  <c r="E289" i="1"/>
  <c r="F289" i="1" s="1"/>
  <c r="K120" i="1"/>
  <c r="E120" i="1"/>
  <c r="K178" i="1"/>
  <c r="E178" i="1"/>
  <c r="K138" i="1"/>
  <c r="E138" i="1"/>
  <c r="K67" i="1"/>
  <c r="E67" i="1"/>
  <c r="F67" i="1" s="1"/>
  <c r="K141" i="1"/>
  <c r="E141" i="1"/>
  <c r="K426" i="1"/>
  <c r="E426" i="1"/>
  <c r="K123" i="1"/>
  <c r="E123" i="1"/>
  <c r="K183" i="1"/>
  <c r="E183" i="1"/>
  <c r="K305" i="1"/>
  <c r="E305" i="1"/>
  <c r="K489" i="1"/>
  <c r="E489" i="1"/>
  <c r="K498" i="1"/>
  <c r="E498" i="1"/>
  <c r="F498" i="1" s="1"/>
  <c r="K851" i="1"/>
  <c r="E851" i="1"/>
  <c r="K875" i="1"/>
  <c r="E875" i="1"/>
  <c r="K94" i="1"/>
  <c r="E94" i="1"/>
  <c r="K302" i="1"/>
  <c r="E302" i="1"/>
  <c r="F302" i="1" s="1"/>
  <c r="K739" i="1"/>
  <c r="E739" i="1"/>
  <c r="F739" i="1" s="1"/>
  <c r="K81" i="1"/>
  <c r="E81" i="1"/>
  <c r="K329" i="1"/>
  <c r="E329" i="1"/>
  <c r="K179" i="1"/>
  <c r="E179" i="1"/>
  <c r="F179" i="1" s="1"/>
  <c r="K215" i="1"/>
  <c r="E215" i="1"/>
  <c r="F215" i="1" s="1"/>
  <c r="K457" i="1"/>
  <c r="E457" i="1"/>
  <c r="K341" i="1"/>
  <c r="E341" i="1"/>
  <c r="F341" i="1" s="1"/>
  <c r="K595" i="1"/>
  <c r="E595" i="1"/>
  <c r="K939" i="1"/>
  <c r="E939" i="1"/>
  <c r="K340" i="1"/>
  <c r="E340" i="1"/>
  <c r="K784" i="1"/>
  <c r="E784" i="1"/>
  <c r="K391" i="1"/>
  <c r="E391" i="1"/>
  <c r="K560" i="1"/>
  <c r="E560" i="1"/>
  <c r="F560" i="1" s="1"/>
  <c r="K218" i="1"/>
  <c r="E218" i="1"/>
  <c r="F218" i="1" s="1"/>
  <c r="K410" i="1"/>
  <c r="E410" i="1"/>
  <c r="K729" i="1"/>
  <c r="E729" i="1"/>
  <c r="K904" i="1"/>
  <c r="E904" i="1"/>
  <c r="K677" i="1"/>
  <c r="E677" i="1"/>
  <c r="K840" i="1"/>
  <c r="E840" i="1"/>
  <c r="K633" i="1"/>
  <c r="E633" i="1"/>
  <c r="F633" i="1" s="1"/>
  <c r="K810" i="1"/>
  <c r="E810" i="1"/>
  <c r="F810" i="1" s="1"/>
  <c r="K983" i="1"/>
  <c r="E983" i="1"/>
  <c r="K572" i="1"/>
  <c r="E572" i="1"/>
  <c r="K742" i="1"/>
  <c r="E742" i="1"/>
  <c r="K938" i="1"/>
  <c r="E938" i="1"/>
  <c r="F938" i="1" s="1"/>
  <c r="K828" i="1"/>
  <c r="E828" i="1"/>
  <c r="K970" i="1"/>
  <c r="E970" i="1"/>
  <c r="K146" i="2"/>
  <c r="E146" i="2"/>
  <c r="K91" i="2"/>
  <c r="E91" i="2"/>
  <c r="F91" i="2" s="1"/>
  <c r="K418" i="2"/>
  <c r="E418" i="2"/>
  <c r="K169" i="2"/>
  <c r="E169" i="2"/>
  <c r="K103" i="2"/>
  <c r="E103" i="2"/>
  <c r="F103" i="2" s="1"/>
  <c r="K378" i="2"/>
  <c r="E378" i="2"/>
  <c r="F378" i="2" s="1"/>
  <c r="K302" i="2"/>
  <c r="E302" i="2"/>
  <c r="K243" i="2"/>
  <c r="E243" i="2"/>
  <c r="K211" i="2"/>
  <c r="E211" i="2"/>
  <c r="K322" i="2"/>
  <c r="E322" i="2"/>
  <c r="F322" i="2" s="1"/>
  <c r="K232" i="2"/>
  <c r="E232" i="2"/>
  <c r="K301" i="2"/>
  <c r="E301" i="2"/>
  <c r="K675" i="2"/>
  <c r="E675" i="2"/>
  <c r="K514" i="2"/>
  <c r="E514" i="2"/>
  <c r="F514" i="2" s="1"/>
  <c r="K489" i="2"/>
  <c r="E489" i="2"/>
  <c r="K365" i="2"/>
  <c r="E365" i="2"/>
  <c r="K397" i="2"/>
  <c r="E397" i="2"/>
  <c r="F397" i="2" s="1"/>
  <c r="K450" i="2"/>
  <c r="E450" i="2"/>
  <c r="F450" i="2" s="1"/>
  <c r="K411" i="2"/>
  <c r="E411" i="2"/>
  <c r="K469" i="2"/>
  <c r="E469" i="2"/>
  <c r="F469" i="2" s="1"/>
  <c r="K484" i="2"/>
  <c r="E484" i="2"/>
  <c r="K637" i="2"/>
  <c r="E637" i="2"/>
  <c r="F637" i="2" s="1"/>
  <c r="K550" i="2"/>
  <c r="E550" i="2"/>
  <c r="K595" i="2"/>
  <c r="E595" i="2"/>
  <c r="K643" i="2"/>
  <c r="E643" i="2"/>
  <c r="K640" i="2"/>
  <c r="E640" i="2"/>
  <c r="K634" i="2"/>
  <c r="E634" i="2"/>
  <c r="K839" i="2"/>
  <c r="E839" i="2"/>
  <c r="K573" i="2"/>
  <c r="E573" i="2"/>
  <c r="F573" i="2" s="1"/>
  <c r="K568" i="2"/>
  <c r="E568" i="2"/>
  <c r="F568" i="2" s="1"/>
  <c r="K717" i="2"/>
  <c r="E717" i="2"/>
  <c r="K724" i="2"/>
  <c r="E724" i="2"/>
  <c r="K671" i="2"/>
  <c r="E671" i="2"/>
  <c r="K861" i="2"/>
  <c r="E861" i="2"/>
  <c r="K917" i="2"/>
  <c r="E917" i="2"/>
  <c r="K898" i="2"/>
  <c r="E898" i="2"/>
  <c r="K1039" i="2"/>
  <c r="E1039" i="2"/>
  <c r="J493" i="1"/>
  <c r="L493" i="1"/>
  <c r="H493" i="1"/>
  <c r="K72" i="1"/>
  <c r="E72" i="1"/>
  <c r="K291" i="1"/>
  <c r="E291" i="1"/>
  <c r="K128" i="1"/>
  <c r="E128" i="1"/>
  <c r="F128" i="1" s="1"/>
  <c r="K165" i="1"/>
  <c r="E165" i="1"/>
  <c r="K208" i="1"/>
  <c r="E208" i="1"/>
  <c r="F208" i="1" s="1"/>
  <c r="K154" i="1"/>
  <c r="E154" i="1"/>
  <c r="K225" i="1"/>
  <c r="E225" i="1"/>
  <c r="K270" i="1"/>
  <c r="E270" i="1"/>
  <c r="K235" i="1"/>
  <c r="E235" i="1"/>
  <c r="K429" i="1"/>
  <c r="E429" i="1"/>
  <c r="F429" i="1" s="1"/>
  <c r="K645" i="1"/>
  <c r="E645" i="1"/>
  <c r="F645" i="1" s="1"/>
  <c r="K127" i="1"/>
  <c r="E127" i="1"/>
  <c r="K337" i="1"/>
  <c r="E337" i="1"/>
  <c r="K563" i="1"/>
  <c r="E563" i="1"/>
  <c r="K502" i="1"/>
  <c r="E502" i="1"/>
  <c r="F502" i="1" s="1"/>
  <c r="K722" i="1"/>
  <c r="E722" i="1"/>
  <c r="K643" i="1"/>
  <c r="E643" i="1"/>
  <c r="F643" i="1" s="1"/>
  <c r="K535" i="1"/>
  <c r="E535" i="1"/>
  <c r="K896" i="1"/>
  <c r="E896" i="1"/>
  <c r="F896" i="1" s="1"/>
  <c r="K102" i="1"/>
  <c r="E102" i="1"/>
  <c r="K237" i="1"/>
  <c r="E237" i="1"/>
  <c r="K398" i="1"/>
  <c r="E398" i="1"/>
  <c r="K153" i="1"/>
  <c r="E153" i="1"/>
  <c r="F153" i="1" s="1"/>
  <c r="K361" i="1"/>
  <c r="E361" i="1"/>
  <c r="K721" i="1"/>
  <c r="E721" i="1"/>
  <c r="K92" i="1"/>
  <c r="E92" i="1"/>
  <c r="K224" i="1"/>
  <c r="E224" i="1"/>
  <c r="F224" i="1" s="1"/>
  <c r="K360" i="1"/>
  <c r="E360" i="1"/>
  <c r="K655" i="1"/>
  <c r="E655" i="1"/>
  <c r="F655" i="1" s="1"/>
  <c r="K349" i="1"/>
  <c r="E349" i="1"/>
  <c r="K465" i="1"/>
  <c r="E465" i="1"/>
  <c r="K607" i="1"/>
  <c r="E607" i="1"/>
  <c r="K874" i="1"/>
  <c r="E874" i="1"/>
  <c r="K944" i="1"/>
  <c r="E944" i="1"/>
  <c r="K348" i="1"/>
  <c r="E348" i="1"/>
  <c r="K538" i="1"/>
  <c r="E538" i="1"/>
  <c r="K802" i="1"/>
  <c r="E802" i="1"/>
  <c r="F802" i="1" s="1"/>
  <c r="K335" i="1"/>
  <c r="E335" i="1"/>
  <c r="K455" i="1"/>
  <c r="E455" i="1"/>
  <c r="K712" i="1"/>
  <c r="E712" i="1"/>
  <c r="K290" i="1"/>
  <c r="E290" i="1"/>
  <c r="K414" i="1"/>
  <c r="E414" i="1"/>
  <c r="K647" i="1"/>
  <c r="E647" i="1"/>
  <c r="K1060" i="1"/>
  <c r="E1060" i="1"/>
  <c r="K558" i="1"/>
  <c r="E558" i="1"/>
  <c r="F558" i="1" s="1"/>
  <c r="K682" i="1"/>
  <c r="E682" i="1"/>
  <c r="F682" i="1" s="1"/>
  <c r="K854" i="1"/>
  <c r="E854" i="1"/>
  <c r="F854" i="1" s="1"/>
  <c r="K577" i="1"/>
  <c r="E577" i="1"/>
  <c r="K825" i="1"/>
  <c r="E825" i="1"/>
  <c r="F825" i="1" s="1"/>
  <c r="K644" i="1"/>
  <c r="E644" i="1"/>
  <c r="K978" i="1"/>
  <c r="E978" i="1"/>
  <c r="F978" i="1" s="1"/>
  <c r="K313" i="2"/>
  <c r="E313" i="2"/>
  <c r="K191" i="2"/>
  <c r="E191" i="2"/>
  <c r="F191" i="2" s="1"/>
  <c r="K511" i="2"/>
  <c r="E511" i="2"/>
  <c r="F511" i="2" s="1"/>
  <c r="K330" i="2"/>
  <c r="E330" i="2"/>
  <c r="K190" i="2"/>
  <c r="E190" i="2"/>
  <c r="F190" i="2" s="1"/>
  <c r="K172" i="2"/>
  <c r="E172" i="2"/>
  <c r="F172" i="2" s="1"/>
  <c r="K81" i="2"/>
  <c r="E81" i="2"/>
  <c r="K84" i="2"/>
  <c r="E84" i="2"/>
  <c r="F84" i="2" s="1"/>
  <c r="K212" i="2"/>
  <c r="E212" i="2"/>
  <c r="K804" i="2"/>
  <c r="E804" i="2"/>
  <c r="F804" i="2" s="1"/>
  <c r="K254" i="2"/>
  <c r="E254" i="2"/>
  <c r="K241" i="2"/>
  <c r="E241" i="2"/>
  <c r="K245" i="2"/>
  <c r="E245" i="2"/>
  <c r="K436" i="2"/>
  <c r="E436" i="2"/>
  <c r="K300" i="2"/>
  <c r="E300" i="2"/>
  <c r="K295" i="2"/>
  <c r="E295" i="2"/>
  <c r="K162" i="2"/>
  <c r="E162" i="2"/>
  <c r="K383" i="2"/>
  <c r="E383" i="2"/>
  <c r="K461" i="2"/>
  <c r="E461" i="2"/>
  <c r="K400" i="2"/>
  <c r="E400" i="2"/>
  <c r="F400" i="2" s="1"/>
  <c r="K551" i="2"/>
  <c r="E551" i="2"/>
  <c r="K502" i="2"/>
  <c r="E502" i="2"/>
  <c r="F502" i="2" s="1"/>
  <c r="K477" i="2"/>
  <c r="E477" i="2"/>
  <c r="F477" i="2" s="1"/>
  <c r="K451" i="2"/>
  <c r="E451" i="2"/>
  <c r="F451" i="2" s="1"/>
  <c r="K652" i="2"/>
  <c r="E652" i="2"/>
  <c r="K554" i="2"/>
  <c r="E554" i="2"/>
  <c r="F554" i="2" s="1"/>
  <c r="K610" i="2"/>
  <c r="E610" i="2"/>
  <c r="K548" i="2"/>
  <c r="E548" i="2"/>
  <c r="F548" i="2" s="1"/>
  <c r="K543" i="2"/>
  <c r="E543" i="2"/>
  <c r="K656" i="2"/>
  <c r="E656" i="2"/>
  <c r="F656" i="2" s="1"/>
  <c r="K683" i="2"/>
  <c r="E683" i="2"/>
  <c r="K517" i="2"/>
  <c r="E517" i="2"/>
  <c r="F517" i="2" s="1"/>
  <c r="K581" i="2"/>
  <c r="E581" i="2"/>
  <c r="K759" i="2"/>
  <c r="E759" i="2"/>
  <c r="K576" i="2"/>
  <c r="E576" i="2"/>
  <c r="K635" i="2"/>
  <c r="E635" i="2"/>
  <c r="F635" i="2" s="1"/>
  <c r="K696" i="2"/>
  <c r="E696" i="2"/>
  <c r="K899" i="2"/>
  <c r="E899" i="2"/>
  <c r="F899" i="2" s="1"/>
  <c r="K725" i="2"/>
  <c r="E725" i="2"/>
  <c r="F725" i="2" s="1"/>
  <c r="K1041" i="2"/>
  <c r="E1041" i="2"/>
  <c r="K732" i="2"/>
  <c r="E732" i="2"/>
  <c r="K679" i="2"/>
  <c r="E679" i="2"/>
  <c r="K741" i="2"/>
  <c r="E741" i="2"/>
  <c r="K970" i="2"/>
  <c r="E970" i="2"/>
  <c r="F970" i="2" s="1"/>
  <c r="K864" i="2"/>
  <c r="E864" i="2"/>
  <c r="F864" i="2" s="1"/>
  <c r="K799" i="2"/>
  <c r="E799" i="2"/>
  <c r="F799" i="2" s="1"/>
  <c r="K936" i="2"/>
  <c r="E936" i="2"/>
  <c r="K761" i="2"/>
  <c r="E761" i="2"/>
  <c r="K816" i="2"/>
  <c r="E816" i="2"/>
  <c r="K904" i="2"/>
  <c r="E904" i="2"/>
  <c r="F904" i="2" s="1"/>
  <c r="K902" i="2"/>
  <c r="E902" i="2"/>
  <c r="K811" i="2"/>
  <c r="E811" i="2"/>
  <c r="F811" i="2" s="1"/>
  <c r="K872" i="2"/>
  <c r="E872" i="2"/>
  <c r="K988" i="2"/>
  <c r="E988" i="2"/>
  <c r="F988" i="2" s="1"/>
  <c r="K814" i="2"/>
  <c r="E814" i="2"/>
  <c r="K826" i="2"/>
  <c r="E826" i="2"/>
  <c r="F826" i="2" s="1"/>
  <c r="K894" i="2"/>
  <c r="E894" i="2"/>
  <c r="K833" i="2"/>
  <c r="E833" i="2"/>
  <c r="F833" i="2" s="1"/>
  <c r="K905" i="2"/>
  <c r="E905" i="2"/>
  <c r="K1009" i="2"/>
  <c r="E1009" i="2"/>
  <c r="K868" i="2"/>
  <c r="E868" i="2"/>
  <c r="K955" i="2"/>
  <c r="E955" i="2"/>
  <c r="K992" i="2"/>
  <c r="E992" i="2"/>
  <c r="K940" i="2"/>
  <c r="E940" i="2"/>
  <c r="F940" i="2" s="1"/>
  <c r="K994" i="2"/>
  <c r="E994" i="2"/>
  <c r="K911" i="2"/>
  <c r="E911" i="2"/>
  <c r="K1012" i="2"/>
  <c r="E1012" i="2"/>
  <c r="K1008" i="2"/>
  <c r="E1008" i="2"/>
  <c r="F1008" i="2" s="1"/>
  <c r="K978" i="2"/>
  <c r="E978" i="2"/>
  <c r="K967" i="2"/>
  <c r="E967" i="2"/>
  <c r="F967" i="2" s="1"/>
  <c r="K1003" i="2"/>
  <c r="E1003" i="2"/>
  <c r="K1014" i="2"/>
  <c r="E1014" i="2"/>
  <c r="F1014" i="2" s="1"/>
  <c r="K1057" i="2"/>
  <c r="E1057" i="2"/>
  <c r="F1057" i="2" s="1"/>
  <c r="K1047" i="2"/>
  <c r="E1047" i="2"/>
  <c r="F1047" i="2" s="1"/>
  <c r="K1064" i="2"/>
  <c r="E1064" i="2"/>
  <c r="L261" i="1"/>
  <c r="J261" i="1"/>
  <c r="H261" i="1"/>
  <c r="I261" i="1" s="1"/>
  <c r="L346" i="1"/>
  <c r="J346" i="1"/>
  <c r="H346" i="1"/>
  <c r="I346" i="1" s="1"/>
  <c r="L251" i="1"/>
  <c r="J251" i="1"/>
  <c r="H251" i="1"/>
  <c r="I251" i="1" s="1"/>
  <c r="J392" i="1"/>
  <c r="L392" i="1"/>
  <c r="H392" i="1"/>
  <c r="J238" i="1"/>
  <c r="L238" i="1"/>
  <c r="H238" i="1"/>
  <c r="L89" i="1"/>
  <c r="J89" i="1"/>
  <c r="H89" i="1"/>
  <c r="I89" i="1" s="1"/>
  <c r="L129" i="1"/>
  <c r="J129" i="1"/>
  <c r="H129" i="1"/>
  <c r="L161" i="1"/>
  <c r="J161" i="1"/>
  <c r="H161" i="1"/>
  <c r="I161" i="1" s="1"/>
  <c r="J199" i="1"/>
  <c r="L199" i="1"/>
  <c r="H199" i="1"/>
  <c r="L76" i="1"/>
  <c r="J76" i="1"/>
  <c r="H76" i="1"/>
  <c r="I76" i="1" s="1"/>
  <c r="J127" i="1"/>
  <c r="L127" i="1"/>
  <c r="H127" i="1"/>
  <c r="I127" i="1" s="1"/>
  <c r="J405" i="1"/>
  <c r="L405" i="1"/>
  <c r="H405" i="1"/>
  <c r="J202" i="1"/>
  <c r="L202" i="1"/>
  <c r="H202" i="1"/>
  <c r="J525" i="1"/>
  <c r="L525" i="1"/>
  <c r="H525" i="1"/>
  <c r="L110" i="1"/>
  <c r="J110" i="1"/>
  <c r="H110" i="1"/>
  <c r="L174" i="1"/>
  <c r="J174" i="1"/>
  <c r="H174" i="1"/>
  <c r="L237" i="1"/>
  <c r="J237" i="1"/>
  <c r="H237" i="1"/>
  <c r="I237" i="1" s="1"/>
  <c r="J320" i="1"/>
  <c r="L320" i="1"/>
  <c r="H320" i="1"/>
  <c r="I320" i="1" s="1"/>
  <c r="L460" i="1"/>
  <c r="J460" i="1"/>
  <c r="H460" i="1"/>
  <c r="I460" i="1" s="1"/>
  <c r="J658" i="1"/>
  <c r="L658" i="1"/>
  <c r="H658" i="1"/>
  <c r="L935" i="1"/>
  <c r="J935" i="1"/>
  <c r="H935" i="1"/>
  <c r="I935" i="1" s="1"/>
  <c r="J567" i="1"/>
  <c r="L567" i="1"/>
  <c r="H567" i="1"/>
  <c r="I567" i="1" s="1"/>
  <c r="J716" i="1"/>
  <c r="L716" i="1"/>
  <c r="H716" i="1"/>
  <c r="L848" i="1"/>
  <c r="J848" i="1"/>
  <c r="H848" i="1"/>
  <c r="I848" i="1" s="1"/>
  <c r="L516" i="1"/>
  <c r="J516" i="1"/>
  <c r="H516" i="1"/>
  <c r="I516" i="1" s="1"/>
  <c r="L456" i="1"/>
  <c r="J456" i="1"/>
  <c r="H456" i="1"/>
  <c r="I456" i="1" s="1"/>
  <c r="L572" i="1"/>
  <c r="J572" i="1"/>
  <c r="H572" i="1"/>
  <c r="L269" i="1"/>
  <c r="J269" i="1"/>
  <c r="H269" i="1"/>
  <c r="J216" i="1"/>
  <c r="L216" i="1"/>
  <c r="H216" i="1"/>
  <c r="L556" i="1"/>
  <c r="J556" i="1"/>
  <c r="H556" i="1"/>
  <c r="I556" i="1" s="1"/>
  <c r="J149" i="1"/>
  <c r="L149" i="1"/>
  <c r="H149" i="1"/>
  <c r="L226" i="1"/>
  <c r="J226" i="1"/>
  <c r="H226" i="1"/>
  <c r="L343" i="1"/>
  <c r="J343" i="1"/>
  <c r="H343" i="1"/>
  <c r="I343" i="1" s="1"/>
  <c r="L497" i="1"/>
  <c r="J497" i="1"/>
  <c r="H497" i="1"/>
  <c r="J631" i="1"/>
  <c r="L631" i="1"/>
  <c r="H631" i="1"/>
  <c r="L844" i="1"/>
  <c r="J844" i="1"/>
  <c r="H844" i="1"/>
  <c r="L478" i="1"/>
  <c r="J478" i="1"/>
  <c r="H478" i="1"/>
  <c r="I478" i="1" s="1"/>
  <c r="J117" i="1"/>
  <c r="L117" i="1"/>
  <c r="H117" i="1"/>
  <c r="I117" i="1" s="1"/>
  <c r="J112" i="1"/>
  <c r="L112" i="1"/>
  <c r="H112" i="1"/>
  <c r="J176" i="1"/>
  <c r="L176" i="1"/>
  <c r="H176" i="1"/>
  <c r="J240" i="1"/>
  <c r="L240" i="1"/>
  <c r="H240" i="1"/>
  <c r="I240" i="1" s="1"/>
  <c r="J344" i="1"/>
  <c r="L344" i="1"/>
  <c r="H344" i="1"/>
  <c r="L487" i="1"/>
  <c r="J487" i="1"/>
  <c r="H487" i="1"/>
  <c r="I487" i="1" s="1"/>
  <c r="J607" i="1"/>
  <c r="L607" i="1"/>
  <c r="H607" i="1"/>
  <c r="J842" i="1"/>
  <c r="L842" i="1"/>
  <c r="H842" i="1"/>
  <c r="L420" i="1"/>
  <c r="J420" i="1"/>
  <c r="H420" i="1"/>
  <c r="L115" i="1"/>
  <c r="J115" i="1"/>
  <c r="H115" i="1"/>
  <c r="I115" i="1" s="1"/>
  <c r="L179" i="1"/>
  <c r="J179" i="1"/>
  <c r="H179" i="1"/>
  <c r="I179" i="1" s="1"/>
  <c r="L255" i="1"/>
  <c r="J255" i="1"/>
  <c r="H255" i="1"/>
  <c r="I255" i="1" s="1"/>
  <c r="L351" i="1"/>
  <c r="J351" i="1"/>
  <c r="H351" i="1"/>
  <c r="I351" i="1" s="1"/>
  <c r="J474" i="1"/>
  <c r="L474" i="1"/>
  <c r="H474" i="1"/>
  <c r="J733" i="1"/>
  <c r="L733" i="1"/>
  <c r="H733" i="1"/>
  <c r="L332" i="1"/>
  <c r="J332" i="1"/>
  <c r="H332" i="1"/>
  <c r="I332" i="1" s="1"/>
  <c r="L396" i="1"/>
  <c r="J396" i="1"/>
  <c r="H396" i="1"/>
  <c r="I396" i="1" s="1"/>
  <c r="J477" i="1"/>
  <c r="L477" i="1"/>
  <c r="H477" i="1"/>
  <c r="I477" i="1" s="1"/>
  <c r="L609" i="1"/>
  <c r="J609" i="1"/>
  <c r="H609" i="1"/>
  <c r="J730" i="1"/>
  <c r="L730" i="1"/>
  <c r="H730" i="1"/>
  <c r="I730" i="1" s="1"/>
  <c r="J849" i="1"/>
  <c r="L849" i="1"/>
  <c r="H849" i="1"/>
  <c r="I849" i="1" s="1"/>
  <c r="J949" i="1"/>
  <c r="L949" i="1"/>
  <c r="H949" i="1"/>
  <c r="J1003" i="1"/>
  <c r="L1003" i="1"/>
  <c r="H1003" i="1"/>
  <c r="I1003" i="1" s="1"/>
  <c r="L275" i="1"/>
  <c r="J275" i="1"/>
  <c r="H275" i="1"/>
  <c r="J339" i="1"/>
  <c r="L339" i="1"/>
  <c r="H339" i="1"/>
  <c r="J403" i="1"/>
  <c r="L403" i="1"/>
  <c r="H403" i="1"/>
  <c r="I403" i="1" s="1"/>
  <c r="J471" i="1"/>
  <c r="L471" i="1"/>
  <c r="H471" i="1"/>
  <c r="L534" i="1"/>
  <c r="J534" i="1"/>
  <c r="H534" i="1"/>
  <c r="J642" i="1"/>
  <c r="L642" i="1"/>
  <c r="H642" i="1"/>
  <c r="I642" i="1" s="1"/>
  <c r="L756" i="1"/>
  <c r="J756" i="1"/>
  <c r="H756" i="1"/>
  <c r="I756" i="1" s="1"/>
  <c r="L847" i="1"/>
  <c r="J847" i="1"/>
  <c r="H847" i="1"/>
  <c r="L294" i="1"/>
  <c r="J294" i="1"/>
  <c r="H294" i="1"/>
  <c r="I294" i="1" s="1"/>
  <c r="L358" i="1"/>
  <c r="J358" i="1"/>
  <c r="H358" i="1"/>
  <c r="I358" i="1" s="1"/>
  <c r="L417" i="1"/>
  <c r="J417" i="1"/>
  <c r="H417" i="1"/>
  <c r="L508" i="1"/>
  <c r="J508" i="1"/>
  <c r="H508" i="1"/>
  <c r="L564" i="1"/>
  <c r="J564" i="1"/>
  <c r="H564" i="1"/>
  <c r="J682" i="1"/>
  <c r="L682" i="1"/>
  <c r="H682" i="1"/>
  <c r="L868" i="1"/>
  <c r="J868" i="1"/>
  <c r="H868" i="1"/>
  <c r="I868" i="1" s="1"/>
  <c r="L233" i="1"/>
  <c r="J233" i="1"/>
  <c r="H233" i="1"/>
  <c r="J297" i="1"/>
  <c r="L297" i="1"/>
  <c r="H297" i="1"/>
  <c r="J361" i="1"/>
  <c r="L361" i="1"/>
  <c r="H361" i="1"/>
  <c r="I361" i="1" s="1"/>
  <c r="J426" i="1"/>
  <c r="L426" i="1"/>
  <c r="H426" i="1"/>
  <c r="J490" i="1"/>
  <c r="L490" i="1"/>
  <c r="H490" i="1"/>
  <c r="L585" i="1"/>
  <c r="J585" i="1"/>
  <c r="H585" i="1"/>
  <c r="I585" i="1" s="1"/>
  <c r="L683" i="1"/>
  <c r="J683" i="1"/>
  <c r="H683" i="1"/>
  <c r="I683" i="1" s="1"/>
  <c r="L743" i="1"/>
  <c r="J743" i="1"/>
  <c r="H743" i="1"/>
  <c r="I743" i="1" s="1"/>
  <c r="L887" i="1"/>
  <c r="J887" i="1"/>
  <c r="H887" i="1"/>
  <c r="J922" i="1"/>
  <c r="L922" i="1"/>
  <c r="H922" i="1"/>
  <c r="J1056" i="1"/>
  <c r="L1056" i="1"/>
  <c r="H1056" i="1"/>
  <c r="I1056" i="1" s="1"/>
  <c r="J589" i="1"/>
  <c r="L589" i="1"/>
  <c r="H589" i="1"/>
  <c r="J653" i="1"/>
  <c r="L653" i="1"/>
  <c r="H653" i="1"/>
  <c r="L735" i="1"/>
  <c r="J735" i="1"/>
  <c r="H735" i="1"/>
  <c r="I735" i="1" s="1"/>
  <c r="L804" i="1"/>
  <c r="J804" i="1"/>
  <c r="H804" i="1"/>
  <c r="I804" i="1" s="1"/>
  <c r="J885" i="1"/>
  <c r="L885" i="1"/>
  <c r="H885" i="1"/>
  <c r="I885" i="1" s="1"/>
  <c r="J1032" i="1"/>
  <c r="L1032" i="1"/>
  <c r="H1032" i="1"/>
  <c r="J600" i="1"/>
  <c r="L600" i="1"/>
  <c r="H600" i="1"/>
  <c r="I600" i="1" s="1"/>
  <c r="J664" i="1"/>
  <c r="L664" i="1"/>
  <c r="H664" i="1"/>
  <c r="L722" i="1"/>
  <c r="J722" i="1"/>
  <c r="H722" i="1"/>
  <c r="J917" i="1"/>
  <c r="L917" i="1"/>
  <c r="H917" i="1"/>
  <c r="J411" i="1"/>
  <c r="L411" i="1"/>
  <c r="H411" i="1"/>
  <c r="I411" i="1" s="1"/>
  <c r="J475" i="1"/>
  <c r="L475" i="1"/>
  <c r="H475" i="1"/>
  <c r="I475" i="1" s="1"/>
  <c r="J539" i="1"/>
  <c r="L539" i="1"/>
  <c r="H539" i="1"/>
  <c r="J603" i="1"/>
  <c r="L603" i="1"/>
  <c r="H603" i="1"/>
  <c r="L668" i="1"/>
  <c r="J668" i="1"/>
  <c r="H668" i="1"/>
  <c r="L759" i="1"/>
  <c r="J759" i="1"/>
  <c r="H759" i="1"/>
  <c r="I759" i="1" s="1"/>
  <c r="J805" i="1"/>
  <c r="L805" i="1"/>
  <c r="H805" i="1"/>
  <c r="J841" i="1"/>
  <c r="L841" i="1"/>
  <c r="H841" i="1"/>
  <c r="J925" i="1"/>
  <c r="L925" i="1"/>
  <c r="H925" i="1"/>
  <c r="I925" i="1" s="1"/>
  <c r="L897" i="1"/>
  <c r="J897" i="1"/>
  <c r="H897" i="1"/>
  <c r="I897" i="1" s="1"/>
  <c r="L959" i="1"/>
  <c r="J959" i="1"/>
  <c r="H959" i="1"/>
  <c r="I959" i="1" s="1"/>
  <c r="J1051" i="1"/>
  <c r="L1051" i="1"/>
  <c r="H1051" i="1"/>
  <c r="J904" i="1"/>
  <c r="L904" i="1"/>
  <c r="H904" i="1"/>
  <c r="I904" i="1" s="1"/>
  <c r="J995" i="1"/>
  <c r="L995" i="1"/>
  <c r="H995" i="1"/>
  <c r="J1063" i="1"/>
  <c r="L1063" i="1"/>
  <c r="H1063" i="1"/>
  <c r="L827" i="1"/>
  <c r="J827" i="1"/>
  <c r="H827" i="1"/>
  <c r="J891" i="1"/>
  <c r="L891" i="1"/>
  <c r="H891" i="1"/>
  <c r="I891" i="1" s="1"/>
  <c r="L962" i="1"/>
  <c r="J962" i="1"/>
  <c r="H962" i="1"/>
  <c r="I962" i="1" s="1"/>
  <c r="L1037" i="1"/>
  <c r="J1037" i="1"/>
  <c r="H1037" i="1"/>
  <c r="L694" i="1"/>
  <c r="J694" i="1"/>
  <c r="H694" i="1"/>
  <c r="L758" i="1"/>
  <c r="J758" i="1"/>
  <c r="H758" i="1"/>
  <c r="L822" i="1"/>
  <c r="J822" i="1"/>
  <c r="H822" i="1"/>
  <c r="I822" i="1" s="1"/>
  <c r="L886" i="1"/>
  <c r="J886" i="1"/>
  <c r="H886" i="1"/>
  <c r="L950" i="1"/>
  <c r="J950" i="1"/>
  <c r="H950" i="1"/>
  <c r="J1038" i="1"/>
  <c r="L1038" i="1"/>
  <c r="H1038" i="1"/>
  <c r="I1038" i="1" s="1"/>
  <c r="J1020" i="1"/>
  <c r="L1020" i="1"/>
  <c r="H1020" i="1"/>
  <c r="I1020" i="1" s="1"/>
  <c r="J969" i="1"/>
  <c r="L969" i="1"/>
  <c r="H969" i="1"/>
  <c r="I969" i="1" s="1"/>
  <c r="J1033" i="1"/>
  <c r="L1033" i="1"/>
  <c r="H1033" i="1"/>
  <c r="I1033" i="1" s="1"/>
  <c r="K358" i="1"/>
  <c r="E358" i="1"/>
  <c r="F358" i="1" s="1"/>
  <c r="K144" i="1"/>
  <c r="E144" i="1"/>
  <c r="K395" i="1"/>
  <c r="E395" i="1"/>
  <c r="F395" i="1" s="1"/>
  <c r="K331" i="1"/>
  <c r="E331" i="1"/>
  <c r="F331" i="1" s="1"/>
  <c r="K220" i="1"/>
  <c r="E220" i="1"/>
  <c r="F220" i="1" s="1"/>
  <c r="K547" i="1"/>
  <c r="E547" i="1"/>
  <c r="F547" i="1" s="1"/>
  <c r="K605" i="1"/>
  <c r="E605" i="1"/>
  <c r="K527" i="1"/>
  <c r="E527" i="1"/>
  <c r="F527" i="1" s="1"/>
  <c r="K264" i="1"/>
  <c r="E264" i="1"/>
  <c r="F264" i="1" s="1"/>
  <c r="K642" i="1"/>
  <c r="E642" i="1"/>
  <c r="F642" i="1" s="1"/>
  <c r="K121" i="1"/>
  <c r="E121" i="1"/>
  <c r="F121" i="1" s="1"/>
  <c r="K185" i="1"/>
  <c r="E185" i="1"/>
  <c r="K848" i="1"/>
  <c r="E848" i="1"/>
  <c r="K513" i="1"/>
  <c r="E513" i="1"/>
  <c r="K272" i="1"/>
  <c r="E272" i="1"/>
  <c r="F272" i="1" s="1"/>
  <c r="K104" i="1"/>
  <c r="E104" i="1"/>
  <c r="F104" i="1" s="1"/>
  <c r="K170" i="1"/>
  <c r="E170" i="1"/>
  <c r="K130" i="1"/>
  <c r="E130" i="1"/>
  <c r="F130" i="1" s="1"/>
  <c r="K439" i="1"/>
  <c r="E439" i="1"/>
  <c r="F439" i="1" s="1"/>
  <c r="K133" i="1"/>
  <c r="E133" i="1"/>
  <c r="F133" i="1" s="1"/>
  <c r="K408" i="1"/>
  <c r="E408" i="1"/>
  <c r="K111" i="1"/>
  <c r="E111" i="1"/>
  <c r="K252" i="1"/>
  <c r="E252" i="1"/>
  <c r="K453" i="1"/>
  <c r="E453" i="1"/>
  <c r="K653" i="1"/>
  <c r="E653" i="1"/>
  <c r="F653" i="1" s="1"/>
  <c r="K781" i="1"/>
  <c r="E781" i="1"/>
  <c r="K666" i="1"/>
  <c r="E666" i="1"/>
  <c r="F666" i="1" s="1"/>
  <c r="K656" i="1"/>
  <c r="E656" i="1"/>
  <c r="K223" i="1"/>
  <c r="E223" i="1"/>
  <c r="K371" i="1"/>
  <c r="E371" i="1"/>
  <c r="K708" i="1"/>
  <c r="E708" i="1"/>
  <c r="F708" i="1" s="1"/>
  <c r="K627" i="1"/>
  <c r="E627" i="1"/>
  <c r="F627" i="1" s="1"/>
  <c r="K137" i="1"/>
  <c r="E137" i="1"/>
  <c r="K297" i="1"/>
  <c r="E297" i="1"/>
  <c r="K690" i="1"/>
  <c r="E690" i="1"/>
  <c r="F690" i="1" s="1"/>
  <c r="K140" i="1"/>
  <c r="E140" i="1"/>
  <c r="K261" i="1"/>
  <c r="E261" i="1"/>
  <c r="F261" i="1" s="1"/>
  <c r="K565" i="1"/>
  <c r="E565" i="1"/>
  <c r="K397" i="1"/>
  <c r="E397" i="1"/>
  <c r="K451" i="1"/>
  <c r="E451" i="1"/>
  <c r="K594" i="1"/>
  <c r="E594" i="1"/>
  <c r="F594" i="1" s="1"/>
  <c r="K819" i="1"/>
  <c r="E819" i="1"/>
  <c r="K971" i="1"/>
  <c r="E971" i="1"/>
  <c r="F971" i="1" s="1"/>
  <c r="K332" i="1"/>
  <c r="E332" i="1"/>
  <c r="F332" i="1" s="1"/>
  <c r="K509" i="1"/>
  <c r="E509" i="1"/>
  <c r="F509" i="1" s="1"/>
  <c r="K773" i="1"/>
  <c r="E773" i="1"/>
  <c r="F773" i="1" s="1"/>
  <c r="K383" i="1"/>
  <c r="E383" i="1"/>
  <c r="F383" i="1" s="1"/>
  <c r="K559" i="1"/>
  <c r="E559" i="1"/>
  <c r="K787" i="1"/>
  <c r="E787" i="1"/>
  <c r="K338" i="1"/>
  <c r="E338" i="1"/>
  <c r="K510" i="1"/>
  <c r="E510" i="1"/>
  <c r="F510" i="1" s="1"/>
  <c r="K699" i="1"/>
  <c r="E699" i="1"/>
  <c r="K894" i="1"/>
  <c r="E894" i="1"/>
  <c r="F894" i="1" s="1"/>
  <c r="K606" i="1"/>
  <c r="E606" i="1"/>
  <c r="K718" i="1"/>
  <c r="E718" i="1"/>
  <c r="F718" i="1" s="1"/>
  <c r="K838" i="1"/>
  <c r="E838" i="1"/>
  <c r="K625" i="1"/>
  <c r="E625" i="1"/>
  <c r="F625" i="1" s="1"/>
  <c r="K809" i="1"/>
  <c r="E809" i="1"/>
  <c r="K950" i="1"/>
  <c r="E950" i="1"/>
  <c r="K500" i="1"/>
  <c r="E500" i="1"/>
  <c r="K628" i="1"/>
  <c r="E628" i="1"/>
  <c r="F628" i="1" s="1"/>
  <c r="K827" i="1"/>
  <c r="E827" i="1"/>
  <c r="K930" i="1"/>
  <c r="E930" i="1"/>
  <c r="K889" i="1"/>
  <c r="E889" i="1"/>
  <c r="K963" i="1"/>
  <c r="E963" i="1"/>
  <c r="F963" i="1" s="1"/>
  <c r="K820" i="1"/>
  <c r="E820" i="1"/>
  <c r="F820" i="1" s="1"/>
  <c r="K884" i="1"/>
  <c r="E884" i="1"/>
  <c r="F884" i="1" s="1"/>
  <c r="K1040" i="1"/>
  <c r="E1040" i="1"/>
  <c r="F1040" i="1" s="1"/>
  <c r="K711" i="1"/>
  <c r="E711" i="1"/>
  <c r="F711" i="1" s="1"/>
  <c r="K775" i="1"/>
  <c r="E775" i="1"/>
  <c r="K839" i="1"/>
  <c r="E839" i="1"/>
  <c r="F839" i="1" s="1"/>
  <c r="K964" i="1"/>
  <c r="E964" i="1"/>
  <c r="K1041" i="1"/>
  <c r="E1041" i="1"/>
  <c r="F1041" i="1" s="1"/>
  <c r="K1026" i="1"/>
  <c r="E1026" i="1"/>
  <c r="K168" i="2"/>
  <c r="E168" i="2"/>
  <c r="K125" i="2"/>
  <c r="E125" i="2"/>
  <c r="K158" i="2"/>
  <c r="E158" i="2"/>
  <c r="K192" i="2"/>
  <c r="E192" i="2"/>
  <c r="K362" i="2"/>
  <c r="E362" i="2"/>
  <c r="K291" i="2"/>
  <c r="E291" i="2"/>
  <c r="K225" i="2"/>
  <c r="E225" i="2"/>
  <c r="K199" i="2"/>
  <c r="E199" i="2"/>
  <c r="K348" i="2"/>
  <c r="E348" i="2"/>
  <c r="F348" i="2" s="1"/>
  <c r="K223" i="2"/>
  <c r="E223" i="2"/>
  <c r="K350" i="2"/>
  <c r="E350" i="2"/>
  <c r="K343" i="2"/>
  <c r="E343" i="2"/>
  <c r="K284" i="2"/>
  <c r="E284" i="2"/>
  <c r="F284" i="2" s="1"/>
  <c r="K279" i="2"/>
  <c r="E279" i="2"/>
  <c r="K210" i="2"/>
  <c r="E210" i="2"/>
  <c r="K356" i="2"/>
  <c r="E356" i="2"/>
  <c r="K483" i="2"/>
  <c r="E483" i="2"/>
  <c r="F483" i="2" s="1"/>
  <c r="K403" i="2"/>
  <c r="E403" i="2"/>
  <c r="K532" i="2"/>
  <c r="E532" i="2"/>
  <c r="F532" i="2" s="1"/>
  <c r="K1062" i="2"/>
  <c r="E1062" i="2"/>
  <c r="K430" i="1"/>
  <c r="E430" i="1"/>
  <c r="F430" i="1" s="1"/>
  <c r="K200" i="1"/>
  <c r="E200" i="1"/>
  <c r="K184" i="1"/>
  <c r="E184" i="1"/>
  <c r="K568" i="1"/>
  <c r="E568" i="1"/>
  <c r="K536" i="1"/>
  <c r="E536" i="1"/>
  <c r="F536" i="1" s="1"/>
  <c r="K685" i="1"/>
  <c r="E685" i="1"/>
  <c r="F685" i="1" s="1"/>
  <c r="K533" i="1"/>
  <c r="E533" i="1"/>
  <c r="K115" i="1"/>
  <c r="E115" i="1"/>
  <c r="K232" i="1"/>
  <c r="E232" i="1"/>
  <c r="F232" i="1" s="1"/>
  <c r="K481" i="1"/>
  <c r="E481" i="1"/>
  <c r="K155" i="1"/>
  <c r="E155" i="1"/>
  <c r="F155" i="1" s="1"/>
  <c r="K145" i="1"/>
  <c r="E145" i="1"/>
  <c r="F145" i="1" s="1"/>
  <c r="K554" i="1"/>
  <c r="E554" i="1"/>
  <c r="F554" i="1" s="1"/>
  <c r="K84" i="1"/>
  <c r="E84" i="1"/>
  <c r="K265" i="1"/>
  <c r="E265" i="1"/>
  <c r="F265" i="1" s="1"/>
  <c r="K602" i="1"/>
  <c r="E602" i="1"/>
  <c r="K405" i="1"/>
  <c r="E405" i="1"/>
  <c r="F405" i="1" s="1"/>
  <c r="K698" i="1"/>
  <c r="E698" i="1"/>
  <c r="K1035" i="1"/>
  <c r="E1035" i="1"/>
  <c r="K404" i="1"/>
  <c r="E404" i="1"/>
  <c r="F404" i="1" s="1"/>
  <c r="K651" i="1"/>
  <c r="E651" i="1"/>
  <c r="F651" i="1" s="1"/>
  <c r="K327" i="1"/>
  <c r="E327" i="1"/>
  <c r="K496" i="1"/>
  <c r="E496" i="1"/>
  <c r="F496" i="1" s="1"/>
  <c r="K689" i="1"/>
  <c r="E689" i="1"/>
  <c r="F689" i="1" s="1"/>
  <c r="K282" i="1"/>
  <c r="E282" i="1"/>
  <c r="K541" i="1"/>
  <c r="E541" i="1"/>
  <c r="K1024" i="1"/>
  <c r="E1024" i="1"/>
  <c r="K614" i="1"/>
  <c r="E614" i="1"/>
  <c r="F614" i="1" s="1"/>
  <c r="K776" i="1"/>
  <c r="E776" i="1"/>
  <c r="F776" i="1" s="1"/>
  <c r="K569" i="1"/>
  <c r="E569" i="1"/>
  <c r="K870" i="1"/>
  <c r="E870" i="1"/>
  <c r="F870" i="1" s="1"/>
  <c r="K508" i="1"/>
  <c r="E508" i="1"/>
  <c r="K636" i="1"/>
  <c r="E636" i="1"/>
  <c r="K843" i="1"/>
  <c r="E843" i="1"/>
  <c r="K998" i="1"/>
  <c r="E998" i="1"/>
  <c r="F998" i="1" s="1"/>
  <c r="K1017" i="1"/>
  <c r="E1017" i="1"/>
  <c r="K975" i="1"/>
  <c r="E975" i="1"/>
  <c r="F975" i="1" s="1"/>
  <c r="K892" i="1"/>
  <c r="E892" i="1"/>
  <c r="K959" i="1"/>
  <c r="E959" i="1"/>
  <c r="F959" i="1" s="1"/>
  <c r="K1052" i="1"/>
  <c r="E1052" i="1"/>
  <c r="K719" i="1"/>
  <c r="E719" i="1"/>
  <c r="F719" i="1" s="1"/>
  <c r="K783" i="1"/>
  <c r="E783" i="1"/>
  <c r="K847" i="1"/>
  <c r="E847" i="1"/>
  <c r="K911" i="1"/>
  <c r="E911" i="1"/>
  <c r="F911" i="1" s="1"/>
  <c r="K966" i="1"/>
  <c r="E966" i="1"/>
  <c r="F966" i="1" s="1"/>
  <c r="K1055" i="1"/>
  <c r="E1055" i="1"/>
  <c r="K1021" i="1"/>
  <c r="E1021" i="1"/>
  <c r="K206" i="2"/>
  <c r="E206" i="2"/>
  <c r="K204" i="2"/>
  <c r="E204" i="2"/>
  <c r="K123" i="2"/>
  <c r="E123" i="2"/>
  <c r="K154" i="2"/>
  <c r="E154" i="2"/>
  <c r="K85" i="2"/>
  <c r="E85" i="2"/>
  <c r="K177" i="2"/>
  <c r="E177" i="2"/>
  <c r="K160" i="2"/>
  <c r="E160" i="2"/>
  <c r="F160" i="2" s="1"/>
  <c r="K137" i="2"/>
  <c r="E137" i="2"/>
  <c r="F137" i="2" s="1"/>
  <c r="K140" i="2"/>
  <c r="E140" i="2"/>
  <c r="K367" i="2"/>
  <c r="E367" i="2"/>
  <c r="F367" i="2" s="1"/>
  <c r="K390" i="2"/>
  <c r="E390" i="2"/>
  <c r="F390" i="2" s="1"/>
  <c r="K237" i="2"/>
  <c r="E237" i="2"/>
  <c r="F237" i="2" s="1"/>
  <c r="K428" i="2"/>
  <c r="E428" i="2"/>
  <c r="F428" i="2" s="1"/>
  <c r="K388" i="2"/>
  <c r="E388" i="2"/>
  <c r="F388" i="2" s="1"/>
  <c r="K346" i="2"/>
  <c r="E346" i="2"/>
  <c r="K282" i="2"/>
  <c r="E282" i="2"/>
  <c r="F282" i="2" s="1"/>
  <c r="K452" i="2"/>
  <c r="E452" i="2"/>
  <c r="K392" i="2"/>
  <c r="E392" i="2"/>
  <c r="F392" i="2" s="1"/>
  <c r="K536" i="2"/>
  <c r="E536" i="2"/>
  <c r="K499" i="2"/>
  <c r="E499" i="2"/>
  <c r="F499" i="2" s="1"/>
  <c r="K583" i="2"/>
  <c r="E583" i="2"/>
  <c r="F583" i="2" s="1"/>
  <c r="K771" i="2"/>
  <c r="E771" i="2"/>
  <c r="K582" i="2"/>
  <c r="E582" i="2"/>
  <c r="F582" i="2" s="1"/>
  <c r="K802" i="2"/>
  <c r="E802" i="2"/>
  <c r="F802" i="2" s="1"/>
  <c r="K535" i="2"/>
  <c r="E535" i="2"/>
  <c r="F535" i="2" s="1"/>
  <c r="K488" i="2"/>
  <c r="E488" i="2"/>
  <c r="K792" i="2"/>
  <c r="E792" i="2"/>
  <c r="K668" i="2"/>
  <c r="E668" i="2"/>
  <c r="F668" i="2" s="1"/>
  <c r="K509" i="2"/>
  <c r="E509" i="2"/>
  <c r="K657" i="2"/>
  <c r="E657" i="2"/>
  <c r="F657" i="2" s="1"/>
  <c r="K752" i="2"/>
  <c r="E752" i="2"/>
  <c r="K680" i="2"/>
  <c r="E680" i="2"/>
  <c r="F680" i="2" s="1"/>
  <c r="K950" i="2"/>
  <c r="E950" i="2"/>
  <c r="K965" i="2"/>
  <c r="E965" i="2"/>
  <c r="F965" i="2" s="1"/>
  <c r="K736" i="2"/>
  <c r="E736" i="2"/>
  <c r="K838" i="2"/>
  <c r="E838" i="2"/>
  <c r="F838" i="2" s="1"/>
  <c r="K797" i="2"/>
  <c r="E797" i="2"/>
  <c r="F797" i="2" s="1"/>
  <c r="K753" i="2"/>
  <c r="E753" i="2"/>
  <c r="F753" i="2" s="1"/>
  <c r="K801" i="2"/>
  <c r="E801" i="2"/>
  <c r="F801" i="2" s="1"/>
  <c r="K878" i="2"/>
  <c r="E878" i="2"/>
  <c r="F878" i="2" s="1"/>
  <c r="K803" i="2"/>
  <c r="E803" i="2"/>
  <c r="K871" i="2"/>
  <c r="E871" i="2"/>
  <c r="F871" i="2" s="1"/>
  <c r="K980" i="2"/>
  <c r="E980" i="2"/>
  <c r="K806" i="2"/>
  <c r="E806" i="2"/>
  <c r="F806" i="2" s="1"/>
  <c r="K986" i="2"/>
  <c r="E986" i="2"/>
  <c r="K884" i="2"/>
  <c r="E884" i="2"/>
  <c r="K825" i="2"/>
  <c r="E825" i="2"/>
  <c r="F825" i="2" s="1"/>
  <c r="K890" i="2"/>
  <c r="E890" i="2"/>
  <c r="F890" i="2" s="1"/>
  <c r="K999" i="2"/>
  <c r="E999" i="2"/>
  <c r="K860" i="2"/>
  <c r="E860" i="2"/>
  <c r="F860" i="2" s="1"/>
  <c r="K939" i="2"/>
  <c r="E939" i="2"/>
  <c r="K976" i="2"/>
  <c r="E976" i="2"/>
  <c r="K932" i="2"/>
  <c r="E932" i="2"/>
  <c r="K985" i="2"/>
  <c r="E985" i="2"/>
  <c r="F985" i="2" s="1"/>
  <c r="K903" i="2"/>
  <c r="E903" i="2"/>
  <c r="K1002" i="2"/>
  <c r="E1002" i="2"/>
  <c r="F1002" i="2" s="1"/>
  <c r="K1007" i="2"/>
  <c r="E1007" i="2"/>
  <c r="F1007" i="2" s="1"/>
  <c r="K973" i="2"/>
  <c r="E973" i="2"/>
  <c r="K1018" i="2"/>
  <c r="E1018" i="2"/>
  <c r="K1042" i="2"/>
  <c r="E1042" i="2"/>
  <c r="K1061" i="2"/>
  <c r="E1061" i="2"/>
  <c r="J709" i="1"/>
  <c r="L709" i="1"/>
  <c r="H709" i="1"/>
  <c r="I709" i="1" s="1"/>
  <c r="K443" i="1"/>
  <c r="E443" i="1"/>
  <c r="F443" i="1" s="1"/>
  <c r="K202" i="1"/>
  <c r="E202" i="1"/>
  <c r="K288" i="1"/>
  <c r="E288" i="1"/>
  <c r="F288" i="1" s="1"/>
  <c r="K149" i="1"/>
  <c r="E149" i="1"/>
  <c r="F149" i="1" s="1"/>
  <c r="K139" i="1"/>
  <c r="E139" i="1"/>
  <c r="K191" i="1"/>
  <c r="E191" i="1"/>
  <c r="K829" i="1"/>
  <c r="E829" i="1"/>
  <c r="F829" i="1" s="1"/>
  <c r="K531" i="1"/>
  <c r="E531" i="1"/>
  <c r="F531" i="1" s="1"/>
  <c r="K878" i="1"/>
  <c r="E878" i="1"/>
  <c r="K744" i="1"/>
  <c r="E744" i="1"/>
  <c r="K171" i="1"/>
  <c r="E171" i="1"/>
  <c r="K182" i="1"/>
  <c r="E182" i="1"/>
  <c r="F182" i="1" s="1"/>
  <c r="K307" i="1"/>
  <c r="E307" i="1"/>
  <c r="K494" i="1"/>
  <c r="E494" i="1"/>
  <c r="K768" i="1"/>
  <c r="E768" i="1"/>
  <c r="F768" i="1" s="1"/>
  <c r="K227" i="1"/>
  <c r="E227" i="1"/>
  <c r="F227" i="1" s="1"/>
  <c r="K89" i="1"/>
  <c r="E89" i="1"/>
  <c r="K228" i="1"/>
  <c r="E228" i="1"/>
  <c r="K567" i="1"/>
  <c r="E567" i="1"/>
  <c r="F567" i="1" s="1"/>
  <c r="K203" i="1"/>
  <c r="E203" i="1"/>
  <c r="F203" i="1" s="1"/>
  <c r="K156" i="1"/>
  <c r="E156" i="1"/>
  <c r="K280" i="1"/>
  <c r="E280" i="1"/>
  <c r="K470" i="1"/>
  <c r="E470" i="1"/>
  <c r="K850" i="1"/>
  <c r="E850" i="1"/>
  <c r="F850" i="1" s="1"/>
  <c r="K415" i="1"/>
  <c r="E415" i="1"/>
  <c r="F415" i="1" s="1"/>
  <c r="K515" i="1"/>
  <c r="E515" i="1"/>
  <c r="K717" i="1"/>
  <c r="E717" i="1"/>
  <c r="F717" i="1" s="1"/>
  <c r="K985" i="1"/>
  <c r="E985" i="1"/>
  <c r="F985" i="1" s="1"/>
  <c r="K284" i="1"/>
  <c r="E284" i="1"/>
  <c r="F284" i="1" s="1"/>
  <c r="K413" i="1"/>
  <c r="E413" i="1"/>
  <c r="K663" i="1"/>
  <c r="E663" i="1"/>
  <c r="F663" i="1" s="1"/>
  <c r="K1033" i="1"/>
  <c r="E1033" i="1"/>
  <c r="F1033" i="1" s="1"/>
  <c r="K399" i="1"/>
  <c r="E399" i="1"/>
  <c r="F399" i="1" s="1"/>
  <c r="K505" i="1"/>
  <c r="E505" i="1"/>
  <c r="F505" i="1" s="1"/>
  <c r="K573" i="1"/>
  <c r="E573" i="1"/>
  <c r="F573" i="1" s="1"/>
  <c r="K846" i="1"/>
  <c r="E846" i="1"/>
  <c r="F846" i="1" s="1"/>
  <c r="K226" i="1"/>
  <c r="E226" i="1"/>
  <c r="K354" i="1"/>
  <c r="E354" i="1"/>
  <c r="K543" i="1"/>
  <c r="E543" i="1"/>
  <c r="K769" i="1"/>
  <c r="E769" i="1"/>
  <c r="F769" i="1" s="1"/>
  <c r="K925" i="1"/>
  <c r="E925" i="1"/>
  <c r="K622" i="1"/>
  <c r="E622" i="1"/>
  <c r="K732" i="1"/>
  <c r="E732" i="1"/>
  <c r="F732" i="1" s="1"/>
  <c r="K790" i="1"/>
  <c r="E790" i="1"/>
  <c r="F790" i="1" s="1"/>
  <c r="K974" i="1"/>
  <c r="E974" i="1"/>
  <c r="K641" i="1"/>
  <c r="E641" i="1"/>
  <c r="K737" i="1"/>
  <c r="E737" i="1"/>
  <c r="F737" i="1" s="1"/>
  <c r="K880" i="1"/>
  <c r="E880" i="1"/>
  <c r="F880" i="1" s="1"/>
  <c r="K1036" i="1"/>
  <c r="E1036" i="1"/>
  <c r="K452" i="1"/>
  <c r="E452" i="1"/>
  <c r="F452" i="1" s="1"/>
  <c r="K516" i="1"/>
  <c r="E516" i="1"/>
  <c r="F516" i="1" s="1"/>
  <c r="K580" i="1"/>
  <c r="E580" i="1"/>
  <c r="F580" i="1" s="1"/>
  <c r="K701" i="1"/>
  <c r="E701" i="1"/>
  <c r="K747" i="1"/>
  <c r="E747" i="1"/>
  <c r="K859" i="1"/>
  <c r="E859" i="1"/>
  <c r="F859" i="1" s="1"/>
  <c r="K1020" i="1"/>
  <c r="E1020" i="1"/>
  <c r="F1020" i="1" s="1"/>
  <c r="K946" i="1"/>
  <c r="E946" i="1"/>
  <c r="F946" i="1" s="1"/>
  <c r="K1031" i="1"/>
  <c r="E1031" i="1"/>
  <c r="K905" i="1"/>
  <c r="E905" i="1"/>
  <c r="K987" i="1"/>
  <c r="E987" i="1"/>
  <c r="F987" i="1" s="1"/>
  <c r="K772" i="1"/>
  <c r="E772" i="1"/>
  <c r="F772" i="1" s="1"/>
  <c r="K836" i="1"/>
  <c r="E836" i="1"/>
  <c r="K900" i="1"/>
  <c r="E900" i="1"/>
  <c r="F900" i="1" s="1"/>
  <c r="K976" i="1"/>
  <c r="E976" i="1"/>
  <c r="F976" i="1" s="1"/>
  <c r="K1054" i="1"/>
  <c r="E1054" i="1"/>
  <c r="K727" i="1"/>
  <c r="E727" i="1"/>
  <c r="K791" i="1"/>
  <c r="E791" i="1"/>
  <c r="K855" i="1"/>
  <c r="E855" i="1"/>
  <c r="F855" i="1" s="1"/>
  <c r="K919" i="1"/>
  <c r="E919" i="1"/>
  <c r="K977" i="1"/>
  <c r="E977" i="1"/>
  <c r="K965" i="1"/>
  <c r="E965" i="1"/>
  <c r="F965" i="1" s="1"/>
  <c r="K1029" i="1"/>
  <c r="E1029" i="1"/>
  <c r="K1042" i="1"/>
  <c r="E1042" i="1"/>
  <c r="K109" i="2"/>
  <c r="E109" i="2"/>
  <c r="K216" i="2"/>
  <c r="E216" i="2"/>
  <c r="F216" i="2" s="1"/>
  <c r="K207" i="2"/>
  <c r="E207" i="2"/>
  <c r="F207" i="2" s="1"/>
  <c r="K104" i="2"/>
  <c r="E104" i="2"/>
  <c r="K144" i="2"/>
  <c r="E144" i="2"/>
  <c r="K431" i="2"/>
  <c r="E431" i="2"/>
  <c r="K167" i="2"/>
  <c r="E167" i="2"/>
  <c r="K179" i="2"/>
  <c r="E179" i="2"/>
  <c r="K106" i="2"/>
  <c r="E106" i="2"/>
  <c r="K111" i="2"/>
  <c r="E111" i="2"/>
  <c r="K465" i="2"/>
  <c r="E465" i="2"/>
  <c r="K102" i="2"/>
  <c r="E102" i="2"/>
  <c r="F102" i="2" s="1"/>
  <c r="K304" i="2"/>
  <c r="E304" i="2"/>
  <c r="K145" i="2"/>
  <c r="E145" i="2"/>
  <c r="F145" i="2" s="1"/>
  <c r="K273" i="2"/>
  <c r="E273" i="2"/>
  <c r="K148" i="2"/>
  <c r="E148" i="2"/>
  <c r="K299" i="2"/>
  <c r="E299" i="2"/>
  <c r="K398" i="2"/>
  <c r="E398" i="2"/>
  <c r="F398" i="2" s="1"/>
  <c r="K325" i="2"/>
  <c r="E325" i="2"/>
  <c r="F325" i="2" s="1"/>
  <c r="K415" i="2"/>
  <c r="E415" i="2"/>
  <c r="F415" i="2" s="1"/>
  <c r="K386" i="2"/>
  <c r="E386" i="2"/>
  <c r="K309" i="2"/>
  <c r="E309" i="2"/>
  <c r="K361" i="2"/>
  <c r="E361" i="2"/>
  <c r="K236" i="2"/>
  <c r="E236" i="2"/>
  <c r="K396" i="2"/>
  <c r="E396" i="2"/>
  <c r="K231" i="2"/>
  <c r="E231" i="2"/>
  <c r="K351" i="2"/>
  <c r="E351" i="2"/>
  <c r="F351" i="2" s="1"/>
  <c r="K226" i="2"/>
  <c r="E226" i="2"/>
  <c r="K290" i="2"/>
  <c r="E290" i="2"/>
  <c r="F290" i="2" s="1"/>
  <c r="K393" i="2"/>
  <c r="E393" i="2"/>
  <c r="K405" i="2"/>
  <c r="E405" i="2"/>
  <c r="F405" i="2" s="1"/>
  <c r="K516" i="2"/>
  <c r="E516" i="2"/>
  <c r="K455" i="2"/>
  <c r="E455" i="2"/>
  <c r="K355" i="2"/>
  <c r="E355" i="2"/>
  <c r="K419" i="2"/>
  <c r="E419" i="2"/>
  <c r="F419" i="2" s="1"/>
  <c r="K534" i="2"/>
  <c r="E534" i="2"/>
  <c r="K588" i="2"/>
  <c r="E588" i="2"/>
  <c r="F588" i="2" s="1"/>
  <c r="K495" i="2"/>
  <c r="E495" i="2"/>
  <c r="K571" i="2"/>
  <c r="E571" i="2"/>
  <c r="K587" i="2"/>
  <c r="E587" i="2"/>
  <c r="K620" i="2"/>
  <c r="E620" i="2"/>
  <c r="F620" i="2" s="1"/>
  <c r="K931" i="2"/>
  <c r="E931" i="2"/>
  <c r="F931" i="2" s="1"/>
  <c r="K691" i="2"/>
  <c r="E691" i="2"/>
  <c r="F691" i="2" s="1"/>
  <c r="K661" i="2"/>
  <c r="E661" i="2"/>
  <c r="K492" i="2"/>
  <c r="E492" i="2"/>
  <c r="K694" i="2"/>
  <c r="E694" i="2"/>
  <c r="K901" i="2"/>
  <c r="E901" i="2"/>
  <c r="F901" i="2" s="1"/>
  <c r="K855" i="2"/>
  <c r="E855" i="2"/>
  <c r="K879" i="2"/>
  <c r="E879" i="2"/>
  <c r="K677" i="2"/>
  <c r="E677" i="2"/>
  <c r="F677" i="2" s="1"/>
  <c r="K989" i="2"/>
  <c r="E989" i="2"/>
  <c r="F989" i="2" s="1"/>
  <c r="L188" i="1"/>
  <c r="J188" i="1"/>
  <c r="H188" i="1"/>
  <c r="I188" i="1" s="1"/>
  <c r="K114" i="1"/>
  <c r="E114" i="1"/>
  <c r="K368" i="1"/>
  <c r="E368" i="1"/>
  <c r="F368" i="1" s="1"/>
  <c r="K363" i="1"/>
  <c r="E363" i="1"/>
  <c r="K136" i="1"/>
  <c r="E136" i="1"/>
  <c r="F136" i="1" s="1"/>
  <c r="K173" i="1"/>
  <c r="E173" i="1"/>
  <c r="K269" i="1"/>
  <c r="E269" i="1"/>
  <c r="F269" i="1" s="1"/>
  <c r="K263" i="1"/>
  <c r="E263" i="1"/>
  <c r="F263" i="1" s="1"/>
  <c r="K186" i="1"/>
  <c r="E186" i="1"/>
  <c r="F186" i="1" s="1"/>
  <c r="K299" i="1"/>
  <c r="E299" i="1"/>
  <c r="F299" i="1" s="1"/>
  <c r="K239" i="1"/>
  <c r="E239" i="1"/>
  <c r="F239" i="1" s="1"/>
  <c r="K85" i="1"/>
  <c r="E85" i="1"/>
  <c r="F85" i="1" s="1"/>
  <c r="K181" i="1"/>
  <c r="E181" i="1"/>
  <c r="K216" i="1"/>
  <c r="E216" i="1"/>
  <c r="K75" i="1"/>
  <c r="E75" i="1"/>
  <c r="F75" i="1" s="1"/>
  <c r="K147" i="1"/>
  <c r="E147" i="1"/>
  <c r="K71" i="1"/>
  <c r="E71" i="1"/>
  <c r="F71" i="1" s="1"/>
  <c r="K135" i="1"/>
  <c r="E135" i="1"/>
  <c r="K199" i="1"/>
  <c r="E199" i="1"/>
  <c r="F199" i="1" s="1"/>
  <c r="K369" i="1"/>
  <c r="E369" i="1"/>
  <c r="K581" i="1"/>
  <c r="E581" i="1"/>
  <c r="K833" i="1"/>
  <c r="E833" i="1"/>
  <c r="K512" i="1"/>
  <c r="E512" i="1"/>
  <c r="F512" i="1" s="1"/>
  <c r="K771" i="1"/>
  <c r="E771" i="1"/>
  <c r="K549" i="1"/>
  <c r="E549" i="1"/>
  <c r="K693" i="1"/>
  <c r="E693" i="1"/>
  <c r="K931" i="1"/>
  <c r="E931" i="1"/>
  <c r="F931" i="1" s="1"/>
  <c r="K546" i="1"/>
  <c r="E546" i="1"/>
  <c r="F546" i="1" s="1"/>
  <c r="K752" i="1"/>
  <c r="E752" i="1"/>
  <c r="K131" i="1"/>
  <c r="E131" i="1"/>
  <c r="F131" i="1" s="1"/>
  <c r="K187" i="1"/>
  <c r="E187" i="1"/>
  <c r="F187" i="1" s="1"/>
  <c r="K126" i="1"/>
  <c r="E126" i="1"/>
  <c r="F126" i="1" s="1"/>
  <c r="K190" i="1"/>
  <c r="E190" i="1"/>
  <c r="K241" i="1"/>
  <c r="E241" i="1"/>
  <c r="F241" i="1" s="1"/>
  <c r="K320" i="1"/>
  <c r="E320" i="1"/>
  <c r="F320" i="1" s="1"/>
  <c r="K403" i="1"/>
  <c r="E403" i="1"/>
  <c r="K507" i="1"/>
  <c r="E507" i="1"/>
  <c r="K789" i="1"/>
  <c r="E789" i="1"/>
  <c r="K285" i="1"/>
  <c r="E285" i="1"/>
  <c r="F285" i="1" s="1"/>
  <c r="K70" i="1"/>
  <c r="E70" i="1"/>
  <c r="K97" i="1"/>
  <c r="E97" i="1"/>
  <c r="F97" i="1" s="1"/>
  <c r="K161" i="1"/>
  <c r="E161" i="1"/>
  <c r="K251" i="1"/>
  <c r="E251" i="1"/>
  <c r="K393" i="1"/>
  <c r="E393" i="1"/>
  <c r="K575" i="1"/>
  <c r="E575" i="1"/>
  <c r="K731" i="1"/>
  <c r="E731" i="1"/>
  <c r="F731" i="1" s="1"/>
  <c r="K236" i="1"/>
  <c r="E236" i="1"/>
  <c r="F236" i="1" s="1"/>
  <c r="K100" i="1"/>
  <c r="E100" i="1"/>
  <c r="F100" i="1" s="1"/>
  <c r="K164" i="1"/>
  <c r="E164" i="1"/>
  <c r="F164" i="1" s="1"/>
  <c r="K229" i="1"/>
  <c r="E229" i="1"/>
  <c r="F229" i="1" s="1"/>
  <c r="K281" i="1"/>
  <c r="E281" i="1"/>
  <c r="F281" i="1" s="1"/>
  <c r="K374" i="1"/>
  <c r="E374" i="1"/>
  <c r="K480" i="1"/>
  <c r="E480" i="1"/>
  <c r="K667" i="1"/>
  <c r="E667" i="1"/>
  <c r="K293" i="1"/>
  <c r="E293" i="1"/>
  <c r="F293" i="1" s="1"/>
  <c r="K357" i="1"/>
  <c r="E357" i="1"/>
  <c r="K419" i="1"/>
  <c r="E419" i="1"/>
  <c r="F419" i="1" s="1"/>
  <c r="K474" i="1"/>
  <c r="E474" i="1"/>
  <c r="K520" i="1"/>
  <c r="E520" i="1"/>
  <c r="F520" i="1" s="1"/>
  <c r="K608" i="1"/>
  <c r="E608" i="1"/>
  <c r="F608" i="1" s="1"/>
  <c r="K740" i="1"/>
  <c r="E740" i="1"/>
  <c r="K902" i="1"/>
  <c r="E902" i="1"/>
  <c r="K1022" i="1"/>
  <c r="E1022" i="1"/>
  <c r="F1022" i="1" s="1"/>
  <c r="K1008" i="1"/>
  <c r="E1008" i="1"/>
  <c r="K292" i="1"/>
  <c r="E292" i="1"/>
  <c r="F292" i="1" s="1"/>
  <c r="K356" i="1"/>
  <c r="E356" i="1"/>
  <c r="K422" i="1"/>
  <c r="E422" i="1"/>
  <c r="K586" i="1"/>
  <c r="E586" i="1"/>
  <c r="K664" i="1"/>
  <c r="E664" i="1"/>
  <c r="F664" i="1" s="1"/>
  <c r="K813" i="1"/>
  <c r="E813" i="1"/>
  <c r="F813" i="1" s="1"/>
  <c r="K1059" i="1"/>
  <c r="E1059" i="1"/>
  <c r="F1059" i="1" s="1"/>
  <c r="K343" i="1"/>
  <c r="E343" i="1"/>
  <c r="K407" i="1"/>
  <c r="E407" i="1"/>
  <c r="K459" i="1"/>
  <c r="E459" i="1"/>
  <c r="F459" i="1" s="1"/>
  <c r="K514" i="1"/>
  <c r="E514" i="1"/>
  <c r="F514" i="1" s="1"/>
  <c r="K610" i="1"/>
  <c r="E610" i="1"/>
  <c r="F610" i="1" s="1"/>
  <c r="K725" i="1"/>
  <c r="E725" i="1"/>
  <c r="K885" i="1"/>
  <c r="E885" i="1"/>
  <c r="K234" i="1"/>
  <c r="E234" i="1"/>
  <c r="F234" i="1" s="1"/>
  <c r="K298" i="1"/>
  <c r="E298" i="1"/>
  <c r="K362" i="1"/>
  <c r="E362" i="1"/>
  <c r="F362" i="1" s="1"/>
  <c r="K437" i="1"/>
  <c r="E437" i="1"/>
  <c r="K570" i="1"/>
  <c r="E570" i="1"/>
  <c r="F570" i="1" s="1"/>
  <c r="K648" i="1"/>
  <c r="E648" i="1"/>
  <c r="K798" i="1"/>
  <c r="E798" i="1"/>
  <c r="K853" i="1"/>
  <c r="E853" i="1"/>
  <c r="K934" i="1"/>
  <c r="E934" i="1"/>
  <c r="F934" i="1" s="1"/>
  <c r="K566" i="1"/>
  <c r="E566" i="1"/>
  <c r="K630" i="1"/>
  <c r="E630" i="1"/>
  <c r="F630" i="1" s="1"/>
  <c r="K686" i="1"/>
  <c r="E686" i="1"/>
  <c r="F686" i="1" s="1"/>
  <c r="K741" i="1"/>
  <c r="E741" i="1"/>
  <c r="F741" i="1" s="1"/>
  <c r="K792" i="1"/>
  <c r="E792" i="1"/>
  <c r="K856" i="1"/>
  <c r="E856" i="1"/>
  <c r="K980" i="1"/>
  <c r="E980" i="1"/>
  <c r="K585" i="1"/>
  <c r="E585" i="1"/>
  <c r="F585" i="1" s="1"/>
  <c r="K649" i="1"/>
  <c r="E649" i="1"/>
  <c r="F649" i="1" s="1"/>
  <c r="K760" i="1"/>
  <c r="E760" i="1"/>
  <c r="K826" i="1"/>
  <c r="E826" i="1"/>
  <c r="K890" i="1"/>
  <c r="E890" i="1"/>
  <c r="F890" i="1" s="1"/>
  <c r="K1038" i="1"/>
  <c r="E1038" i="1"/>
  <c r="K460" i="1"/>
  <c r="E460" i="1"/>
  <c r="F460" i="1" s="1"/>
  <c r="K524" i="1"/>
  <c r="E524" i="1"/>
  <c r="K588" i="1"/>
  <c r="E588" i="1"/>
  <c r="K652" i="1"/>
  <c r="E652" i="1"/>
  <c r="K706" i="1"/>
  <c r="E706" i="1"/>
  <c r="K756" i="1"/>
  <c r="E756" i="1"/>
  <c r="K915" i="1"/>
  <c r="E915" i="1"/>
  <c r="F915" i="1" s="1"/>
  <c r="K1047" i="1"/>
  <c r="E1047" i="1"/>
  <c r="K960" i="1"/>
  <c r="E960" i="1"/>
  <c r="F960" i="1" s="1"/>
  <c r="K1043" i="1"/>
  <c r="E1043" i="1"/>
  <c r="F1043" i="1" s="1"/>
  <c r="K913" i="1"/>
  <c r="E913" i="1"/>
  <c r="K1000" i="1"/>
  <c r="E1000" i="1"/>
  <c r="K780" i="1"/>
  <c r="E780" i="1"/>
  <c r="K844" i="1"/>
  <c r="E844" i="1"/>
  <c r="F844" i="1" s="1"/>
  <c r="K908" i="1"/>
  <c r="E908" i="1"/>
  <c r="K988" i="1"/>
  <c r="E988" i="1"/>
  <c r="K671" i="1"/>
  <c r="E671" i="1"/>
  <c r="F671" i="1" s="1"/>
  <c r="K735" i="1"/>
  <c r="E735" i="1"/>
  <c r="F735" i="1" s="1"/>
  <c r="K799" i="1"/>
  <c r="E799" i="1"/>
  <c r="F799" i="1" s="1"/>
  <c r="K863" i="1"/>
  <c r="E863" i="1"/>
  <c r="K927" i="1"/>
  <c r="E927" i="1"/>
  <c r="F927" i="1" s="1"/>
  <c r="K991" i="1"/>
  <c r="E991" i="1"/>
  <c r="K973" i="1"/>
  <c r="E973" i="1"/>
  <c r="F973" i="1" s="1"/>
  <c r="K1037" i="1"/>
  <c r="E1037" i="1"/>
  <c r="K986" i="1"/>
  <c r="E986" i="1"/>
  <c r="K1050" i="1"/>
  <c r="E1050" i="1"/>
  <c r="K88" i="2"/>
  <c r="E88" i="2"/>
  <c r="F88" i="2" s="1"/>
  <c r="K101" i="2"/>
  <c r="E101" i="2"/>
  <c r="K248" i="2"/>
  <c r="E248" i="2"/>
  <c r="K112" i="2"/>
  <c r="E112" i="2"/>
  <c r="K221" i="2"/>
  <c r="E221" i="2"/>
  <c r="F221" i="2" s="1"/>
  <c r="K181" i="2"/>
  <c r="E181" i="2"/>
  <c r="F181" i="2" s="1"/>
  <c r="K182" i="2"/>
  <c r="E182" i="2"/>
  <c r="F182" i="2" s="1"/>
  <c r="K77" i="2"/>
  <c r="E77" i="2"/>
  <c r="K184" i="2"/>
  <c r="E184" i="2"/>
  <c r="F184" i="2" s="1"/>
  <c r="K115" i="2"/>
  <c r="E115" i="2"/>
  <c r="K372" i="2"/>
  <c r="E372" i="2"/>
  <c r="K119" i="2"/>
  <c r="E119" i="2"/>
  <c r="K200" i="2"/>
  <c r="E200" i="2"/>
  <c r="F200" i="2" s="1"/>
  <c r="K478" i="2"/>
  <c r="E478" i="2"/>
  <c r="F478" i="2" s="1"/>
  <c r="K110" i="2"/>
  <c r="E110" i="2"/>
  <c r="F110" i="2" s="1"/>
  <c r="K173" i="2"/>
  <c r="E173" i="2"/>
  <c r="K312" i="2"/>
  <c r="E312" i="2"/>
  <c r="F312" i="2" s="1"/>
  <c r="K89" i="2"/>
  <c r="E89" i="2"/>
  <c r="K153" i="2"/>
  <c r="E153" i="2"/>
  <c r="K326" i="2"/>
  <c r="E326" i="2"/>
  <c r="K92" i="2"/>
  <c r="E92" i="2"/>
  <c r="F92" i="2" s="1"/>
  <c r="K156" i="2"/>
  <c r="E156" i="2"/>
  <c r="K224" i="2"/>
  <c r="E224" i="2"/>
  <c r="F224" i="2" s="1"/>
  <c r="K423" i="2"/>
  <c r="E423" i="2"/>
  <c r="K406" i="2"/>
  <c r="E406" i="2"/>
  <c r="F406" i="2" s="1"/>
  <c r="K810" i="2"/>
  <c r="E810" i="2"/>
  <c r="K354" i="2"/>
  <c r="E354" i="2"/>
  <c r="K267" i="2"/>
  <c r="E267" i="2"/>
  <c r="F267" i="2" s="1"/>
  <c r="K430" i="2"/>
  <c r="E430" i="2"/>
  <c r="F430" i="2" s="1"/>
  <c r="K262" i="2"/>
  <c r="E262" i="2"/>
  <c r="K394" i="2"/>
  <c r="E394" i="2"/>
  <c r="F394" i="2" s="1"/>
  <c r="K253" i="2"/>
  <c r="E253" i="2"/>
  <c r="K317" i="2"/>
  <c r="E317" i="2"/>
  <c r="K366" i="2"/>
  <c r="E366" i="2"/>
  <c r="F366" i="2" s="1"/>
  <c r="K444" i="2"/>
  <c r="E444" i="2"/>
  <c r="K244" i="2"/>
  <c r="E244" i="2"/>
  <c r="F244" i="2" s="1"/>
  <c r="K308" i="2"/>
  <c r="E308" i="2"/>
  <c r="F308" i="2" s="1"/>
  <c r="K434" i="2"/>
  <c r="E434" i="2"/>
  <c r="F434" i="2" s="1"/>
  <c r="K239" i="2"/>
  <c r="E239" i="2"/>
  <c r="F239" i="2" s="1"/>
  <c r="K303" i="2"/>
  <c r="E303" i="2"/>
  <c r="F303" i="2" s="1"/>
  <c r="K360" i="2"/>
  <c r="E360" i="2"/>
  <c r="F360" i="2" s="1"/>
  <c r="K170" i="2"/>
  <c r="E170" i="2"/>
  <c r="F170" i="2" s="1"/>
  <c r="K234" i="2"/>
  <c r="E234" i="2"/>
  <c r="F234" i="2" s="1"/>
  <c r="K298" i="2"/>
  <c r="E298" i="2"/>
  <c r="K420" i="2"/>
  <c r="E420" i="2"/>
  <c r="F420" i="2" s="1"/>
  <c r="K401" i="2"/>
  <c r="E401" i="2"/>
  <c r="K490" i="2"/>
  <c r="E490" i="2"/>
  <c r="F490" i="2" s="1"/>
  <c r="K413" i="2"/>
  <c r="E413" i="2"/>
  <c r="F413" i="2" s="1"/>
  <c r="K546" i="2"/>
  <c r="E546" i="2"/>
  <c r="F546" i="2" s="1"/>
  <c r="K408" i="2"/>
  <c r="E408" i="2"/>
  <c r="K473" i="2"/>
  <c r="E473" i="2"/>
  <c r="F473" i="2" s="1"/>
  <c r="K577" i="2"/>
  <c r="E577" i="2"/>
  <c r="F577" i="2" s="1"/>
  <c r="K363" i="2"/>
  <c r="E363" i="2"/>
  <c r="F363" i="2" s="1"/>
  <c r="K427" i="2"/>
  <c r="E427" i="2"/>
  <c r="K542" i="2"/>
  <c r="E542" i="2"/>
  <c r="F542" i="2" s="1"/>
  <c r="K540" i="2"/>
  <c r="E540" i="2"/>
  <c r="K494" i="2"/>
  <c r="E494" i="2"/>
  <c r="F494" i="2" s="1"/>
  <c r="K619" i="2"/>
  <c r="E619" i="2"/>
  <c r="K496" i="2"/>
  <c r="E496" i="2"/>
  <c r="F496" i="2" s="1"/>
  <c r="K459" i="2"/>
  <c r="E459" i="2"/>
  <c r="K586" i="2"/>
  <c r="E586" i="2"/>
  <c r="F586" i="2" s="1"/>
  <c r="K688" i="2"/>
  <c r="E688" i="2"/>
  <c r="K618" i="2"/>
  <c r="E618" i="2"/>
  <c r="K665" i="2"/>
  <c r="E665" i="2"/>
  <c r="K602" i="2"/>
  <c r="E602" i="2"/>
  <c r="F602" i="2" s="1"/>
  <c r="K547" i="2"/>
  <c r="E547" i="2"/>
  <c r="K611" i="2"/>
  <c r="E611" i="2"/>
  <c r="F611" i="2" s="1"/>
  <c r="K735" i="2"/>
  <c r="E735" i="2"/>
  <c r="K564" i="2"/>
  <c r="E564" i="2"/>
  <c r="K682" i="2"/>
  <c r="E682" i="2"/>
  <c r="K497" i="2"/>
  <c r="E497" i="2"/>
  <c r="F497" i="2" s="1"/>
  <c r="K545" i="2"/>
  <c r="E545" i="2"/>
  <c r="K707" i="2"/>
  <c r="E707" i="2"/>
  <c r="F707" i="2" s="1"/>
  <c r="K591" i="2"/>
  <c r="E591" i="2"/>
  <c r="K672" i="2"/>
  <c r="E672" i="2"/>
  <c r="F672" i="2" s="1"/>
  <c r="K877" i="2"/>
  <c r="E877" i="2"/>
  <c r="F877" i="2" s="1"/>
  <c r="K704" i="2"/>
  <c r="E704" i="2"/>
  <c r="F704" i="2" s="1"/>
  <c r="K981" i="2"/>
  <c r="E981" i="2"/>
  <c r="F981" i="2" s="1"/>
  <c r="K525" i="2"/>
  <c r="E525" i="2"/>
  <c r="F525" i="2" s="1"/>
  <c r="K589" i="2"/>
  <c r="E589" i="2"/>
  <c r="F589" i="2" s="1"/>
  <c r="K698" i="2"/>
  <c r="E698" i="2"/>
  <c r="K775" i="2"/>
  <c r="E775" i="2"/>
  <c r="K584" i="2"/>
  <c r="E584" i="2"/>
  <c r="F584" i="2" s="1"/>
  <c r="K644" i="2"/>
  <c r="E644" i="2"/>
  <c r="K697" i="2"/>
  <c r="E697" i="2"/>
  <c r="F697" i="2" s="1"/>
  <c r="K1013" i="2"/>
  <c r="E1013" i="2"/>
  <c r="F1013" i="2" s="1"/>
  <c r="K733" i="2"/>
  <c r="E733" i="2"/>
  <c r="F733" i="2" s="1"/>
  <c r="K676" i="2"/>
  <c r="E676" i="2"/>
  <c r="K760" i="2"/>
  <c r="E760" i="2"/>
  <c r="F760" i="2" s="1"/>
  <c r="K1004" i="2"/>
  <c r="E1004" i="2"/>
  <c r="F1004" i="2" s="1"/>
  <c r="K687" i="2"/>
  <c r="E687" i="2"/>
  <c r="F687" i="2" s="1"/>
  <c r="K750" i="2"/>
  <c r="E750" i="2"/>
  <c r="K770" i="2"/>
  <c r="E770" i="2"/>
  <c r="K893" i="2"/>
  <c r="E893" i="2"/>
  <c r="K813" i="2"/>
  <c r="E813" i="2"/>
  <c r="F813" i="2" s="1"/>
  <c r="K946" i="2"/>
  <c r="E946" i="2"/>
  <c r="K769" i="2"/>
  <c r="E769" i="2"/>
  <c r="F769" i="2" s="1"/>
  <c r="K817" i="2"/>
  <c r="E817" i="2"/>
  <c r="F817" i="2" s="1"/>
  <c r="K925" i="2"/>
  <c r="E925" i="2"/>
  <c r="F925" i="2" s="1"/>
  <c r="K934" i="2"/>
  <c r="E934" i="2"/>
  <c r="K819" i="2"/>
  <c r="E819" i="2"/>
  <c r="F819" i="2" s="1"/>
  <c r="K880" i="2"/>
  <c r="E880" i="2"/>
  <c r="K993" i="2"/>
  <c r="E993" i="2"/>
  <c r="F993" i="2" s="1"/>
  <c r="K859" i="2"/>
  <c r="E859" i="2"/>
  <c r="K834" i="2"/>
  <c r="E834" i="2"/>
  <c r="F834" i="2" s="1"/>
  <c r="K896" i="2"/>
  <c r="E896" i="2"/>
  <c r="K841" i="2"/>
  <c r="E841" i="2"/>
  <c r="K906" i="2"/>
  <c r="E906" i="2"/>
  <c r="F906" i="2" s="1"/>
  <c r="K1021" i="2"/>
  <c r="E1021" i="2"/>
  <c r="K876" i="2"/>
  <c r="E876" i="2"/>
  <c r="K971" i="2"/>
  <c r="E971" i="2"/>
  <c r="K1001" i="2"/>
  <c r="E1001" i="2"/>
  <c r="K943" i="2"/>
  <c r="E943" i="2"/>
  <c r="F943" i="2" s="1"/>
  <c r="K1010" i="2"/>
  <c r="E1010" i="2"/>
  <c r="K919" i="2"/>
  <c r="E919" i="2"/>
  <c r="K1028" i="2"/>
  <c r="E1028" i="2"/>
  <c r="K1025" i="2"/>
  <c r="E1025" i="2"/>
  <c r="F1025" i="2" s="1"/>
  <c r="K982" i="2"/>
  <c r="E982" i="2"/>
  <c r="F982" i="2" s="1"/>
  <c r="K975" i="2"/>
  <c r="E975" i="2"/>
  <c r="F975" i="2" s="1"/>
  <c r="K1011" i="2"/>
  <c r="E1011" i="2"/>
  <c r="F1011" i="2" s="1"/>
  <c r="K1022" i="2"/>
  <c r="E1022" i="2"/>
  <c r="F1022" i="2" s="1"/>
  <c r="K1044" i="2"/>
  <c r="E1044" i="2"/>
  <c r="K1055" i="2"/>
  <c r="E1055" i="2"/>
  <c r="F1055" i="2" s="1"/>
  <c r="L359" i="1"/>
  <c r="J359" i="1"/>
  <c r="H359" i="1"/>
  <c r="L327" i="1"/>
  <c r="J327" i="1"/>
  <c r="H327" i="1"/>
  <c r="J360" i="1"/>
  <c r="L360" i="1"/>
  <c r="H360" i="1"/>
  <c r="J256" i="1"/>
  <c r="L256" i="1"/>
  <c r="H256" i="1"/>
  <c r="I256" i="1" s="1"/>
  <c r="L447" i="1"/>
  <c r="J447" i="1"/>
  <c r="H447" i="1"/>
  <c r="L243" i="1"/>
  <c r="J243" i="1"/>
  <c r="H243" i="1"/>
  <c r="I243" i="1" s="1"/>
  <c r="L92" i="1"/>
  <c r="J92" i="1"/>
  <c r="H92" i="1"/>
  <c r="I92" i="1" s="1"/>
  <c r="L132" i="1"/>
  <c r="J132" i="1"/>
  <c r="H132" i="1"/>
  <c r="L169" i="1"/>
  <c r="J169" i="1"/>
  <c r="H169" i="1"/>
  <c r="I169" i="1" s="1"/>
  <c r="J201" i="1"/>
  <c r="L201" i="1"/>
  <c r="H201" i="1"/>
  <c r="L84" i="1"/>
  <c r="J84" i="1"/>
  <c r="H84" i="1"/>
  <c r="J135" i="1"/>
  <c r="L135" i="1"/>
  <c r="H135" i="1"/>
  <c r="I135" i="1" s="1"/>
  <c r="J193" i="1"/>
  <c r="L193" i="1"/>
  <c r="H193" i="1"/>
  <c r="L410" i="1"/>
  <c r="J410" i="1"/>
  <c r="H410" i="1"/>
  <c r="I410" i="1" s="1"/>
  <c r="J212" i="1"/>
  <c r="L212" i="1"/>
  <c r="H212" i="1"/>
  <c r="J583" i="1"/>
  <c r="L583" i="1"/>
  <c r="H583" i="1"/>
  <c r="I583" i="1" s="1"/>
  <c r="L118" i="1"/>
  <c r="J118" i="1"/>
  <c r="H118" i="1"/>
  <c r="L182" i="1"/>
  <c r="J182" i="1"/>
  <c r="H182" i="1"/>
  <c r="L246" i="1"/>
  <c r="J246" i="1"/>
  <c r="H246" i="1"/>
  <c r="I246" i="1" s="1"/>
  <c r="L338" i="1"/>
  <c r="J338" i="1"/>
  <c r="H338" i="1"/>
  <c r="I338" i="1" s="1"/>
  <c r="J461" i="1"/>
  <c r="L461" i="1"/>
  <c r="H461" i="1"/>
  <c r="L688" i="1"/>
  <c r="J688" i="1"/>
  <c r="H688" i="1"/>
  <c r="J457" i="1"/>
  <c r="L457" i="1"/>
  <c r="H457" i="1"/>
  <c r="I457" i="1" s="1"/>
  <c r="L569" i="1"/>
  <c r="J569" i="1"/>
  <c r="H569" i="1"/>
  <c r="I569" i="1" s="1"/>
  <c r="J725" i="1"/>
  <c r="L725" i="1"/>
  <c r="H725" i="1"/>
  <c r="I725" i="1" s="1"/>
  <c r="L856" i="1"/>
  <c r="J856" i="1"/>
  <c r="H856" i="1"/>
  <c r="L553" i="1"/>
  <c r="J553" i="1"/>
  <c r="H553" i="1"/>
  <c r="I553" i="1" s="1"/>
  <c r="L465" i="1"/>
  <c r="J465" i="1"/>
  <c r="H465" i="1"/>
  <c r="I465" i="1" s="1"/>
  <c r="J610" i="1"/>
  <c r="L610" i="1"/>
  <c r="H610" i="1"/>
  <c r="I610" i="1" s="1"/>
  <c r="L715" i="1"/>
  <c r="J715" i="1"/>
  <c r="H715" i="1"/>
  <c r="J221" i="1"/>
  <c r="L221" i="1"/>
  <c r="H221" i="1"/>
  <c r="J594" i="1"/>
  <c r="L594" i="1"/>
  <c r="H594" i="1"/>
  <c r="I594" i="1" s="1"/>
  <c r="J157" i="1"/>
  <c r="L157" i="1"/>
  <c r="H157" i="1"/>
  <c r="I157" i="1" s="1"/>
  <c r="J231" i="1"/>
  <c r="L231" i="1"/>
  <c r="H231" i="1"/>
  <c r="J349" i="1"/>
  <c r="L349" i="1"/>
  <c r="H349" i="1"/>
  <c r="L511" i="1"/>
  <c r="J511" i="1"/>
  <c r="H511" i="1"/>
  <c r="L633" i="1"/>
  <c r="J633" i="1"/>
  <c r="H633" i="1"/>
  <c r="L900" i="1"/>
  <c r="J900" i="1"/>
  <c r="H900" i="1"/>
  <c r="L524" i="1"/>
  <c r="J524" i="1"/>
  <c r="H524" i="1"/>
  <c r="I524" i="1" s="1"/>
  <c r="L120" i="1"/>
  <c r="J120" i="1"/>
  <c r="H120" i="1"/>
  <c r="I120" i="1" s="1"/>
  <c r="L184" i="1"/>
  <c r="J184" i="1"/>
  <c r="H184" i="1"/>
  <c r="I184" i="1" s="1"/>
  <c r="J245" i="1"/>
  <c r="L245" i="1"/>
  <c r="H245" i="1"/>
  <c r="L362" i="1"/>
  <c r="J362" i="1"/>
  <c r="H362" i="1"/>
  <c r="L510" i="1"/>
  <c r="J510" i="1"/>
  <c r="H510" i="1"/>
  <c r="I510" i="1" s="1"/>
  <c r="L617" i="1"/>
  <c r="J617" i="1"/>
  <c r="H617" i="1"/>
  <c r="L865" i="1"/>
  <c r="J865" i="1"/>
  <c r="H865" i="1"/>
  <c r="J66" i="1"/>
  <c r="H66" i="1"/>
  <c r="L123" i="1"/>
  <c r="J123" i="1"/>
  <c r="H123" i="1"/>
  <c r="L187" i="1"/>
  <c r="J187" i="1"/>
  <c r="H187" i="1"/>
  <c r="I187" i="1" s="1"/>
  <c r="J259" i="1"/>
  <c r="L259" i="1"/>
  <c r="H259" i="1"/>
  <c r="J357" i="1"/>
  <c r="L357" i="1"/>
  <c r="H357" i="1"/>
  <c r="L496" i="1"/>
  <c r="J496" i="1"/>
  <c r="H496" i="1"/>
  <c r="I496" i="1" s="1"/>
  <c r="J778" i="1"/>
  <c r="L778" i="1"/>
  <c r="H778" i="1"/>
  <c r="L340" i="1"/>
  <c r="J340" i="1"/>
  <c r="H340" i="1"/>
  <c r="L404" i="1"/>
  <c r="J404" i="1"/>
  <c r="H404" i="1"/>
  <c r="I404" i="1" s="1"/>
  <c r="L500" i="1"/>
  <c r="J500" i="1"/>
  <c r="H500" i="1"/>
  <c r="L612" i="1"/>
  <c r="J612" i="1"/>
  <c r="H612" i="1"/>
  <c r="I612" i="1" s="1"/>
  <c r="L746" i="1"/>
  <c r="J746" i="1"/>
  <c r="H746" i="1"/>
  <c r="I746" i="1" s="1"/>
  <c r="L860" i="1"/>
  <c r="J860" i="1"/>
  <c r="H860" i="1"/>
  <c r="L982" i="1"/>
  <c r="J982" i="1"/>
  <c r="H982" i="1"/>
  <c r="L1030" i="1"/>
  <c r="J1030" i="1"/>
  <c r="H1030" i="1"/>
  <c r="L283" i="1"/>
  <c r="J283" i="1"/>
  <c r="H283" i="1"/>
  <c r="J347" i="1"/>
  <c r="L347" i="1"/>
  <c r="H347" i="1"/>
  <c r="I347" i="1" s="1"/>
  <c r="J416" i="1"/>
  <c r="L416" i="1"/>
  <c r="H416" i="1"/>
  <c r="J480" i="1"/>
  <c r="L480" i="1"/>
  <c r="H480" i="1"/>
  <c r="L548" i="1"/>
  <c r="J548" i="1"/>
  <c r="H548" i="1"/>
  <c r="I548" i="1" s="1"/>
  <c r="J655" i="1"/>
  <c r="L655" i="1"/>
  <c r="H655" i="1"/>
  <c r="I655" i="1" s="1"/>
  <c r="J762" i="1"/>
  <c r="L762" i="1"/>
  <c r="H762" i="1"/>
  <c r="J858" i="1"/>
  <c r="L858" i="1"/>
  <c r="H858" i="1"/>
  <c r="J302" i="1"/>
  <c r="L302" i="1"/>
  <c r="H302" i="1"/>
  <c r="J366" i="1"/>
  <c r="L366" i="1"/>
  <c r="H366" i="1"/>
  <c r="I366" i="1" s="1"/>
  <c r="J421" i="1"/>
  <c r="L421" i="1"/>
  <c r="H421" i="1"/>
  <c r="L513" i="1"/>
  <c r="J513" i="1"/>
  <c r="H513" i="1"/>
  <c r="L574" i="1"/>
  <c r="J574" i="1"/>
  <c r="H574" i="1"/>
  <c r="I574" i="1" s="1"/>
  <c r="J684" i="1"/>
  <c r="L684" i="1"/>
  <c r="H684" i="1"/>
  <c r="I684" i="1" s="1"/>
  <c r="L889" i="1"/>
  <c r="J889" i="1"/>
  <c r="H889" i="1"/>
  <c r="I889" i="1" s="1"/>
  <c r="L241" i="1"/>
  <c r="J241" i="1"/>
  <c r="H241" i="1"/>
  <c r="L305" i="1"/>
  <c r="J305" i="1"/>
  <c r="H305" i="1"/>
  <c r="L369" i="1"/>
  <c r="J369" i="1"/>
  <c r="H369" i="1"/>
  <c r="I369" i="1" s="1"/>
  <c r="J431" i="1"/>
  <c r="L431" i="1"/>
  <c r="H431" i="1"/>
  <c r="L495" i="1"/>
  <c r="J495" i="1"/>
  <c r="H495" i="1"/>
  <c r="L588" i="1"/>
  <c r="J588" i="1"/>
  <c r="H588" i="1"/>
  <c r="I588" i="1" s="1"/>
  <c r="J701" i="1"/>
  <c r="L701" i="1"/>
  <c r="H701" i="1"/>
  <c r="L760" i="1"/>
  <c r="J760" i="1"/>
  <c r="H760" i="1"/>
  <c r="L919" i="1"/>
  <c r="J919" i="1"/>
  <c r="H919" i="1"/>
  <c r="L943" i="1"/>
  <c r="J943" i="1"/>
  <c r="H943" i="1"/>
  <c r="I943" i="1" s="1"/>
  <c r="J533" i="1"/>
  <c r="L533" i="1"/>
  <c r="H533" i="1"/>
  <c r="I533" i="1" s="1"/>
  <c r="L597" i="1"/>
  <c r="J597" i="1"/>
  <c r="H597" i="1"/>
  <c r="L661" i="1"/>
  <c r="J661" i="1"/>
  <c r="H661" i="1"/>
  <c r="L740" i="1"/>
  <c r="J740" i="1"/>
  <c r="H740" i="1"/>
  <c r="I740" i="1" s="1"/>
  <c r="J818" i="1"/>
  <c r="L818" i="1"/>
  <c r="H818" i="1"/>
  <c r="I818" i="1" s="1"/>
  <c r="L895" i="1"/>
  <c r="J895" i="1"/>
  <c r="H895" i="1"/>
  <c r="I895" i="1" s="1"/>
  <c r="L1045" i="1"/>
  <c r="J1045" i="1"/>
  <c r="H1045" i="1"/>
  <c r="L608" i="1"/>
  <c r="J608" i="1"/>
  <c r="H608" i="1"/>
  <c r="I608" i="1" s="1"/>
  <c r="L667" i="1"/>
  <c r="J667" i="1"/>
  <c r="H667" i="1"/>
  <c r="I667" i="1" s="1"/>
  <c r="J731" i="1"/>
  <c r="L731" i="1"/>
  <c r="H731" i="1"/>
  <c r="L924" i="1"/>
  <c r="J924" i="1"/>
  <c r="H924" i="1"/>
  <c r="L419" i="1"/>
  <c r="J419" i="1"/>
  <c r="H419" i="1"/>
  <c r="I419" i="1" s="1"/>
  <c r="L483" i="1"/>
  <c r="J483" i="1"/>
  <c r="H483" i="1"/>
  <c r="J547" i="1"/>
  <c r="L547" i="1"/>
  <c r="H547" i="1"/>
  <c r="J611" i="1"/>
  <c r="L611" i="1"/>
  <c r="H611" i="1"/>
  <c r="J672" i="1"/>
  <c r="L672" i="1"/>
  <c r="H672" i="1"/>
  <c r="L764" i="1"/>
  <c r="J764" i="1"/>
  <c r="H764" i="1"/>
  <c r="I764" i="1" s="1"/>
  <c r="L807" i="1"/>
  <c r="J807" i="1"/>
  <c r="H807" i="1"/>
  <c r="J853" i="1"/>
  <c r="L853" i="1"/>
  <c r="H853" i="1"/>
  <c r="L932" i="1"/>
  <c r="J932" i="1"/>
  <c r="H932" i="1"/>
  <c r="I932" i="1" s="1"/>
  <c r="L905" i="1"/>
  <c r="J905" i="1"/>
  <c r="H905" i="1"/>
  <c r="I905" i="1" s="1"/>
  <c r="L963" i="1"/>
  <c r="J963" i="1"/>
  <c r="H963" i="1"/>
  <c r="I963" i="1" s="1"/>
  <c r="L1053" i="1"/>
  <c r="J1053" i="1"/>
  <c r="H1053" i="1"/>
  <c r="J912" i="1"/>
  <c r="L912" i="1"/>
  <c r="H912" i="1"/>
  <c r="L997" i="1"/>
  <c r="J997" i="1"/>
  <c r="H997" i="1"/>
  <c r="I997" i="1" s="1"/>
  <c r="J771" i="1"/>
  <c r="L771" i="1"/>
  <c r="H771" i="1"/>
  <c r="J835" i="1"/>
  <c r="L835" i="1"/>
  <c r="H835" i="1"/>
  <c r="J899" i="1"/>
  <c r="L899" i="1"/>
  <c r="H899" i="1"/>
  <c r="J971" i="1"/>
  <c r="L971" i="1"/>
  <c r="H971" i="1"/>
  <c r="I971" i="1" s="1"/>
  <c r="L1039" i="1"/>
  <c r="J1039" i="1"/>
  <c r="H1039" i="1"/>
  <c r="J702" i="1"/>
  <c r="L702" i="1"/>
  <c r="H702" i="1"/>
  <c r="L766" i="1"/>
  <c r="J766" i="1"/>
  <c r="H766" i="1"/>
  <c r="I766" i="1" s="1"/>
  <c r="L830" i="1"/>
  <c r="J830" i="1"/>
  <c r="H830" i="1"/>
  <c r="I830" i="1" s="1"/>
  <c r="J894" i="1"/>
  <c r="L894" i="1"/>
  <c r="H894" i="1"/>
  <c r="L958" i="1"/>
  <c r="J958" i="1"/>
  <c r="H958" i="1"/>
  <c r="I958" i="1" s="1"/>
  <c r="L964" i="1"/>
  <c r="J964" i="1"/>
  <c r="H964" i="1"/>
  <c r="I964" i="1" s="1"/>
  <c r="L1028" i="1"/>
  <c r="J1028" i="1"/>
  <c r="H1028" i="1"/>
  <c r="I1028" i="1" s="1"/>
  <c r="L977" i="1"/>
  <c r="J977" i="1"/>
  <c r="H977" i="1"/>
  <c r="L1041" i="1"/>
  <c r="J1041" i="1"/>
  <c r="H1041" i="1"/>
  <c r="K122" i="1"/>
  <c r="E122" i="1"/>
  <c r="K163" i="1"/>
  <c r="E163" i="1"/>
  <c r="F163" i="1" s="1"/>
  <c r="K441" i="1"/>
  <c r="E441" i="1"/>
  <c r="F441" i="1" s="1"/>
  <c r="K957" i="1"/>
  <c r="E957" i="1"/>
  <c r="F957" i="1" s="1"/>
  <c r="K903" i="1"/>
  <c r="E903" i="1"/>
  <c r="F903" i="1" s="1"/>
  <c r="K874" i="2"/>
  <c r="E874" i="2"/>
  <c r="F874" i="2" s="1"/>
  <c r="K152" i="2"/>
  <c r="E152" i="2"/>
  <c r="F152" i="2" s="1"/>
  <c r="K597" i="2"/>
  <c r="E597" i="2"/>
  <c r="K1034" i="2"/>
  <c r="E1034" i="2"/>
  <c r="L140" i="1"/>
  <c r="J140" i="1"/>
  <c r="H140" i="1"/>
  <c r="I140" i="1" s="1"/>
  <c r="J235" i="1"/>
  <c r="L235" i="1"/>
  <c r="H235" i="1"/>
  <c r="J67" i="1"/>
  <c r="L67" i="1"/>
  <c r="H67" i="1"/>
  <c r="J797" i="1"/>
  <c r="L797" i="1"/>
  <c r="H797" i="1"/>
  <c r="I797" i="1" s="1"/>
  <c r="L413" i="1"/>
  <c r="J413" i="1"/>
  <c r="H413" i="1"/>
  <c r="L505" i="1"/>
  <c r="J505" i="1"/>
  <c r="H505" i="1"/>
  <c r="L622" i="1"/>
  <c r="J622" i="1"/>
  <c r="H622" i="1"/>
  <c r="J748" i="1"/>
  <c r="L748" i="1"/>
  <c r="H748" i="1"/>
  <c r="I748" i="1" s="1"/>
  <c r="J861" i="1"/>
  <c r="L861" i="1"/>
  <c r="H861" i="1"/>
  <c r="J1027" i="1"/>
  <c r="L1027" i="1"/>
  <c r="H1027" i="1"/>
  <c r="I1027" i="1" s="1"/>
  <c r="L927" i="1"/>
  <c r="J927" i="1"/>
  <c r="H927" i="1"/>
  <c r="I927" i="1" s="1"/>
  <c r="J291" i="1"/>
  <c r="L291" i="1"/>
  <c r="H291" i="1"/>
  <c r="I291" i="1" s="1"/>
  <c r="J355" i="1"/>
  <c r="L355" i="1"/>
  <c r="H355" i="1"/>
  <c r="I355" i="1" s="1"/>
  <c r="J430" i="1"/>
  <c r="L430" i="1"/>
  <c r="H430" i="1"/>
  <c r="J494" i="1"/>
  <c r="L494" i="1"/>
  <c r="H494" i="1"/>
  <c r="I494" i="1" s="1"/>
  <c r="L550" i="1"/>
  <c r="J550" i="1"/>
  <c r="H550" i="1"/>
  <c r="I550" i="1" s="1"/>
  <c r="L665" i="1"/>
  <c r="J665" i="1"/>
  <c r="H665" i="1"/>
  <c r="L767" i="1"/>
  <c r="J767" i="1"/>
  <c r="H767" i="1"/>
  <c r="J869" i="1"/>
  <c r="L869" i="1"/>
  <c r="H869" i="1"/>
  <c r="L310" i="1"/>
  <c r="J310" i="1"/>
  <c r="H310" i="1"/>
  <c r="I310" i="1" s="1"/>
  <c r="L444" i="1"/>
  <c r="J444" i="1"/>
  <c r="H444" i="1"/>
  <c r="J517" i="1"/>
  <c r="L517" i="1"/>
  <c r="H517" i="1"/>
  <c r="J602" i="1"/>
  <c r="L602" i="1"/>
  <c r="H602" i="1"/>
  <c r="I602" i="1" s="1"/>
  <c r="J757" i="1"/>
  <c r="L757" i="1"/>
  <c r="H757" i="1"/>
  <c r="I757" i="1" s="1"/>
  <c r="L965" i="1"/>
  <c r="J965" i="1"/>
  <c r="H965" i="1"/>
  <c r="J249" i="1"/>
  <c r="L249" i="1"/>
  <c r="H249" i="1"/>
  <c r="J313" i="1"/>
  <c r="L313" i="1"/>
  <c r="H313" i="1"/>
  <c r="I313" i="1" s="1"/>
  <c r="L377" i="1"/>
  <c r="J377" i="1"/>
  <c r="H377" i="1"/>
  <c r="L440" i="1"/>
  <c r="J440" i="1"/>
  <c r="H440" i="1"/>
  <c r="L504" i="1"/>
  <c r="J504" i="1"/>
  <c r="H504" i="1"/>
  <c r="L598" i="1"/>
  <c r="J598" i="1"/>
  <c r="H598" i="1"/>
  <c r="I598" i="1" s="1"/>
  <c r="L705" i="1"/>
  <c r="J705" i="1"/>
  <c r="H705" i="1"/>
  <c r="I705" i="1" s="1"/>
  <c r="L812" i="1"/>
  <c r="J812" i="1"/>
  <c r="H812" i="1"/>
  <c r="I812" i="1" s="1"/>
  <c r="J1043" i="1"/>
  <c r="L1043" i="1"/>
  <c r="H1043" i="1"/>
  <c r="J968" i="1"/>
  <c r="L968" i="1"/>
  <c r="H968" i="1"/>
  <c r="I968" i="1" s="1"/>
  <c r="L541" i="1"/>
  <c r="J541" i="1"/>
  <c r="H541" i="1"/>
  <c r="I541" i="1" s="1"/>
  <c r="L605" i="1"/>
  <c r="J605" i="1"/>
  <c r="H605" i="1"/>
  <c r="I605" i="1" s="1"/>
  <c r="L671" i="1"/>
  <c r="J671" i="1"/>
  <c r="H671" i="1"/>
  <c r="J744" i="1"/>
  <c r="L744" i="1"/>
  <c r="H744" i="1"/>
  <c r="I744" i="1" s="1"/>
  <c r="L820" i="1"/>
  <c r="J820" i="1"/>
  <c r="H820" i="1"/>
  <c r="I820" i="1" s="1"/>
  <c r="J909" i="1"/>
  <c r="L909" i="1"/>
  <c r="H909" i="1"/>
  <c r="I909" i="1" s="1"/>
  <c r="J552" i="1"/>
  <c r="L552" i="1"/>
  <c r="H552" i="1"/>
  <c r="J616" i="1"/>
  <c r="L616" i="1"/>
  <c r="H616" i="1"/>
  <c r="L681" i="1"/>
  <c r="J681" i="1"/>
  <c r="H681" i="1"/>
  <c r="I681" i="1" s="1"/>
  <c r="L745" i="1"/>
  <c r="J745" i="1"/>
  <c r="H745" i="1"/>
  <c r="J938" i="1"/>
  <c r="L938" i="1"/>
  <c r="H938" i="1"/>
  <c r="I938" i="1" s="1"/>
  <c r="L427" i="1"/>
  <c r="J427" i="1"/>
  <c r="H427" i="1"/>
  <c r="I427" i="1" s="1"/>
  <c r="L491" i="1"/>
  <c r="J491" i="1"/>
  <c r="H491" i="1"/>
  <c r="I491" i="1" s="1"/>
  <c r="L555" i="1"/>
  <c r="J555" i="1"/>
  <c r="H555" i="1"/>
  <c r="I555" i="1" s="1"/>
  <c r="L619" i="1"/>
  <c r="J619" i="1"/>
  <c r="H619" i="1"/>
  <c r="L695" i="1"/>
  <c r="J695" i="1"/>
  <c r="H695" i="1"/>
  <c r="I695" i="1" s="1"/>
  <c r="J773" i="1"/>
  <c r="L773" i="1"/>
  <c r="H773" i="1"/>
  <c r="I773" i="1" s="1"/>
  <c r="L809" i="1"/>
  <c r="J809" i="1"/>
  <c r="H809" i="1"/>
  <c r="L855" i="1"/>
  <c r="J855" i="1"/>
  <c r="H855" i="1"/>
  <c r="J946" i="1"/>
  <c r="L946" i="1"/>
  <c r="H946" i="1"/>
  <c r="I946" i="1" s="1"/>
  <c r="L913" i="1"/>
  <c r="J913" i="1"/>
  <c r="H913" i="1"/>
  <c r="I913" i="1" s="1"/>
  <c r="J987" i="1"/>
  <c r="L987" i="1"/>
  <c r="H987" i="1"/>
  <c r="I987" i="1" s="1"/>
  <c r="L1055" i="1"/>
  <c r="J1055" i="1"/>
  <c r="H1055" i="1"/>
  <c r="I1055" i="1" s="1"/>
  <c r="J920" i="1"/>
  <c r="L920" i="1"/>
  <c r="H920" i="1"/>
  <c r="I920" i="1" s="1"/>
  <c r="J999" i="1"/>
  <c r="L999" i="1"/>
  <c r="H999" i="1"/>
  <c r="I999" i="1" s="1"/>
  <c r="L779" i="1"/>
  <c r="J779" i="1"/>
  <c r="H779" i="1"/>
  <c r="I779" i="1" s="1"/>
  <c r="L843" i="1"/>
  <c r="J843" i="1"/>
  <c r="H843" i="1"/>
  <c r="I843" i="1" s="1"/>
  <c r="L907" i="1"/>
  <c r="J907" i="1"/>
  <c r="H907" i="1"/>
  <c r="I907" i="1" s="1"/>
  <c r="L973" i="1"/>
  <c r="J973" i="1"/>
  <c r="H973" i="1"/>
  <c r="J1048" i="1"/>
  <c r="L1048" i="1"/>
  <c r="H1048" i="1"/>
  <c r="L710" i="1"/>
  <c r="J710" i="1"/>
  <c r="H710" i="1"/>
  <c r="L774" i="1"/>
  <c r="J774" i="1"/>
  <c r="H774" i="1"/>
  <c r="J838" i="1"/>
  <c r="L838" i="1"/>
  <c r="H838" i="1"/>
  <c r="I838" i="1" s="1"/>
  <c r="L902" i="1"/>
  <c r="J902" i="1"/>
  <c r="H902" i="1"/>
  <c r="I902" i="1" s="1"/>
  <c r="J974" i="1"/>
  <c r="L974" i="1"/>
  <c r="H974" i="1"/>
  <c r="J972" i="1"/>
  <c r="L972" i="1"/>
  <c r="H972" i="1"/>
  <c r="I972" i="1" s="1"/>
  <c r="J1036" i="1"/>
  <c r="L1036" i="1"/>
  <c r="H1036" i="1"/>
  <c r="I1036" i="1" s="1"/>
  <c r="J985" i="1"/>
  <c r="L985" i="1"/>
  <c r="H985" i="1"/>
  <c r="I985" i="1" s="1"/>
  <c r="J1049" i="1"/>
  <c r="L1049" i="1"/>
  <c r="H1049" i="1"/>
  <c r="K245" i="1"/>
  <c r="E245" i="1"/>
  <c r="F245" i="1" s="1"/>
  <c r="K82" i="1"/>
  <c r="E82" i="1"/>
  <c r="F82" i="1" s="1"/>
  <c r="K390" i="1"/>
  <c r="E390" i="1"/>
  <c r="F390" i="1" s="1"/>
  <c r="K326" i="1"/>
  <c r="E326" i="1"/>
  <c r="F326" i="1" s="1"/>
  <c r="K95" i="1"/>
  <c r="E95" i="1"/>
  <c r="F95" i="1" s="1"/>
  <c r="K463" i="1"/>
  <c r="E463" i="1"/>
  <c r="K866" i="1"/>
  <c r="E866" i="1"/>
  <c r="F866" i="1" s="1"/>
  <c r="K734" i="1"/>
  <c r="E734" i="1"/>
  <c r="F734" i="1" s="1"/>
  <c r="K909" i="1"/>
  <c r="E909" i="1"/>
  <c r="K209" i="1"/>
  <c r="E209" i="1"/>
  <c r="K448" i="1"/>
  <c r="E448" i="1"/>
  <c r="F448" i="1" s="1"/>
  <c r="K110" i="1"/>
  <c r="E110" i="1"/>
  <c r="K279" i="1"/>
  <c r="E279" i="1"/>
  <c r="K640" i="1"/>
  <c r="E640" i="1"/>
  <c r="K406" i="1"/>
  <c r="E406" i="1"/>
  <c r="F406" i="1" s="1"/>
  <c r="K323" i="1"/>
  <c r="E323" i="1"/>
  <c r="F323" i="1" s="1"/>
  <c r="K387" i="1"/>
  <c r="E387" i="1"/>
  <c r="F387" i="1" s="1"/>
  <c r="K101" i="1"/>
  <c r="E101" i="1"/>
  <c r="F101" i="1" s="1"/>
  <c r="K160" i="1"/>
  <c r="E160" i="1"/>
  <c r="F160" i="1" s="1"/>
  <c r="K267" i="1"/>
  <c r="E267" i="1"/>
  <c r="F267" i="1" s="1"/>
  <c r="K168" i="1"/>
  <c r="E168" i="1"/>
  <c r="F168" i="1" s="1"/>
  <c r="K355" i="1"/>
  <c r="E355" i="1"/>
  <c r="F355" i="1" s="1"/>
  <c r="K562" i="1"/>
  <c r="E562" i="1"/>
  <c r="F562" i="1" s="1"/>
  <c r="K175" i="1"/>
  <c r="E175" i="1"/>
  <c r="K761" i="1"/>
  <c r="E761" i="1"/>
  <c r="F761" i="1" s="1"/>
  <c r="K495" i="1"/>
  <c r="E495" i="1"/>
  <c r="F495" i="1" s="1"/>
  <c r="K521" i="1"/>
  <c r="E521" i="1"/>
  <c r="F521" i="1" s="1"/>
  <c r="K867" i="1"/>
  <c r="E867" i="1"/>
  <c r="K166" i="1"/>
  <c r="E166" i="1"/>
  <c r="F166" i="1" s="1"/>
  <c r="K277" i="1"/>
  <c r="E277" i="1"/>
  <c r="K461" i="1"/>
  <c r="E461" i="1"/>
  <c r="F461" i="1" s="1"/>
  <c r="K83" i="1"/>
  <c r="E83" i="1"/>
  <c r="K73" i="1"/>
  <c r="E73" i="1"/>
  <c r="F73" i="1" s="1"/>
  <c r="K201" i="1"/>
  <c r="E201" i="1"/>
  <c r="F201" i="1" s="1"/>
  <c r="K552" i="1"/>
  <c r="E552" i="1"/>
  <c r="F552" i="1" s="1"/>
  <c r="K76" i="1"/>
  <c r="E76" i="1"/>
  <c r="K204" i="1"/>
  <c r="E204" i="1"/>
  <c r="K342" i="1"/>
  <c r="E342" i="1"/>
  <c r="F342" i="1" s="1"/>
  <c r="K421" i="1"/>
  <c r="E421" i="1"/>
  <c r="F421" i="1" s="1"/>
  <c r="K333" i="1"/>
  <c r="E333" i="1"/>
  <c r="F333" i="1" s="1"/>
  <c r="K506" i="1"/>
  <c r="E506" i="1"/>
  <c r="F506" i="1" s="1"/>
  <c r="K694" i="1"/>
  <c r="E694" i="1"/>
  <c r="F694" i="1" s="1"/>
  <c r="K968" i="1"/>
  <c r="E968" i="1"/>
  <c r="F968" i="1" s="1"/>
  <c r="K268" i="1"/>
  <c r="E268" i="1"/>
  <c r="F268" i="1" s="1"/>
  <c r="K396" i="1"/>
  <c r="E396" i="1"/>
  <c r="F396" i="1" s="1"/>
  <c r="K650" i="1"/>
  <c r="E650" i="1"/>
  <c r="F650" i="1" s="1"/>
  <c r="K923" i="1"/>
  <c r="E923" i="1"/>
  <c r="F923" i="1" s="1"/>
  <c r="K319" i="1"/>
  <c r="E319" i="1"/>
  <c r="F319" i="1" s="1"/>
  <c r="K491" i="1"/>
  <c r="E491" i="1"/>
  <c r="F491" i="1" s="1"/>
  <c r="K676" i="1"/>
  <c r="E676" i="1"/>
  <c r="K210" i="1"/>
  <c r="E210" i="1"/>
  <c r="F210" i="1" s="1"/>
  <c r="K402" i="1"/>
  <c r="E402" i="1"/>
  <c r="K634" i="1"/>
  <c r="E634" i="1"/>
  <c r="F634" i="1" s="1"/>
  <c r="K984" i="1"/>
  <c r="E984" i="1"/>
  <c r="F984" i="1" s="1"/>
  <c r="K542" i="1"/>
  <c r="E542" i="1"/>
  <c r="F542" i="1" s="1"/>
  <c r="K668" i="1"/>
  <c r="E668" i="1"/>
  <c r="K774" i="1"/>
  <c r="E774" i="1"/>
  <c r="F774" i="1" s="1"/>
  <c r="K561" i="1"/>
  <c r="E561" i="1"/>
  <c r="K705" i="1"/>
  <c r="E705" i="1"/>
  <c r="K869" i="1"/>
  <c r="E869" i="1"/>
  <c r="K436" i="1"/>
  <c r="E436" i="1"/>
  <c r="K564" i="1"/>
  <c r="E564" i="1"/>
  <c r="F564" i="1" s="1"/>
  <c r="K683" i="1"/>
  <c r="E683" i="1"/>
  <c r="F683" i="1" s="1"/>
  <c r="K996" i="1"/>
  <c r="E996" i="1"/>
  <c r="F996" i="1" s="1"/>
  <c r="K1006" i="1"/>
  <c r="E1006" i="1"/>
  <c r="F1006" i="1" s="1"/>
  <c r="K1051" i="1"/>
  <c r="E1051" i="1"/>
  <c r="F1051" i="1" s="1"/>
  <c r="K1013" i="1"/>
  <c r="E1013" i="1"/>
  <c r="K139" i="2"/>
  <c r="E139" i="2"/>
  <c r="K74" i="2"/>
  <c r="E74" i="2"/>
  <c r="K281" i="2"/>
  <c r="E281" i="2"/>
  <c r="K95" i="2"/>
  <c r="E95" i="2"/>
  <c r="F95" i="2" s="1"/>
  <c r="K86" i="2"/>
  <c r="E86" i="2"/>
  <c r="F86" i="2" s="1"/>
  <c r="K456" i="2"/>
  <c r="E456" i="2"/>
  <c r="F456" i="2" s="1"/>
  <c r="K132" i="2"/>
  <c r="E132" i="2"/>
  <c r="K556" i="2"/>
  <c r="E556" i="2"/>
  <c r="F556" i="2" s="1"/>
  <c r="K376" i="2"/>
  <c r="E376" i="2"/>
  <c r="K670" i="2"/>
  <c r="E670" i="2"/>
  <c r="F670" i="2" s="1"/>
  <c r="K399" i="2"/>
  <c r="E399" i="2"/>
  <c r="K373" i="2"/>
  <c r="E373" i="2"/>
  <c r="F373" i="2" s="1"/>
  <c r="K342" i="2"/>
  <c r="E342" i="2"/>
  <c r="K274" i="2"/>
  <c r="E274" i="2"/>
  <c r="K441" i="2"/>
  <c r="E441" i="2"/>
  <c r="F441" i="2" s="1"/>
  <c r="K446" i="2"/>
  <c r="E446" i="2"/>
  <c r="F446" i="2" s="1"/>
  <c r="K339" i="2"/>
  <c r="E339" i="2"/>
  <c r="F339" i="2" s="1"/>
  <c r="K503" i="2"/>
  <c r="E503" i="2"/>
  <c r="F503" i="2" s="1"/>
  <c r="K569" i="2"/>
  <c r="E569" i="2"/>
  <c r="K599" i="2"/>
  <c r="E599" i="2"/>
  <c r="F599" i="2" s="1"/>
  <c r="K837" i="2"/>
  <c r="E837" i="2"/>
  <c r="K713" i="2"/>
  <c r="E713" i="2"/>
  <c r="K594" i="2"/>
  <c r="E594" i="2"/>
  <c r="K526" i="2"/>
  <c r="E526" i="2"/>
  <c r="F526" i="2" s="1"/>
  <c r="K793" i="2"/>
  <c r="E793" i="2"/>
  <c r="F793" i="2" s="1"/>
  <c r="K622" i="2"/>
  <c r="E622" i="2"/>
  <c r="F622" i="2" s="1"/>
  <c r="K749" i="2"/>
  <c r="E749" i="2"/>
  <c r="K659" i="2"/>
  <c r="E659" i="2"/>
  <c r="F659" i="2" s="1"/>
  <c r="K501" i="2"/>
  <c r="E501" i="2"/>
  <c r="K648" i="2"/>
  <c r="E648" i="2"/>
  <c r="K560" i="2"/>
  <c r="E560" i="2"/>
  <c r="K678" i="2"/>
  <c r="E678" i="2"/>
  <c r="F678" i="2" s="1"/>
  <c r="K709" i="2"/>
  <c r="E709" i="2"/>
  <c r="K888" i="2"/>
  <c r="E888" i="2"/>
  <c r="F888" i="2" s="1"/>
  <c r="K776" i="2"/>
  <c r="E776" i="2"/>
  <c r="F776" i="2" s="1"/>
  <c r="K1051" i="2"/>
  <c r="E1051" i="2"/>
  <c r="F1051" i="2" s="1"/>
  <c r="K400" i="1"/>
  <c r="E400" i="1"/>
  <c r="F400" i="1" s="1"/>
  <c r="K157" i="1"/>
  <c r="E157" i="1"/>
  <c r="F157" i="1" s="1"/>
  <c r="K271" i="1"/>
  <c r="E271" i="1"/>
  <c r="F271" i="1" s="1"/>
  <c r="K146" i="1"/>
  <c r="E146" i="1"/>
  <c r="F146" i="1" s="1"/>
  <c r="K119" i="1"/>
  <c r="E119" i="1"/>
  <c r="F119" i="1" s="1"/>
  <c r="K785" i="1"/>
  <c r="E785" i="1"/>
  <c r="F785" i="1" s="1"/>
  <c r="K639" i="1"/>
  <c r="E639" i="1"/>
  <c r="K720" i="1"/>
  <c r="E720" i="1"/>
  <c r="F720" i="1" s="1"/>
  <c r="K174" i="1"/>
  <c r="E174" i="1"/>
  <c r="F174" i="1" s="1"/>
  <c r="K384" i="1"/>
  <c r="E384" i="1"/>
  <c r="F384" i="1" s="1"/>
  <c r="K219" i="1"/>
  <c r="E219" i="1"/>
  <c r="F219" i="1" s="1"/>
  <c r="K704" i="1"/>
  <c r="E704" i="1"/>
  <c r="F704" i="1" s="1"/>
  <c r="K148" i="1"/>
  <c r="E148" i="1"/>
  <c r="F148" i="1" s="1"/>
  <c r="K347" i="1"/>
  <c r="E347" i="1"/>
  <c r="F347" i="1" s="1"/>
  <c r="K763" i="1"/>
  <c r="E763" i="1"/>
  <c r="F763" i="1" s="1"/>
  <c r="K456" i="1"/>
  <c r="E456" i="1"/>
  <c r="F456" i="1" s="1"/>
  <c r="K837" i="1"/>
  <c r="E837" i="1"/>
  <c r="F837" i="1" s="1"/>
  <c r="K276" i="1"/>
  <c r="E276" i="1"/>
  <c r="F276" i="1" s="1"/>
  <c r="K518" i="1"/>
  <c r="E518" i="1"/>
  <c r="K953" i="1"/>
  <c r="E953" i="1"/>
  <c r="F953" i="1" s="1"/>
  <c r="K450" i="1"/>
  <c r="E450" i="1"/>
  <c r="K805" i="1"/>
  <c r="E805" i="1"/>
  <c r="K346" i="1"/>
  <c r="E346" i="1"/>
  <c r="K635" i="1"/>
  <c r="E635" i="1"/>
  <c r="F635" i="1" s="1"/>
  <c r="K550" i="1"/>
  <c r="E550" i="1"/>
  <c r="K723" i="1"/>
  <c r="E723" i="1"/>
  <c r="F723" i="1" s="1"/>
  <c r="K972" i="1"/>
  <c r="E972" i="1"/>
  <c r="K728" i="1"/>
  <c r="E728" i="1"/>
  <c r="F728" i="1" s="1"/>
  <c r="K444" i="1"/>
  <c r="E444" i="1"/>
  <c r="F444" i="1" s="1"/>
  <c r="K692" i="1"/>
  <c r="E692" i="1"/>
  <c r="K897" i="1"/>
  <c r="E897" i="1"/>
  <c r="K1034" i="1"/>
  <c r="E1034" i="1"/>
  <c r="F1034" i="1" s="1"/>
  <c r="K193" i="2"/>
  <c r="E193" i="2"/>
  <c r="F193" i="2" s="1"/>
  <c r="K130" i="2"/>
  <c r="E130" i="2"/>
  <c r="F130" i="2" s="1"/>
  <c r="K327" i="2"/>
  <c r="E327" i="2"/>
  <c r="F327" i="2" s="1"/>
  <c r="K265" i="2"/>
  <c r="E265" i="2"/>
  <c r="F265" i="2" s="1"/>
  <c r="K94" i="2"/>
  <c r="E94" i="2"/>
  <c r="F94" i="2" s="1"/>
  <c r="K73" i="2"/>
  <c r="E73" i="2"/>
  <c r="F73" i="2" s="1"/>
  <c r="K76" i="2"/>
  <c r="E76" i="2"/>
  <c r="F76" i="2" s="1"/>
  <c r="K286" i="2"/>
  <c r="E286" i="2"/>
  <c r="F286" i="2" s="1"/>
  <c r="K233" i="2"/>
  <c r="E233" i="2"/>
  <c r="F233" i="2" s="1"/>
  <c r="K353" i="2"/>
  <c r="E353" i="2"/>
  <c r="F353" i="2" s="1"/>
  <c r="K352" i="2"/>
  <c r="E352" i="2"/>
  <c r="K292" i="2"/>
  <c r="E292" i="2"/>
  <c r="F292" i="2" s="1"/>
  <c r="K287" i="2"/>
  <c r="E287" i="2"/>
  <c r="K218" i="2"/>
  <c r="E218" i="2"/>
  <c r="K385" i="2"/>
  <c r="E385" i="2"/>
  <c r="F385" i="2" s="1"/>
  <c r="K500" i="2"/>
  <c r="E500" i="2"/>
  <c r="F500" i="2" s="1"/>
  <c r="K347" i="2"/>
  <c r="E347" i="2"/>
  <c r="F347" i="2" s="1"/>
  <c r="K504" i="2"/>
  <c r="E504" i="2"/>
  <c r="F504" i="2" s="1"/>
  <c r="K537" i="2"/>
  <c r="E537" i="2"/>
  <c r="F537" i="2" s="1"/>
  <c r="K1048" i="2"/>
  <c r="E1048" i="2"/>
  <c r="F1048" i="2" s="1"/>
  <c r="K686" i="2"/>
  <c r="E686" i="2"/>
  <c r="K538" i="2"/>
  <c r="E538" i="2"/>
  <c r="F538" i="2" s="1"/>
  <c r="K821" i="2"/>
  <c r="E821" i="2"/>
  <c r="K854" i="2"/>
  <c r="E854" i="2"/>
  <c r="F854" i="2" s="1"/>
  <c r="K1059" i="2"/>
  <c r="E1059" i="2"/>
  <c r="L252" i="1"/>
  <c r="J252" i="1"/>
  <c r="H252" i="1"/>
  <c r="L863" i="1"/>
  <c r="J863" i="1"/>
  <c r="H863" i="1"/>
  <c r="I863" i="1" s="1"/>
  <c r="K230" i="1"/>
  <c r="E230" i="1"/>
  <c r="F230" i="1" s="1"/>
  <c r="K74" i="1"/>
  <c r="E74" i="1"/>
  <c r="F74" i="1" s="1"/>
  <c r="K313" i="1"/>
  <c r="E313" i="1"/>
  <c r="K409" i="1"/>
  <c r="E409" i="1"/>
  <c r="F409" i="1" s="1"/>
  <c r="K176" i="1"/>
  <c r="E176" i="1"/>
  <c r="F176" i="1" s="1"/>
  <c r="K189" i="1"/>
  <c r="E189" i="1"/>
  <c r="F189" i="1" s="1"/>
  <c r="K88" i="1"/>
  <c r="E88" i="1"/>
  <c r="K77" i="1"/>
  <c r="E77" i="1"/>
  <c r="F77" i="1" s="1"/>
  <c r="K194" i="1"/>
  <c r="E194" i="1"/>
  <c r="F194" i="1" s="1"/>
  <c r="K345" i="1"/>
  <c r="E345" i="1"/>
  <c r="K248" i="1"/>
  <c r="E248" i="1"/>
  <c r="F248" i="1" s="1"/>
  <c r="K93" i="1"/>
  <c r="E93" i="1"/>
  <c r="F93" i="1" s="1"/>
  <c r="K197" i="1"/>
  <c r="E197" i="1"/>
  <c r="F197" i="1" s="1"/>
  <c r="K257" i="1"/>
  <c r="E257" i="1"/>
  <c r="F257" i="1" s="1"/>
  <c r="K213" i="1"/>
  <c r="E213" i="1"/>
  <c r="K195" i="1"/>
  <c r="E195" i="1"/>
  <c r="F195" i="1" s="1"/>
  <c r="K79" i="1"/>
  <c r="E79" i="1"/>
  <c r="K143" i="1"/>
  <c r="E143" i="1"/>
  <c r="F143" i="1" s="1"/>
  <c r="K207" i="1"/>
  <c r="E207" i="1"/>
  <c r="K401" i="1"/>
  <c r="E401" i="1"/>
  <c r="F401" i="1" s="1"/>
  <c r="K592" i="1"/>
  <c r="E592" i="1"/>
  <c r="K877" i="1"/>
  <c r="E877" i="1"/>
  <c r="F877" i="1" s="1"/>
  <c r="K522" i="1"/>
  <c r="E522" i="1"/>
  <c r="K800" i="1"/>
  <c r="E800" i="1"/>
  <c r="F800" i="1" s="1"/>
  <c r="K551" i="1"/>
  <c r="E551" i="1"/>
  <c r="F551" i="1" s="1"/>
  <c r="K697" i="1"/>
  <c r="E697" i="1"/>
  <c r="F697" i="1" s="1"/>
  <c r="K449" i="1"/>
  <c r="E449" i="1"/>
  <c r="K591" i="1"/>
  <c r="E591" i="1"/>
  <c r="F591" i="1" s="1"/>
  <c r="K758" i="1"/>
  <c r="E758" i="1"/>
  <c r="F758" i="1" s="1"/>
  <c r="K814" i="1"/>
  <c r="E814" i="1"/>
  <c r="F814" i="1" s="1"/>
  <c r="K286" i="1"/>
  <c r="E286" i="1"/>
  <c r="K134" i="1"/>
  <c r="E134" i="1"/>
  <c r="F134" i="1" s="1"/>
  <c r="K198" i="1"/>
  <c r="E198" i="1"/>
  <c r="F198" i="1" s="1"/>
  <c r="K246" i="1"/>
  <c r="E246" i="1"/>
  <c r="F246" i="1" s="1"/>
  <c r="K334" i="1"/>
  <c r="E334" i="1"/>
  <c r="F334" i="1" s="1"/>
  <c r="K425" i="1"/>
  <c r="E425" i="1"/>
  <c r="F425" i="1" s="1"/>
  <c r="K517" i="1"/>
  <c r="E517" i="1"/>
  <c r="K830" i="1"/>
  <c r="E830" i="1"/>
  <c r="F830" i="1" s="1"/>
  <c r="K321" i="1"/>
  <c r="E321" i="1"/>
  <c r="K78" i="1"/>
  <c r="E78" i="1"/>
  <c r="F78" i="1" s="1"/>
  <c r="K105" i="1"/>
  <c r="E105" i="1"/>
  <c r="F105" i="1" s="1"/>
  <c r="K169" i="1"/>
  <c r="E169" i="1"/>
  <c r="F169" i="1" s="1"/>
  <c r="K260" i="1"/>
  <c r="E260" i="1"/>
  <c r="K431" i="1"/>
  <c r="E431" i="1"/>
  <c r="F431" i="1" s="1"/>
  <c r="K579" i="1"/>
  <c r="E579" i="1"/>
  <c r="F579" i="1" s="1"/>
  <c r="K770" i="1"/>
  <c r="E770" i="1"/>
  <c r="F770" i="1" s="1"/>
  <c r="K259" i="1"/>
  <c r="E259" i="1"/>
  <c r="F259" i="1" s="1"/>
  <c r="K108" i="1"/>
  <c r="E108" i="1"/>
  <c r="F108" i="1" s="1"/>
  <c r="K172" i="1"/>
  <c r="E172" i="1"/>
  <c r="K233" i="1"/>
  <c r="E233" i="1"/>
  <c r="F233" i="1" s="1"/>
  <c r="K296" i="1"/>
  <c r="E296" i="1"/>
  <c r="K379" i="1"/>
  <c r="E379" i="1"/>
  <c r="K490" i="1"/>
  <c r="E490" i="1"/>
  <c r="F490" i="1" s="1"/>
  <c r="K672" i="1"/>
  <c r="E672" i="1"/>
  <c r="F672" i="1" s="1"/>
  <c r="K301" i="1"/>
  <c r="E301" i="1"/>
  <c r="K365" i="1"/>
  <c r="E365" i="1"/>
  <c r="F365" i="1" s="1"/>
  <c r="K424" i="1"/>
  <c r="E424" i="1"/>
  <c r="K479" i="1"/>
  <c r="E479" i="1"/>
  <c r="F479" i="1" s="1"/>
  <c r="K529" i="1"/>
  <c r="E529" i="1"/>
  <c r="F529" i="1" s="1"/>
  <c r="K621" i="1"/>
  <c r="E621" i="1"/>
  <c r="F621" i="1" s="1"/>
  <c r="K753" i="1"/>
  <c r="E753" i="1"/>
  <c r="K917" i="1"/>
  <c r="E917" i="1"/>
  <c r="F917" i="1" s="1"/>
  <c r="K1032" i="1"/>
  <c r="E1032" i="1"/>
  <c r="F1032" i="1" s="1"/>
  <c r="K1011" i="1"/>
  <c r="E1011" i="1"/>
  <c r="F1011" i="1" s="1"/>
  <c r="K300" i="1"/>
  <c r="E300" i="1"/>
  <c r="F300" i="1" s="1"/>
  <c r="K364" i="1"/>
  <c r="E364" i="1"/>
  <c r="F364" i="1" s="1"/>
  <c r="K445" i="1"/>
  <c r="E445" i="1"/>
  <c r="F445" i="1" s="1"/>
  <c r="K587" i="1"/>
  <c r="E587" i="1"/>
  <c r="F587" i="1" s="1"/>
  <c r="K713" i="1"/>
  <c r="E713" i="1"/>
  <c r="F713" i="1" s="1"/>
  <c r="K817" i="1"/>
  <c r="E817" i="1"/>
  <c r="F817" i="1" s="1"/>
  <c r="K287" i="1"/>
  <c r="E287" i="1"/>
  <c r="F287" i="1" s="1"/>
  <c r="K351" i="1"/>
  <c r="E351" i="1"/>
  <c r="F351" i="1" s="1"/>
  <c r="K418" i="1"/>
  <c r="E418" i="1"/>
  <c r="F418" i="1" s="1"/>
  <c r="K464" i="1"/>
  <c r="E464" i="1"/>
  <c r="F464" i="1" s="1"/>
  <c r="K519" i="1"/>
  <c r="E519" i="1"/>
  <c r="F519" i="1" s="1"/>
  <c r="K611" i="1"/>
  <c r="E611" i="1"/>
  <c r="F611" i="1" s="1"/>
  <c r="K736" i="1"/>
  <c r="E736" i="1"/>
  <c r="F736" i="1" s="1"/>
  <c r="K936" i="1"/>
  <c r="E936" i="1"/>
  <c r="F936" i="1" s="1"/>
  <c r="K242" i="1"/>
  <c r="E242" i="1"/>
  <c r="F242" i="1" s="1"/>
  <c r="K306" i="1"/>
  <c r="E306" i="1"/>
  <c r="F306" i="1" s="1"/>
  <c r="K370" i="1"/>
  <c r="E370" i="1"/>
  <c r="F370" i="1" s="1"/>
  <c r="K446" i="1"/>
  <c r="E446" i="1"/>
  <c r="F446" i="1" s="1"/>
  <c r="K571" i="1"/>
  <c r="E571" i="1"/>
  <c r="K661" i="1"/>
  <c r="E661" i="1"/>
  <c r="K816" i="1"/>
  <c r="E816" i="1"/>
  <c r="K872" i="1"/>
  <c r="E872" i="1"/>
  <c r="K961" i="1"/>
  <c r="E961" i="1"/>
  <c r="K574" i="1"/>
  <c r="E574" i="1"/>
  <c r="F574" i="1" s="1"/>
  <c r="K638" i="1"/>
  <c r="E638" i="1"/>
  <c r="F638" i="1" s="1"/>
  <c r="K691" i="1"/>
  <c r="E691" i="1"/>
  <c r="F691" i="1" s="1"/>
  <c r="K746" i="1"/>
  <c r="E746" i="1"/>
  <c r="F746" i="1" s="1"/>
  <c r="K806" i="1"/>
  <c r="E806" i="1"/>
  <c r="F806" i="1" s="1"/>
  <c r="K899" i="1"/>
  <c r="E899" i="1"/>
  <c r="K1007" i="1"/>
  <c r="E1007" i="1"/>
  <c r="F1007" i="1" s="1"/>
  <c r="K593" i="1"/>
  <c r="E593" i="1"/>
  <c r="K657" i="1"/>
  <c r="E657" i="1"/>
  <c r="F657" i="1" s="1"/>
  <c r="K777" i="1"/>
  <c r="E777" i="1"/>
  <c r="K841" i="1"/>
  <c r="E841" i="1"/>
  <c r="F841" i="1" s="1"/>
  <c r="K891" i="1"/>
  <c r="E891" i="1"/>
  <c r="K1044" i="1"/>
  <c r="E1044" i="1"/>
  <c r="F1044" i="1" s="1"/>
  <c r="K468" i="1"/>
  <c r="E468" i="1"/>
  <c r="F468" i="1" s="1"/>
  <c r="K532" i="1"/>
  <c r="E532" i="1"/>
  <c r="F532" i="1" s="1"/>
  <c r="K596" i="1"/>
  <c r="E596" i="1"/>
  <c r="K660" i="1"/>
  <c r="E660" i="1"/>
  <c r="F660" i="1" s="1"/>
  <c r="K710" i="1"/>
  <c r="E710" i="1"/>
  <c r="F710" i="1" s="1"/>
  <c r="K765" i="1"/>
  <c r="E765" i="1"/>
  <c r="F765" i="1" s="1"/>
  <c r="K928" i="1"/>
  <c r="E928" i="1"/>
  <c r="K898" i="1"/>
  <c r="E898" i="1"/>
  <c r="F898" i="1" s="1"/>
  <c r="K967" i="1"/>
  <c r="E967" i="1"/>
  <c r="K1056" i="1"/>
  <c r="E1056" i="1"/>
  <c r="F1056" i="1" s="1"/>
  <c r="K921" i="1"/>
  <c r="E921" i="1"/>
  <c r="K1012" i="1"/>
  <c r="E1012" i="1"/>
  <c r="F1012" i="1" s="1"/>
  <c r="K788" i="1"/>
  <c r="E788" i="1"/>
  <c r="K852" i="1"/>
  <c r="E852" i="1"/>
  <c r="F852" i="1" s="1"/>
  <c r="K916" i="1"/>
  <c r="E916" i="1"/>
  <c r="K990" i="1"/>
  <c r="E990" i="1"/>
  <c r="F990" i="1" s="1"/>
  <c r="K679" i="1"/>
  <c r="E679" i="1"/>
  <c r="F679" i="1" s="1"/>
  <c r="K743" i="1"/>
  <c r="E743" i="1"/>
  <c r="F743" i="1" s="1"/>
  <c r="K807" i="1"/>
  <c r="E807" i="1"/>
  <c r="K871" i="1"/>
  <c r="E871" i="1"/>
  <c r="F871" i="1" s="1"/>
  <c r="K935" i="1"/>
  <c r="E935" i="1"/>
  <c r="K1003" i="1"/>
  <c r="E1003" i="1"/>
  <c r="K981" i="1"/>
  <c r="E981" i="1"/>
  <c r="F981" i="1" s="1"/>
  <c r="K1045" i="1"/>
  <c r="E1045" i="1"/>
  <c r="F1045" i="1" s="1"/>
  <c r="K994" i="1"/>
  <c r="E994" i="1"/>
  <c r="F994" i="1" s="1"/>
  <c r="K1058" i="1"/>
  <c r="E1058" i="1"/>
  <c r="F1058" i="1" s="1"/>
  <c r="K122" i="2"/>
  <c r="E122" i="2"/>
  <c r="F122" i="2" s="1"/>
  <c r="K256" i="2"/>
  <c r="E256" i="2"/>
  <c r="F256" i="2" s="1"/>
  <c r="K67" i="2"/>
  <c r="E67" i="2"/>
  <c r="F67" i="2" s="1"/>
  <c r="K147" i="2"/>
  <c r="E147" i="2"/>
  <c r="F147" i="2" s="1"/>
  <c r="K283" i="2"/>
  <c r="E283" i="2"/>
  <c r="K205" i="2"/>
  <c r="E205" i="2"/>
  <c r="F205" i="2" s="1"/>
  <c r="K69" i="2"/>
  <c r="E69" i="2"/>
  <c r="F69" i="2" s="1"/>
  <c r="K195" i="2"/>
  <c r="E195" i="2"/>
  <c r="K98" i="2"/>
  <c r="E98" i="2"/>
  <c r="K203" i="2"/>
  <c r="E203" i="2"/>
  <c r="F203" i="2" s="1"/>
  <c r="K136" i="2"/>
  <c r="E136" i="2"/>
  <c r="K447" i="2"/>
  <c r="E447" i="2"/>
  <c r="K127" i="2"/>
  <c r="E127" i="2"/>
  <c r="F127" i="2" s="1"/>
  <c r="K201" i="2"/>
  <c r="E201" i="2"/>
  <c r="F201" i="2" s="1"/>
  <c r="K646" i="2"/>
  <c r="E646" i="2"/>
  <c r="F646" i="2" s="1"/>
  <c r="K118" i="2"/>
  <c r="E118" i="2"/>
  <c r="F118" i="2" s="1"/>
  <c r="K174" i="2"/>
  <c r="E174" i="2"/>
  <c r="F174" i="2" s="1"/>
  <c r="K349" i="2"/>
  <c r="E349" i="2"/>
  <c r="F349" i="2" s="1"/>
  <c r="K97" i="2"/>
  <c r="E97" i="2"/>
  <c r="F97" i="2" s="1"/>
  <c r="K161" i="2"/>
  <c r="E161" i="2"/>
  <c r="F161" i="2" s="1"/>
  <c r="K340" i="2"/>
  <c r="E340" i="2"/>
  <c r="F340" i="2" s="1"/>
  <c r="K100" i="2"/>
  <c r="E100" i="2"/>
  <c r="F100" i="2" s="1"/>
  <c r="K163" i="2"/>
  <c r="E163" i="2"/>
  <c r="F163" i="2" s="1"/>
  <c r="K228" i="2"/>
  <c r="E228" i="2"/>
  <c r="F228" i="2" s="1"/>
  <c r="K453" i="2"/>
  <c r="E453" i="2"/>
  <c r="F453" i="2" s="1"/>
  <c r="K410" i="2"/>
  <c r="E410" i="2"/>
  <c r="F410" i="2" s="1"/>
  <c r="K246" i="2"/>
  <c r="E246" i="2"/>
  <c r="F246" i="2" s="1"/>
  <c r="K357" i="2"/>
  <c r="E357" i="2"/>
  <c r="F357" i="2" s="1"/>
  <c r="K288" i="2"/>
  <c r="E288" i="2"/>
  <c r="F288" i="2" s="1"/>
  <c r="K157" i="2"/>
  <c r="E157" i="2"/>
  <c r="F157" i="2" s="1"/>
  <c r="K275" i="2"/>
  <c r="E275" i="2"/>
  <c r="K422" i="2"/>
  <c r="E422" i="2"/>
  <c r="F422" i="2" s="1"/>
  <c r="K261" i="2"/>
  <c r="E261" i="2"/>
  <c r="K320" i="2"/>
  <c r="E320" i="2"/>
  <c r="F320" i="2" s="1"/>
  <c r="K370" i="2"/>
  <c r="E370" i="2"/>
  <c r="K463" i="2"/>
  <c r="E463" i="2"/>
  <c r="K252" i="2"/>
  <c r="E252" i="2"/>
  <c r="K316" i="2"/>
  <c r="E316" i="2"/>
  <c r="F316" i="2" s="1"/>
  <c r="K442" i="2"/>
  <c r="E442" i="2"/>
  <c r="F442" i="2" s="1"/>
  <c r="K247" i="2"/>
  <c r="E247" i="2"/>
  <c r="F247" i="2" s="1"/>
  <c r="K311" i="2"/>
  <c r="E311" i="2"/>
  <c r="K369" i="2"/>
  <c r="E369" i="2"/>
  <c r="F369" i="2" s="1"/>
  <c r="K178" i="2"/>
  <c r="E178" i="2"/>
  <c r="K242" i="2"/>
  <c r="E242" i="2"/>
  <c r="F242" i="2" s="1"/>
  <c r="K306" i="2"/>
  <c r="E306" i="2"/>
  <c r="K454" i="2"/>
  <c r="E454" i="2"/>
  <c r="F454" i="2" s="1"/>
  <c r="K409" i="2"/>
  <c r="E409" i="2"/>
  <c r="F409" i="2" s="1"/>
  <c r="K570" i="2"/>
  <c r="E570" i="2"/>
  <c r="F570" i="2" s="1"/>
  <c r="K421" i="2"/>
  <c r="E421" i="2"/>
  <c r="K559" i="2"/>
  <c r="E559" i="2"/>
  <c r="F559" i="2" s="1"/>
  <c r="K416" i="2"/>
  <c r="E416" i="2"/>
  <c r="F416" i="2" s="1"/>
  <c r="K474" i="2"/>
  <c r="E474" i="2"/>
  <c r="F474" i="2" s="1"/>
  <c r="K664" i="2"/>
  <c r="E664" i="2"/>
  <c r="K371" i="2"/>
  <c r="E371" i="2"/>
  <c r="F371" i="2" s="1"/>
  <c r="K435" i="2"/>
  <c r="E435" i="2"/>
  <c r="F435" i="2" s="1"/>
  <c r="K585" i="2"/>
  <c r="E585" i="2"/>
  <c r="F585" i="2" s="1"/>
  <c r="K553" i="2"/>
  <c r="E553" i="2"/>
  <c r="F553" i="2" s="1"/>
  <c r="K518" i="2"/>
  <c r="E518" i="2"/>
  <c r="F518" i="2" s="1"/>
  <c r="K660" i="2"/>
  <c r="E660" i="2"/>
  <c r="K507" i="2"/>
  <c r="E507" i="2"/>
  <c r="K467" i="2"/>
  <c r="E467" i="2"/>
  <c r="K604" i="2"/>
  <c r="E604" i="2"/>
  <c r="F604" i="2" s="1"/>
  <c r="K726" i="2"/>
  <c r="E726" i="2"/>
  <c r="F726" i="2" s="1"/>
  <c r="K651" i="2"/>
  <c r="E651" i="2"/>
  <c r="F651" i="2" s="1"/>
  <c r="K767" i="2"/>
  <c r="E767" i="2"/>
  <c r="F767" i="2" s="1"/>
  <c r="K615" i="2"/>
  <c r="E615" i="2"/>
  <c r="F615" i="2" s="1"/>
  <c r="K562" i="2"/>
  <c r="E562" i="2"/>
  <c r="F562" i="2" s="1"/>
  <c r="K626" i="2"/>
  <c r="E626" i="2"/>
  <c r="F626" i="2" s="1"/>
  <c r="K755" i="2"/>
  <c r="E755" i="2"/>
  <c r="K580" i="2"/>
  <c r="E580" i="2"/>
  <c r="F580" i="2" s="1"/>
  <c r="K714" i="2"/>
  <c r="E714" i="2"/>
  <c r="K506" i="2"/>
  <c r="E506" i="2"/>
  <c r="F506" i="2" s="1"/>
  <c r="K558" i="2"/>
  <c r="E558" i="2"/>
  <c r="F558" i="2" s="1"/>
  <c r="K712" i="2"/>
  <c r="E712" i="2"/>
  <c r="F712" i="2" s="1"/>
  <c r="K593" i="2"/>
  <c r="E593" i="2"/>
  <c r="K689" i="2"/>
  <c r="E689" i="2"/>
  <c r="F689" i="2" s="1"/>
  <c r="K636" i="2"/>
  <c r="E636" i="2"/>
  <c r="K705" i="2"/>
  <c r="E705" i="2"/>
  <c r="F705" i="2" s="1"/>
  <c r="K875" i="2"/>
  <c r="E875" i="2"/>
  <c r="F875" i="2" s="1"/>
  <c r="K533" i="2"/>
  <c r="E533" i="2"/>
  <c r="F533" i="2" s="1"/>
  <c r="K699" i="2"/>
  <c r="E699" i="2"/>
  <c r="K829" i="2"/>
  <c r="E829" i="2"/>
  <c r="F829" i="2" s="1"/>
  <c r="K592" i="2"/>
  <c r="E592" i="2"/>
  <c r="F592" i="2" s="1"/>
  <c r="K653" i="2"/>
  <c r="E653" i="2"/>
  <c r="F653" i="2" s="1"/>
  <c r="K728" i="2"/>
  <c r="E728" i="2"/>
  <c r="F728" i="2" s="1"/>
  <c r="K1040" i="2"/>
  <c r="E1040" i="2"/>
  <c r="F1040" i="2" s="1"/>
  <c r="K742" i="2"/>
  <c r="E742" i="2"/>
  <c r="F742" i="2" s="1"/>
  <c r="K684" i="2"/>
  <c r="E684" i="2"/>
  <c r="F684" i="2" s="1"/>
  <c r="K762" i="2"/>
  <c r="E762" i="2"/>
  <c r="K631" i="2"/>
  <c r="E631" i="2"/>
  <c r="F631" i="2" s="1"/>
  <c r="K695" i="2"/>
  <c r="E695" i="2"/>
  <c r="K778" i="2"/>
  <c r="E778" i="2"/>
  <c r="K783" i="2"/>
  <c r="E783" i="2"/>
  <c r="K897" i="2"/>
  <c r="E897" i="2"/>
  <c r="F897" i="2" s="1"/>
  <c r="K815" i="2"/>
  <c r="E815" i="2"/>
  <c r="F815" i="2" s="1"/>
  <c r="K972" i="2"/>
  <c r="E972" i="2"/>
  <c r="F972" i="2" s="1"/>
  <c r="K772" i="2"/>
  <c r="E772" i="2"/>
  <c r="K822" i="2"/>
  <c r="E822" i="2"/>
  <c r="F822" i="2" s="1"/>
  <c r="K942" i="2"/>
  <c r="E942" i="2"/>
  <c r="F942" i="2" s="1"/>
  <c r="K937" i="2"/>
  <c r="E937" i="2"/>
  <c r="F937" i="2" s="1"/>
  <c r="K835" i="2"/>
  <c r="E835" i="2"/>
  <c r="K886" i="2"/>
  <c r="E886" i="2"/>
  <c r="F886" i="2" s="1"/>
  <c r="K1036" i="2"/>
  <c r="E1036" i="2"/>
  <c r="F1036" i="2" s="1"/>
  <c r="K869" i="2"/>
  <c r="E869" i="2"/>
  <c r="F869" i="2" s="1"/>
  <c r="K842" i="2"/>
  <c r="E842" i="2"/>
  <c r="K910" i="2"/>
  <c r="E910" i="2"/>
  <c r="F910" i="2" s="1"/>
  <c r="K849" i="2"/>
  <c r="E849" i="2"/>
  <c r="F849" i="2" s="1"/>
  <c r="K921" i="2"/>
  <c r="E921" i="2"/>
  <c r="K820" i="2"/>
  <c r="E820" i="2"/>
  <c r="K883" i="2"/>
  <c r="E883" i="2"/>
  <c r="F883" i="2" s="1"/>
  <c r="K990" i="2"/>
  <c r="E990" i="2"/>
  <c r="K892" i="2"/>
  <c r="E892" i="2"/>
  <c r="K948" i="2"/>
  <c r="E948" i="2"/>
  <c r="F948" i="2" s="1"/>
  <c r="K1020" i="2"/>
  <c r="E1020" i="2"/>
  <c r="F1020" i="2" s="1"/>
  <c r="K927" i="2"/>
  <c r="E927" i="2"/>
  <c r="K995" i="2"/>
  <c r="E995" i="2"/>
  <c r="F995" i="2" s="1"/>
  <c r="K987" i="2"/>
  <c r="E987" i="2"/>
  <c r="F987" i="2" s="1"/>
  <c r="K983" i="2"/>
  <c r="E983" i="2"/>
  <c r="F983" i="2" s="1"/>
  <c r="K1019" i="2"/>
  <c r="E1019" i="2"/>
  <c r="F1019" i="2" s="1"/>
  <c r="K1030" i="2"/>
  <c r="E1030" i="2"/>
  <c r="F1030" i="2" s="1"/>
  <c r="K1052" i="2"/>
  <c r="E1052" i="2"/>
  <c r="K1063" i="2"/>
  <c r="E1063" i="2"/>
  <c r="F1063" i="2" s="1"/>
  <c r="J397" i="1"/>
  <c r="L397" i="1"/>
  <c r="H397" i="1"/>
  <c r="J365" i="1"/>
  <c r="L365" i="1"/>
  <c r="H365" i="1"/>
  <c r="L433" i="1"/>
  <c r="J433" i="1"/>
  <c r="H433" i="1"/>
  <c r="I433" i="1" s="1"/>
  <c r="L335" i="1"/>
  <c r="J335" i="1"/>
  <c r="H335" i="1"/>
  <c r="I335" i="1" s="1"/>
  <c r="L295" i="1"/>
  <c r="J295" i="1"/>
  <c r="H295" i="1"/>
  <c r="I295" i="1" s="1"/>
  <c r="L266" i="1"/>
  <c r="J266" i="1"/>
  <c r="H266" i="1"/>
  <c r="I266" i="1" s="1"/>
  <c r="J95" i="1"/>
  <c r="L95" i="1"/>
  <c r="H95" i="1"/>
  <c r="I95" i="1" s="1"/>
  <c r="J137" i="1"/>
  <c r="L137" i="1"/>
  <c r="H137" i="1"/>
  <c r="I137" i="1" s="1"/>
  <c r="J175" i="1"/>
  <c r="L175" i="1"/>
  <c r="H175" i="1"/>
  <c r="I175" i="1" s="1"/>
  <c r="L204" i="1"/>
  <c r="J204" i="1"/>
  <c r="H204" i="1"/>
  <c r="L105" i="1"/>
  <c r="J105" i="1"/>
  <c r="H105" i="1"/>
  <c r="I105" i="1" s="1"/>
  <c r="L196" i="1"/>
  <c r="J196" i="1"/>
  <c r="H196" i="1"/>
  <c r="I196" i="1" s="1"/>
  <c r="L432" i="1"/>
  <c r="J432" i="1"/>
  <c r="H432" i="1"/>
  <c r="I432" i="1" s="1"/>
  <c r="J244" i="1"/>
  <c r="L244" i="1"/>
  <c r="H244" i="1"/>
  <c r="I244" i="1" s="1"/>
  <c r="L126" i="1"/>
  <c r="J126" i="1"/>
  <c r="H126" i="1"/>
  <c r="I126" i="1" s="1"/>
  <c r="L190" i="1"/>
  <c r="J190" i="1"/>
  <c r="H190" i="1"/>
  <c r="I190" i="1" s="1"/>
  <c r="L260" i="1"/>
  <c r="J260" i="1"/>
  <c r="H260" i="1"/>
  <c r="J352" i="1"/>
  <c r="L352" i="1"/>
  <c r="H352" i="1"/>
  <c r="L484" i="1"/>
  <c r="J484" i="1"/>
  <c r="H484" i="1"/>
  <c r="I484" i="1" s="1"/>
  <c r="J698" i="1"/>
  <c r="L698" i="1"/>
  <c r="H698" i="1"/>
  <c r="J470" i="1"/>
  <c r="L470" i="1"/>
  <c r="H470" i="1"/>
  <c r="I470" i="1" s="1"/>
  <c r="L590" i="1"/>
  <c r="J590" i="1"/>
  <c r="H590" i="1"/>
  <c r="I590" i="1" s="1"/>
  <c r="L747" i="1"/>
  <c r="J747" i="1"/>
  <c r="H747" i="1"/>
  <c r="J898" i="1"/>
  <c r="L898" i="1"/>
  <c r="H898" i="1"/>
  <c r="I898" i="1" s="1"/>
  <c r="L641" i="1"/>
  <c r="J641" i="1"/>
  <c r="H641" i="1"/>
  <c r="L479" i="1"/>
  <c r="J479" i="1"/>
  <c r="H479" i="1"/>
  <c r="I479" i="1" s="1"/>
  <c r="J669" i="1"/>
  <c r="L669" i="1"/>
  <c r="H669" i="1"/>
  <c r="I669" i="1" s="1"/>
  <c r="J845" i="1"/>
  <c r="L845" i="1"/>
  <c r="H845" i="1"/>
  <c r="I845" i="1" s="1"/>
  <c r="J230" i="1"/>
  <c r="L230" i="1"/>
  <c r="H230" i="1"/>
  <c r="I230" i="1" s="1"/>
  <c r="J634" i="1"/>
  <c r="L634" i="1"/>
  <c r="H634" i="1"/>
  <c r="I634" i="1" s="1"/>
  <c r="J165" i="1"/>
  <c r="L165" i="1"/>
  <c r="H165" i="1"/>
  <c r="I165" i="1" s="1"/>
  <c r="L375" i="1"/>
  <c r="J375" i="1"/>
  <c r="H375" i="1"/>
  <c r="I375" i="1" s="1"/>
  <c r="J514" i="1"/>
  <c r="L514" i="1"/>
  <c r="H514" i="1"/>
  <c r="I514" i="1" s="1"/>
  <c r="L654" i="1"/>
  <c r="J654" i="1"/>
  <c r="H654" i="1"/>
  <c r="I654" i="1" s="1"/>
  <c r="J90" i="1"/>
  <c r="L90" i="1"/>
  <c r="H90" i="1"/>
  <c r="I90" i="1" s="1"/>
  <c r="J675" i="1"/>
  <c r="L675" i="1"/>
  <c r="H675" i="1"/>
  <c r="I675" i="1" s="1"/>
  <c r="J128" i="1"/>
  <c r="L128" i="1"/>
  <c r="H128" i="1"/>
  <c r="I128" i="1" s="1"/>
  <c r="L192" i="1"/>
  <c r="J192" i="1"/>
  <c r="H192" i="1"/>
  <c r="I192" i="1" s="1"/>
  <c r="J254" i="1"/>
  <c r="L254" i="1"/>
  <c r="H254" i="1"/>
  <c r="J376" i="1"/>
  <c r="L376" i="1"/>
  <c r="H376" i="1"/>
  <c r="I376" i="1" s="1"/>
  <c r="L542" i="1"/>
  <c r="J542" i="1"/>
  <c r="H542" i="1"/>
  <c r="L674" i="1"/>
  <c r="J674" i="1"/>
  <c r="H674" i="1"/>
  <c r="I674" i="1" s="1"/>
  <c r="J170" i="1"/>
  <c r="L170" i="1"/>
  <c r="H170" i="1"/>
  <c r="I170" i="1" s="1"/>
  <c r="L131" i="1"/>
  <c r="J131" i="1"/>
  <c r="H131" i="1"/>
  <c r="I131" i="1" s="1"/>
  <c r="L195" i="1"/>
  <c r="J195" i="1"/>
  <c r="H195" i="1"/>
  <c r="I195" i="1" s="1"/>
  <c r="L274" i="1"/>
  <c r="J274" i="1"/>
  <c r="H274" i="1"/>
  <c r="I274" i="1" s="1"/>
  <c r="L383" i="1"/>
  <c r="J383" i="1"/>
  <c r="H383" i="1"/>
  <c r="L520" i="1"/>
  <c r="J520" i="1"/>
  <c r="H520" i="1"/>
  <c r="I520" i="1" s="1"/>
  <c r="L348" i="1"/>
  <c r="J348" i="1"/>
  <c r="H348" i="1"/>
  <c r="J374" i="1"/>
  <c r="L374" i="1"/>
  <c r="H374" i="1"/>
  <c r="I374" i="1" s="1"/>
  <c r="K253" i="1"/>
  <c r="E253" i="1"/>
  <c r="F253" i="1" s="1"/>
  <c r="K231" i="1"/>
  <c r="E231" i="1"/>
  <c r="F231" i="1" s="1"/>
  <c r="K344" i="1"/>
  <c r="E344" i="1"/>
  <c r="F344" i="1" s="1"/>
  <c r="K416" i="1"/>
  <c r="E416" i="1"/>
  <c r="F416" i="1" s="1"/>
  <c r="K192" i="1"/>
  <c r="E192" i="1"/>
  <c r="F192" i="1" s="1"/>
  <c r="K304" i="1"/>
  <c r="E304" i="1"/>
  <c r="F304" i="1" s="1"/>
  <c r="K112" i="1"/>
  <c r="E112" i="1"/>
  <c r="F112" i="1" s="1"/>
  <c r="K221" i="1"/>
  <c r="E221" i="1"/>
  <c r="K212" i="1"/>
  <c r="E212" i="1"/>
  <c r="F212" i="1" s="1"/>
  <c r="K376" i="1"/>
  <c r="E376" i="1"/>
  <c r="F376" i="1" s="1"/>
  <c r="K336" i="1"/>
  <c r="E336" i="1"/>
  <c r="F336" i="1" s="1"/>
  <c r="K109" i="1"/>
  <c r="E109" i="1"/>
  <c r="K205" i="1"/>
  <c r="E205" i="1"/>
  <c r="F205" i="1" s="1"/>
  <c r="K312" i="1"/>
  <c r="E312" i="1"/>
  <c r="F312" i="1" s="1"/>
  <c r="K222" i="1"/>
  <c r="E222" i="1"/>
  <c r="F222" i="1" s="1"/>
  <c r="K273" i="1"/>
  <c r="E273" i="1"/>
  <c r="K87" i="1"/>
  <c r="E87" i="1"/>
  <c r="F87" i="1" s="1"/>
  <c r="K151" i="1"/>
  <c r="E151" i="1"/>
  <c r="F151" i="1" s="1"/>
  <c r="K211" i="1"/>
  <c r="E211" i="1"/>
  <c r="K440" i="1"/>
  <c r="E440" i="1"/>
  <c r="K619" i="1"/>
  <c r="E619" i="1"/>
  <c r="F619" i="1" s="1"/>
  <c r="K886" i="1"/>
  <c r="E886" i="1"/>
  <c r="F886" i="1" s="1"/>
  <c r="K525" i="1"/>
  <c r="E525" i="1"/>
  <c r="F525" i="1" s="1"/>
  <c r="K818" i="1"/>
  <c r="E818" i="1"/>
  <c r="K576" i="1"/>
  <c r="E576" i="1"/>
  <c r="F576" i="1" s="1"/>
  <c r="K707" i="1"/>
  <c r="E707" i="1"/>
  <c r="K462" i="1"/>
  <c r="E462" i="1"/>
  <c r="K603" i="1"/>
  <c r="E603" i="1"/>
  <c r="F603" i="1" s="1"/>
  <c r="K803" i="1"/>
  <c r="E803" i="1"/>
  <c r="F803" i="1" s="1"/>
  <c r="K888" i="1"/>
  <c r="E888" i="1"/>
  <c r="F888" i="1" s="1"/>
  <c r="K435" i="1"/>
  <c r="E435" i="1"/>
  <c r="F435" i="1" s="1"/>
  <c r="K142" i="1"/>
  <c r="E142" i="1"/>
  <c r="F142" i="1" s="1"/>
  <c r="K206" i="1"/>
  <c r="E206" i="1"/>
  <c r="F206" i="1" s="1"/>
  <c r="K255" i="1"/>
  <c r="E255" i="1"/>
  <c r="F255" i="1" s="1"/>
  <c r="K339" i="1"/>
  <c r="E339" i="1"/>
  <c r="F339" i="1" s="1"/>
  <c r="K438" i="1"/>
  <c r="E438" i="1"/>
  <c r="F438" i="1" s="1"/>
  <c r="K589" i="1"/>
  <c r="E589" i="1"/>
  <c r="F589" i="1" s="1"/>
  <c r="K832" i="1"/>
  <c r="E832" i="1"/>
  <c r="F832" i="1" s="1"/>
  <c r="K353" i="1"/>
  <c r="E353" i="1"/>
  <c r="F353" i="1" s="1"/>
  <c r="K86" i="1"/>
  <c r="E86" i="1"/>
  <c r="F86" i="1" s="1"/>
  <c r="K113" i="1"/>
  <c r="E113" i="1"/>
  <c r="F113" i="1" s="1"/>
  <c r="K177" i="1"/>
  <c r="E177" i="1"/>
  <c r="F177" i="1" s="1"/>
  <c r="K278" i="1"/>
  <c r="E278" i="1"/>
  <c r="F278" i="1" s="1"/>
  <c r="K434" i="1"/>
  <c r="E434" i="1"/>
  <c r="K615" i="1"/>
  <c r="E615" i="1"/>
  <c r="F615" i="1" s="1"/>
  <c r="K782" i="1"/>
  <c r="E782" i="1"/>
  <c r="F782" i="1" s="1"/>
  <c r="K385" i="1"/>
  <c r="E385" i="1"/>
  <c r="F385" i="1" s="1"/>
  <c r="K116" i="1"/>
  <c r="E116" i="1"/>
  <c r="F116" i="1" s="1"/>
  <c r="K180" i="1"/>
  <c r="E180" i="1"/>
  <c r="F180" i="1" s="1"/>
  <c r="K238" i="1"/>
  <c r="E238" i="1"/>
  <c r="F238" i="1" s="1"/>
  <c r="K310" i="1"/>
  <c r="E310" i="1"/>
  <c r="K392" i="1"/>
  <c r="E392" i="1"/>
  <c r="F392" i="1" s="1"/>
  <c r="K493" i="1"/>
  <c r="E493" i="1"/>
  <c r="F493" i="1" s="1"/>
  <c r="K702" i="1"/>
  <c r="E702" i="1"/>
  <c r="F702" i="1" s="1"/>
  <c r="K309" i="1"/>
  <c r="E309" i="1"/>
  <c r="K373" i="1"/>
  <c r="E373" i="1"/>
  <c r="K433" i="1"/>
  <c r="E433" i="1"/>
  <c r="F433" i="1" s="1"/>
  <c r="K483" i="1"/>
  <c r="E483" i="1"/>
  <c r="F483" i="1" s="1"/>
  <c r="K544" i="1"/>
  <c r="E544" i="1"/>
  <c r="F544" i="1" s="1"/>
  <c r="K658" i="1"/>
  <c r="E658" i="1"/>
  <c r="K786" i="1"/>
  <c r="E786" i="1"/>
  <c r="F786" i="1" s="1"/>
  <c r="K947" i="1"/>
  <c r="E947" i="1"/>
  <c r="F947" i="1" s="1"/>
  <c r="K1046" i="1"/>
  <c r="E1046" i="1"/>
  <c r="K1049" i="1"/>
  <c r="E1049" i="1"/>
  <c r="F1049" i="1" s="1"/>
  <c r="K308" i="1"/>
  <c r="E308" i="1"/>
  <c r="F308" i="1" s="1"/>
  <c r="K372" i="1"/>
  <c r="E372" i="1"/>
  <c r="F372" i="1" s="1"/>
  <c r="K454" i="1"/>
  <c r="E454" i="1"/>
  <c r="F454" i="1" s="1"/>
  <c r="K599" i="1"/>
  <c r="E599" i="1"/>
  <c r="F599" i="1" s="1"/>
  <c r="K726" i="1"/>
  <c r="E726" i="1"/>
  <c r="F726" i="1" s="1"/>
  <c r="K835" i="1"/>
  <c r="E835" i="1"/>
  <c r="K295" i="1"/>
  <c r="E295" i="1"/>
  <c r="F295" i="1" s="1"/>
  <c r="K359" i="1"/>
  <c r="E359" i="1"/>
  <c r="K423" i="1"/>
  <c r="E423" i="1"/>
  <c r="F423" i="1" s="1"/>
  <c r="K473" i="1"/>
  <c r="E473" i="1"/>
  <c r="F473" i="1" s="1"/>
  <c r="K523" i="1"/>
  <c r="E523" i="1"/>
  <c r="F523" i="1" s="1"/>
  <c r="K623" i="1"/>
  <c r="E623" i="1"/>
  <c r="F623" i="1" s="1"/>
  <c r="K748" i="1"/>
  <c r="E748" i="1"/>
  <c r="F748" i="1" s="1"/>
  <c r="K982" i="1"/>
  <c r="E982" i="1"/>
  <c r="F982" i="1" s="1"/>
  <c r="K250" i="1"/>
  <c r="E250" i="1"/>
  <c r="F250" i="1" s="1"/>
  <c r="K314" i="1"/>
  <c r="E314" i="1"/>
  <c r="F314" i="1" s="1"/>
  <c r="K378" i="1"/>
  <c r="E378" i="1"/>
  <c r="F378" i="1" s="1"/>
  <c r="K469" i="1"/>
  <c r="E469" i="1"/>
  <c r="F469" i="1" s="1"/>
  <c r="K583" i="1"/>
  <c r="E583" i="1"/>
  <c r="F583" i="1" s="1"/>
  <c r="K670" i="1"/>
  <c r="E670" i="1"/>
  <c r="K834" i="1"/>
  <c r="E834" i="1"/>
  <c r="F834" i="1" s="1"/>
  <c r="K882" i="1"/>
  <c r="E882" i="1"/>
  <c r="F882" i="1" s="1"/>
  <c r="K999" i="1"/>
  <c r="E999" i="1"/>
  <c r="F999" i="1" s="1"/>
  <c r="K582" i="1"/>
  <c r="E582" i="1"/>
  <c r="K646" i="1"/>
  <c r="E646" i="1"/>
  <c r="F646" i="1" s="1"/>
  <c r="K700" i="1"/>
  <c r="E700" i="1"/>
  <c r="F700" i="1" s="1"/>
  <c r="K750" i="1"/>
  <c r="E750" i="1"/>
  <c r="F750" i="1" s="1"/>
  <c r="K808" i="1"/>
  <c r="E808" i="1"/>
  <c r="F808" i="1" s="1"/>
  <c r="K912" i="1"/>
  <c r="E912" i="1"/>
  <c r="F912" i="1" s="1"/>
  <c r="K1023" i="1"/>
  <c r="E1023" i="1"/>
  <c r="K601" i="1"/>
  <c r="E601" i="1"/>
  <c r="F601" i="1" s="1"/>
  <c r="K665" i="1"/>
  <c r="E665" i="1"/>
  <c r="K778" i="1"/>
  <c r="E778" i="1"/>
  <c r="F778" i="1" s="1"/>
  <c r="K842" i="1"/>
  <c r="E842" i="1"/>
  <c r="K907" i="1"/>
  <c r="E907" i="1"/>
  <c r="F907" i="1" s="1"/>
  <c r="K412" i="1"/>
  <c r="E412" i="1"/>
  <c r="F412" i="1" s="1"/>
  <c r="K476" i="1"/>
  <c r="E476" i="1"/>
  <c r="F476" i="1" s="1"/>
  <c r="K540" i="1"/>
  <c r="E540" i="1"/>
  <c r="F540" i="1" s="1"/>
  <c r="K604" i="1"/>
  <c r="E604" i="1"/>
  <c r="F604" i="1" s="1"/>
  <c r="K669" i="1"/>
  <c r="E669" i="1"/>
  <c r="F669" i="1" s="1"/>
  <c r="K715" i="1"/>
  <c r="E715" i="1"/>
  <c r="F715" i="1" s="1"/>
  <c r="K779" i="1"/>
  <c r="E779" i="1"/>
  <c r="K949" i="1"/>
  <c r="E949" i="1"/>
  <c r="F949" i="1" s="1"/>
  <c r="K906" i="1"/>
  <c r="E906" i="1"/>
  <c r="K979" i="1"/>
  <c r="E979" i="1"/>
  <c r="F979" i="1" s="1"/>
  <c r="K865" i="1"/>
  <c r="E865" i="1"/>
  <c r="F865" i="1" s="1"/>
  <c r="K929" i="1"/>
  <c r="E929" i="1"/>
  <c r="F929" i="1" s="1"/>
  <c r="K1014" i="1"/>
  <c r="E1014" i="1"/>
  <c r="K796" i="1"/>
  <c r="E796" i="1"/>
  <c r="F796" i="1" s="1"/>
  <c r="K860" i="1"/>
  <c r="E860" i="1"/>
  <c r="F860" i="1" s="1"/>
  <c r="K924" i="1"/>
  <c r="E924" i="1"/>
  <c r="K1001" i="1"/>
  <c r="E1001" i="1"/>
  <c r="F1001" i="1" s="1"/>
  <c r="K687" i="1"/>
  <c r="E687" i="1"/>
  <c r="F687" i="1" s="1"/>
  <c r="K751" i="1"/>
  <c r="E751" i="1"/>
  <c r="K815" i="1"/>
  <c r="E815" i="1"/>
  <c r="F815" i="1" s="1"/>
  <c r="K879" i="1"/>
  <c r="E879" i="1"/>
  <c r="F879" i="1" s="1"/>
  <c r="K943" i="1"/>
  <c r="E943" i="1"/>
  <c r="F943" i="1" s="1"/>
  <c r="K1016" i="1"/>
  <c r="E1016" i="1"/>
  <c r="F1016" i="1" s="1"/>
  <c r="K989" i="1"/>
  <c r="E989" i="1"/>
  <c r="F989" i="1" s="1"/>
  <c r="K1053" i="1"/>
  <c r="E1053" i="1"/>
  <c r="F1053" i="1" s="1"/>
  <c r="K1002" i="1"/>
  <c r="E1002" i="1"/>
  <c r="F1002" i="1" s="1"/>
  <c r="G1063" i="2"/>
  <c r="G1060" i="2"/>
  <c r="G1052" i="2"/>
  <c r="G1044" i="2"/>
  <c r="G1057" i="2"/>
  <c r="G1049" i="2"/>
  <c r="G1062" i="2"/>
  <c r="G1054" i="2"/>
  <c r="G1046" i="2"/>
  <c r="G1038" i="2"/>
  <c r="G1030" i="2"/>
  <c r="G1022" i="2"/>
  <c r="G1014" i="2"/>
  <c r="G1059" i="2"/>
  <c r="G1051" i="2"/>
  <c r="G1064" i="2"/>
  <c r="G1056" i="2"/>
  <c r="G1048" i="2"/>
  <c r="G1061" i="2"/>
  <c r="G1053" i="2"/>
  <c r="G1045" i="2"/>
  <c r="G1037" i="2"/>
  <c r="G1029" i="2"/>
  <c r="G1021" i="2"/>
  <c r="G1013" i="2"/>
  <c r="G1058" i="2"/>
  <c r="G1050" i="2"/>
  <c r="G1042" i="2"/>
  <c r="G1034" i="2"/>
  <c r="G1026" i="2"/>
  <c r="G1018" i="2"/>
  <c r="G1010" i="2"/>
  <c r="G1002" i="2"/>
  <c r="G1033" i="2"/>
  <c r="G1020" i="2"/>
  <c r="G1019" i="2"/>
  <c r="G999" i="2"/>
  <c r="G990" i="2"/>
  <c r="G982" i="2"/>
  <c r="G974" i="2"/>
  <c r="G966" i="2"/>
  <c r="G1047" i="2"/>
  <c r="G1032" i="2"/>
  <c r="G1009" i="2"/>
  <c r="G1003" i="2"/>
  <c r="G1015" i="2"/>
  <c r="G1008" i="2"/>
  <c r="G976" i="2"/>
  <c r="G972" i="2"/>
  <c r="G967" i="2"/>
  <c r="G959" i="2"/>
  <c r="G951" i="2"/>
  <c r="G943" i="2"/>
  <c r="G1043" i="2"/>
  <c r="G1031" i="2"/>
  <c r="G1012" i="2"/>
  <c r="G994" i="2"/>
  <c r="G989" i="2"/>
  <c r="G985" i="2"/>
  <c r="G971" i="2"/>
  <c r="G962" i="2"/>
  <c r="G956" i="2"/>
  <c r="G1055" i="2"/>
  <c r="G1035" i="2"/>
  <c r="G1023" i="2"/>
  <c r="G1006" i="2"/>
  <c r="G963" i="2"/>
  <c r="G957" i="2"/>
  <c r="G955" i="2"/>
  <c r="G947" i="2"/>
  <c r="G942" i="2"/>
  <c r="G934" i="2"/>
  <c r="G926" i="2"/>
  <c r="G918" i="2"/>
  <c r="G910" i="2"/>
  <c r="G902" i="2"/>
  <c r="G894" i="2"/>
  <c r="G886" i="2"/>
  <c r="G1024" i="2"/>
  <c r="G1016" i="2"/>
  <c r="G988" i="2"/>
  <c r="G987" i="2"/>
  <c r="G986" i="2"/>
  <c r="G964" i="2"/>
  <c r="G953" i="2"/>
  <c r="G939" i="2"/>
  <c r="G931" i="2"/>
  <c r="G923" i="2"/>
  <c r="G915" i="2"/>
  <c r="G907" i="2"/>
  <c r="G899" i="2"/>
  <c r="G891" i="2"/>
  <c r="G1039" i="2"/>
  <c r="G1028" i="2"/>
  <c r="G984" i="2"/>
  <c r="G983" i="2"/>
  <c r="G981" i="2"/>
  <c r="G977" i="2"/>
  <c r="G961" i="2"/>
  <c r="G960" i="2"/>
  <c r="G958" i="2"/>
  <c r="G948" i="2"/>
  <c r="G940" i="2"/>
  <c r="G932" i="2"/>
  <c r="G1036" i="2"/>
  <c r="G997" i="2"/>
  <c r="G979" i="2"/>
  <c r="G978" i="2"/>
  <c r="G975" i="2"/>
  <c r="G969" i="2"/>
  <c r="G930" i="2"/>
  <c r="G929" i="2"/>
  <c r="G921" i="2"/>
  <c r="G919" i="2"/>
  <c r="G917" i="2"/>
  <c r="G905" i="2"/>
  <c r="G903" i="2"/>
  <c r="G901" i="2"/>
  <c r="G889" i="2"/>
  <c r="G887" i="2"/>
  <c r="G875" i="2"/>
  <c r="G867" i="2"/>
  <c r="G859" i="2"/>
  <c r="G851" i="2"/>
  <c r="G843" i="2"/>
  <c r="G835" i="2"/>
  <c r="G827" i="2"/>
  <c r="G819" i="2"/>
  <c r="G933" i="2"/>
  <c r="G885" i="2"/>
  <c r="G881" i="2"/>
  <c r="G872" i="2"/>
  <c r="G864" i="2"/>
  <c r="G856" i="2"/>
  <c r="G848" i="2"/>
  <c r="G840" i="2"/>
  <c r="G832" i="2"/>
  <c r="G824" i="2"/>
  <c r="G1027" i="2"/>
  <c r="G1001" i="2"/>
  <c r="G996" i="2"/>
  <c r="G992" i="2"/>
  <c r="G938" i="2"/>
  <c r="G937" i="2"/>
  <c r="G928" i="2"/>
  <c r="G927" i="2"/>
  <c r="G924" i="2"/>
  <c r="G922" i="2"/>
  <c r="G908" i="2"/>
  <c r="G906" i="2"/>
  <c r="G892" i="2"/>
  <c r="G890" i="2"/>
  <c r="G873" i="2"/>
  <c r="G865" i="2"/>
  <c r="G857" i="2"/>
  <c r="G849" i="2"/>
  <c r="G841" i="2"/>
  <c r="G833" i="2"/>
  <c r="G993" i="2"/>
  <c r="G980" i="2"/>
  <c r="G970" i="2"/>
  <c r="G925" i="2"/>
  <c r="G893" i="2"/>
  <c r="G874" i="2"/>
  <c r="G861" i="2"/>
  <c r="G860" i="2"/>
  <c r="G850" i="2"/>
  <c r="G846" i="2"/>
  <c r="G813" i="2"/>
  <c r="G805" i="2"/>
  <c r="G797" i="2"/>
  <c r="G789" i="2"/>
  <c r="G781" i="2"/>
  <c r="G773" i="2"/>
  <c r="G1041" i="2"/>
  <c r="G998" i="2"/>
  <c r="G968" i="2"/>
  <c r="G936" i="2"/>
  <c r="G911" i="2"/>
  <c r="G863" i="2"/>
  <c r="G837" i="2"/>
  <c r="G836" i="2"/>
  <c r="G826" i="2"/>
  <c r="G818" i="2"/>
  <c r="G810" i="2"/>
  <c r="G802" i="2"/>
  <c r="G794" i="2"/>
  <c r="G1017" i="2"/>
  <c r="G1004" i="2"/>
  <c r="G973" i="2"/>
  <c r="G954" i="2"/>
  <c r="G895" i="2"/>
  <c r="G883" i="2"/>
  <c r="G879" i="2"/>
  <c r="G878" i="2"/>
  <c r="G869" i="2"/>
  <c r="G868" i="2"/>
  <c r="G858" i="2"/>
  <c r="G854" i="2"/>
  <c r="G946" i="2"/>
  <c r="G900" i="2"/>
  <c r="G866" i="2"/>
  <c r="G862" i="2"/>
  <c r="G853" i="2"/>
  <c r="G775" i="2"/>
  <c r="G771" i="2"/>
  <c r="G768" i="2"/>
  <c r="G760" i="2"/>
  <c r="G752" i="2"/>
  <c r="G744" i="2"/>
  <c r="G736" i="2"/>
  <c r="G1025" i="2"/>
  <c r="G1005" i="2"/>
  <c r="G1000" i="2"/>
  <c r="G965" i="2"/>
  <c r="G944" i="2"/>
  <c r="G913" i="2"/>
  <c r="G888" i="2"/>
  <c r="G876" i="2"/>
  <c r="G834" i="2"/>
  <c r="G811" i="2"/>
  <c r="G809" i="2"/>
  <c r="G795" i="2"/>
  <c r="G793" i="2"/>
  <c r="G784" i="2"/>
  <c r="G765" i="2"/>
  <c r="G757" i="2"/>
  <c r="G1011" i="2"/>
  <c r="G1007" i="2"/>
  <c r="G916" i="2"/>
  <c r="G882" i="2"/>
  <c r="G880" i="2"/>
  <c r="G855" i="2"/>
  <c r="G852" i="2"/>
  <c r="G839" i="2"/>
  <c r="G820" i="2"/>
  <c r="G817" i="2"/>
  <c r="G803" i="2"/>
  <c r="G801" i="2"/>
  <c r="G787" i="2"/>
  <c r="G786" i="2"/>
  <c r="G777" i="2"/>
  <c r="G772" i="2"/>
  <c r="G769" i="2"/>
  <c r="G897" i="2"/>
  <c r="G844" i="2"/>
  <c r="G829" i="2"/>
  <c r="G798" i="2"/>
  <c r="G779" i="2"/>
  <c r="G764" i="2"/>
  <c r="G763" i="2"/>
  <c r="G726" i="2"/>
  <c r="G718" i="2"/>
  <c r="G710" i="2"/>
  <c r="G702" i="2"/>
  <c r="G694" i="2"/>
  <c r="G686" i="2"/>
  <c r="G678" i="2"/>
  <c r="G670" i="2"/>
  <c r="G662" i="2"/>
  <c r="G654" i="2"/>
  <c r="G646" i="2"/>
  <c r="G638" i="2"/>
  <c r="G630" i="2"/>
  <c r="G1040" i="2"/>
  <c r="G949" i="2"/>
  <c r="G904" i="2"/>
  <c r="G871" i="2"/>
  <c r="G838" i="2"/>
  <c r="G825" i="2"/>
  <c r="G806" i="2"/>
  <c r="G774" i="2"/>
  <c r="G758" i="2"/>
  <c r="G756" i="2"/>
  <c r="G748" i="2"/>
  <c r="G743" i="2"/>
  <c r="G739" i="2"/>
  <c r="G731" i="2"/>
  <c r="G723" i="2"/>
  <c r="G715" i="2"/>
  <c r="G707" i="2"/>
  <c r="G699" i="2"/>
  <c r="G691" i="2"/>
  <c r="G683" i="2"/>
  <c r="G675" i="2"/>
  <c r="G952" i="2"/>
  <c r="G941" i="2"/>
  <c r="G842" i="2"/>
  <c r="G800" i="2"/>
  <c r="G791" i="2"/>
  <c r="G788" i="2"/>
  <c r="G783" i="2"/>
  <c r="G778" i="2"/>
  <c r="G762" i="2"/>
  <c r="G750" i="2"/>
  <c r="G745" i="2"/>
  <c r="G732" i="2"/>
  <c r="G724" i="2"/>
  <c r="G716" i="2"/>
  <c r="G708" i="2"/>
  <c r="G700" i="2"/>
  <c r="G692" i="2"/>
  <c r="G684" i="2"/>
  <c r="G950" i="2"/>
  <c r="G870" i="2"/>
  <c r="G821" i="2"/>
  <c r="G814" i="2"/>
  <c r="G782" i="2"/>
  <c r="G770" i="2"/>
  <c r="G767" i="2"/>
  <c r="G759" i="2"/>
  <c r="G733" i="2"/>
  <c r="G701" i="2"/>
  <c r="G676" i="2"/>
  <c r="G656" i="2"/>
  <c r="G652" i="2"/>
  <c r="G647" i="2"/>
  <c r="G623" i="2"/>
  <c r="G615" i="2"/>
  <c r="G607" i="2"/>
  <c r="G599" i="2"/>
  <c r="G591" i="2"/>
  <c r="G583" i="2"/>
  <c r="G575" i="2"/>
  <c r="G567" i="2"/>
  <c r="G559" i="2"/>
  <c r="G551" i="2"/>
  <c r="G543" i="2"/>
  <c r="G912" i="2"/>
  <c r="G909" i="2"/>
  <c r="G884" i="2"/>
  <c r="G831" i="2"/>
  <c r="G816" i="2"/>
  <c r="G780" i="2"/>
  <c r="G753" i="2"/>
  <c r="G734" i="2"/>
  <c r="G722" i="2"/>
  <c r="G721" i="2"/>
  <c r="G712" i="2"/>
  <c r="G711" i="2"/>
  <c r="G690" i="2"/>
  <c r="G689" i="2"/>
  <c r="G674" i="2"/>
  <c r="G669" i="2"/>
  <c r="G665" i="2"/>
  <c r="G651" i="2"/>
  <c r="G642" i="2"/>
  <c r="G637" i="2"/>
  <c r="G633" i="2"/>
  <c r="G620" i="2"/>
  <c r="G612" i="2"/>
  <c r="G604" i="2"/>
  <c r="G596" i="2"/>
  <c r="G588" i="2"/>
  <c r="G580" i="2"/>
  <c r="G572" i="2"/>
  <c r="G564" i="2"/>
  <c r="G556" i="2"/>
  <c r="G548" i="2"/>
  <c r="G540" i="2"/>
  <c r="G532" i="2"/>
  <c r="G524" i="2"/>
  <c r="G516" i="2"/>
  <c r="G508" i="2"/>
  <c r="G500" i="2"/>
  <c r="G492" i="2"/>
  <c r="G484" i="2"/>
  <c r="G995" i="2"/>
  <c r="G845" i="2"/>
  <c r="G830" i="2"/>
  <c r="G822" i="2"/>
  <c r="G792" i="2"/>
  <c r="G766" i="2"/>
  <c r="G761" i="2"/>
  <c r="G755" i="2"/>
  <c r="G747" i="2"/>
  <c r="G741" i="2"/>
  <c r="G737" i="2"/>
  <c r="G709" i="2"/>
  <c r="G681" i="2"/>
  <c r="G679" i="2"/>
  <c r="G677" i="2"/>
  <c r="G671" i="2"/>
  <c r="G648" i="2"/>
  <c r="G644" i="2"/>
  <c r="G639" i="2"/>
  <c r="G945" i="2"/>
  <c r="G749" i="2"/>
  <c r="G740" i="2"/>
  <c r="G738" i="2"/>
  <c r="G673" i="2"/>
  <c r="G667" i="2"/>
  <c r="G663" i="2"/>
  <c r="G621" i="2"/>
  <c r="G619" i="2"/>
  <c r="G605" i="2"/>
  <c r="G603" i="2"/>
  <c r="G589" i="2"/>
  <c r="G587" i="2"/>
  <c r="G828" i="2"/>
  <c r="G704" i="2"/>
  <c r="G687" i="2"/>
  <c r="G680" i="2"/>
  <c r="G668" i="2"/>
  <c r="G664" i="2"/>
  <c r="G657" i="2"/>
  <c r="G641" i="2"/>
  <c r="G635" i="2"/>
  <c r="G631" i="2"/>
  <c r="G617" i="2"/>
  <c r="G601" i="2"/>
  <c r="G585" i="2"/>
  <c r="G569" i="2"/>
  <c r="G553" i="2"/>
  <c r="G541" i="2"/>
  <c r="G518" i="2"/>
  <c r="G514" i="2"/>
  <c r="G509" i="2"/>
  <c r="G486" i="2"/>
  <c r="G790" i="2"/>
  <c r="G751" i="2"/>
  <c r="G742" i="2"/>
  <c r="G735" i="2"/>
  <c r="G730" i="2"/>
  <c r="G703" i="2"/>
  <c r="G696" i="2"/>
  <c r="G672" i="2"/>
  <c r="G666" i="2"/>
  <c r="G649" i="2"/>
  <c r="G629" i="2"/>
  <c r="G626" i="2"/>
  <c r="G624" i="2"/>
  <c r="G622" i="2"/>
  <c r="G610" i="2"/>
  <c r="G608" i="2"/>
  <c r="G606" i="2"/>
  <c r="G594" i="2"/>
  <c r="G592" i="2"/>
  <c r="G590" i="2"/>
  <c r="G578" i="2"/>
  <c r="G576" i="2"/>
  <c r="G574" i="2"/>
  <c r="G562" i="2"/>
  <c r="G560" i="2"/>
  <c r="G558" i="2"/>
  <c r="G545" i="2"/>
  <c r="G529" i="2"/>
  <c r="G920" i="2"/>
  <c r="G898" i="2"/>
  <c r="G877" i="2"/>
  <c r="G728" i="2"/>
  <c r="G706" i="2"/>
  <c r="G650" i="2"/>
  <c r="G645" i="2"/>
  <c r="G640" i="2"/>
  <c r="G634" i="2"/>
  <c r="G546" i="2"/>
  <c r="G544" i="2"/>
  <c r="G542" i="2"/>
  <c r="G659" i="2"/>
  <c r="G643" i="2"/>
  <c r="G632" i="2"/>
  <c r="G600" i="2"/>
  <c r="G536" i="2"/>
  <c r="G534" i="2"/>
  <c r="G725" i="2"/>
  <c r="G713" i="2"/>
  <c r="G698" i="2"/>
  <c r="G628" i="2"/>
  <c r="G618" i="2"/>
  <c r="G609" i="2"/>
  <c r="G598" i="2"/>
  <c r="G597" i="2"/>
  <c r="G812" i="2"/>
  <c r="G808" i="2"/>
  <c r="G804" i="2"/>
  <c r="G776" i="2"/>
  <c r="G720" i="2"/>
  <c r="G695" i="2"/>
  <c r="G653" i="2"/>
  <c r="G636" i="2"/>
  <c r="G616" i="2"/>
  <c r="G991" i="2"/>
  <c r="G935" i="2"/>
  <c r="G896" i="2"/>
  <c r="G847" i="2"/>
  <c r="G685" i="2"/>
  <c r="G661" i="2"/>
  <c r="G655" i="2"/>
  <c r="G627" i="2"/>
  <c r="G807" i="2"/>
  <c r="G660" i="2"/>
  <c r="G625" i="2"/>
  <c r="G613" i="2"/>
  <c r="G611" i="2"/>
  <c r="G557" i="2"/>
  <c r="G555" i="2"/>
  <c r="G552" i="2"/>
  <c r="G539" i="2"/>
  <c r="G538" i="2"/>
  <c r="G525" i="2"/>
  <c r="G519" i="2"/>
  <c r="G517" i="2"/>
  <c r="G493" i="2"/>
  <c r="G474" i="2"/>
  <c r="G466" i="2"/>
  <c r="G458" i="2"/>
  <c r="G450" i="2"/>
  <c r="G727" i="2"/>
  <c r="G705" i="2"/>
  <c r="G693" i="2"/>
  <c r="G593" i="2"/>
  <c r="G563" i="2"/>
  <c r="G533" i="2"/>
  <c r="G527" i="2"/>
  <c r="G526" i="2"/>
  <c r="G506" i="2"/>
  <c r="G505" i="2"/>
  <c r="G504" i="2"/>
  <c r="G483" i="2"/>
  <c r="G479" i="2"/>
  <c r="G471" i="2"/>
  <c r="G463" i="2"/>
  <c r="G697" i="2"/>
  <c r="G614" i="2"/>
  <c r="G579" i="2"/>
  <c r="G550" i="2"/>
  <c r="G549" i="2"/>
  <c r="G515" i="2"/>
  <c r="G503" i="2"/>
  <c r="G502" i="2"/>
  <c r="G491" i="2"/>
  <c r="G482" i="2"/>
  <c r="G476" i="2"/>
  <c r="G468" i="2"/>
  <c r="G914" i="2"/>
  <c r="G815" i="2"/>
  <c r="G754" i="2"/>
  <c r="G729" i="2"/>
  <c r="G682" i="2"/>
  <c r="G577" i="2"/>
  <c r="G570" i="2"/>
  <c r="G547" i="2"/>
  <c r="G535" i="2"/>
  <c r="G512" i="2"/>
  <c r="G582" i="2"/>
  <c r="G554" i="2"/>
  <c r="G530" i="2"/>
  <c r="G487" i="2"/>
  <c r="G475" i="2"/>
  <c r="G465" i="2"/>
  <c r="G454" i="2"/>
  <c r="G449" i="2"/>
  <c r="G445" i="2"/>
  <c r="G442" i="2"/>
  <c r="G434" i="2"/>
  <c r="G426" i="2"/>
  <c r="G418" i="2"/>
  <c r="G410" i="2"/>
  <c r="G402" i="2"/>
  <c r="G394" i="2"/>
  <c r="G386" i="2"/>
  <c r="G378" i="2"/>
  <c r="G370" i="2"/>
  <c r="G362" i="2"/>
  <c r="G354" i="2"/>
  <c r="G346" i="2"/>
  <c r="G338" i="2"/>
  <c r="G330" i="2"/>
  <c r="G322" i="2"/>
  <c r="G823" i="2"/>
  <c r="G746" i="2"/>
  <c r="G531" i="2"/>
  <c r="G489" i="2"/>
  <c r="G488" i="2"/>
  <c r="G439" i="2"/>
  <c r="G431" i="2"/>
  <c r="G423" i="2"/>
  <c r="G415" i="2"/>
  <c r="G407" i="2"/>
  <c r="G399" i="2"/>
  <c r="G391" i="2"/>
  <c r="G383" i="2"/>
  <c r="G796" i="2"/>
  <c r="G714" i="2"/>
  <c r="G571" i="2"/>
  <c r="G566" i="2"/>
  <c r="G561" i="2"/>
  <c r="G537" i="2"/>
  <c r="G511" i="2"/>
  <c r="G495" i="2"/>
  <c r="G478" i="2"/>
  <c r="G467" i="2"/>
  <c r="G464" i="2"/>
  <c r="G462" i="2"/>
  <c r="G457" i="2"/>
  <c r="G453" i="2"/>
  <c r="G444" i="2"/>
  <c r="G436" i="2"/>
  <c r="G428" i="2"/>
  <c r="G420" i="2"/>
  <c r="G412" i="2"/>
  <c r="G404" i="2"/>
  <c r="G396" i="2"/>
  <c r="G388" i="2"/>
  <c r="G380" i="2"/>
  <c r="G658" i="2"/>
  <c r="G595" i="2"/>
  <c r="G523" i="2"/>
  <c r="G521" i="2"/>
  <c r="G520" i="2"/>
  <c r="G473" i="2"/>
  <c r="G455" i="2"/>
  <c r="G446" i="2"/>
  <c r="G440" i="2"/>
  <c r="G432" i="2"/>
  <c r="G424" i="2"/>
  <c r="G416" i="2"/>
  <c r="G408" i="2"/>
  <c r="G400" i="2"/>
  <c r="G392" i="2"/>
  <c r="G384" i="2"/>
  <c r="G376" i="2"/>
  <c r="G785" i="2"/>
  <c r="G719" i="2"/>
  <c r="G507" i="2"/>
  <c r="G496" i="2"/>
  <c r="G485" i="2"/>
  <c r="G469" i="2"/>
  <c r="G451" i="2"/>
  <c r="G437" i="2"/>
  <c r="G429" i="2"/>
  <c r="G417" i="2"/>
  <c r="G409" i="2"/>
  <c r="G373" i="2"/>
  <c r="G359" i="2"/>
  <c r="G350" i="2"/>
  <c r="G345" i="2"/>
  <c r="G341" i="2"/>
  <c r="G327" i="2"/>
  <c r="G313" i="2"/>
  <c r="G305" i="2"/>
  <c r="G297" i="2"/>
  <c r="G289" i="2"/>
  <c r="G281" i="2"/>
  <c r="G273" i="2"/>
  <c r="G265" i="2"/>
  <c r="G257" i="2"/>
  <c r="G249" i="2"/>
  <c r="G241" i="2"/>
  <c r="G233" i="2"/>
  <c r="G225" i="2"/>
  <c r="G217" i="2"/>
  <c r="G209" i="2"/>
  <c r="G201" i="2"/>
  <c r="G193" i="2"/>
  <c r="G185" i="2"/>
  <c r="G177" i="2"/>
  <c r="G169" i="2"/>
  <c r="G161" i="2"/>
  <c r="G568" i="2"/>
  <c r="G499" i="2"/>
  <c r="G461" i="2"/>
  <c r="G452" i="2"/>
  <c r="G438" i="2"/>
  <c r="G430" i="2"/>
  <c r="G421" i="2"/>
  <c r="G401" i="2"/>
  <c r="G393" i="2"/>
  <c r="G372" i="2"/>
  <c r="G368" i="2"/>
  <c r="G363" i="2"/>
  <c r="G340" i="2"/>
  <c r="G336" i="2"/>
  <c r="G331" i="2"/>
  <c r="G318" i="2"/>
  <c r="G310" i="2"/>
  <c r="G302" i="2"/>
  <c r="G294" i="2"/>
  <c r="G286" i="2"/>
  <c r="G278" i="2"/>
  <c r="G270" i="2"/>
  <c r="G262" i="2"/>
  <c r="G254" i="2"/>
  <c r="G246" i="2"/>
  <c r="G238" i="2"/>
  <c r="G230" i="2"/>
  <c r="G581" i="2"/>
  <c r="G565" i="2"/>
  <c r="G501" i="2"/>
  <c r="G472" i="2"/>
  <c r="G470" i="2"/>
  <c r="G422" i="2"/>
  <c r="G413" i="2"/>
  <c r="G405" i="2"/>
  <c r="G385" i="2"/>
  <c r="G367" i="2"/>
  <c r="G358" i="2"/>
  <c r="G353" i="2"/>
  <c r="G349" i="2"/>
  <c r="G335" i="2"/>
  <c r="G326" i="2"/>
  <c r="G321" i="2"/>
  <c r="G315" i="2"/>
  <c r="G307" i="2"/>
  <c r="G299" i="2"/>
  <c r="G291" i="2"/>
  <c r="G283" i="2"/>
  <c r="G275" i="2"/>
  <c r="G267" i="2"/>
  <c r="G259" i="2"/>
  <c r="G251" i="2"/>
  <c r="G243" i="2"/>
  <c r="G235" i="2"/>
  <c r="G510" i="2"/>
  <c r="G498" i="2"/>
  <c r="G460" i="2"/>
  <c r="G448" i="2"/>
  <c r="G425" i="2"/>
  <c r="G379" i="2"/>
  <c r="G364" i="2"/>
  <c r="G360" i="2"/>
  <c r="G355" i="2"/>
  <c r="G332" i="2"/>
  <c r="G328" i="2"/>
  <c r="G323" i="2"/>
  <c r="G316" i="2"/>
  <c r="G308" i="2"/>
  <c r="G300" i="2"/>
  <c r="G292" i="2"/>
  <c r="G284" i="2"/>
  <c r="G276" i="2"/>
  <c r="G268" i="2"/>
  <c r="G260" i="2"/>
  <c r="G252" i="2"/>
  <c r="G244" i="2"/>
  <c r="G236" i="2"/>
  <c r="G717" i="2"/>
  <c r="G522" i="2"/>
  <c r="G480" i="2"/>
  <c r="G477" i="2"/>
  <c r="G443" i="2"/>
  <c r="G357" i="2"/>
  <c r="G348" i="2"/>
  <c r="G347" i="2"/>
  <c r="G325" i="2"/>
  <c r="G314" i="2"/>
  <c r="G293" i="2"/>
  <c r="G279" i="2"/>
  <c r="G272" i="2"/>
  <c r="G250" i="2"/>
  <c r="G222" i="2"/>
  <c r="G213" i="2"/>
  <c r="G208" i="2"/>
  <c r="G204" i="2"/>
  <c r="G190" i="2"/>
  <c r="G181" i="2"/>
  <c r="G176" i="2"/>
  <c r="G172" i="2"/>
  <c r="G156" i="2"/>
  <c r="G688" i="2"/>
  <c r="G528" i="2"/>
  <c r="G419" i="2"/>
  <c r="G406" i="2"/>
  <c r="G398" i="2"/>
  <c r="G377" i="2"/>
  <c r="G306" i="2"/>
  <c r="G285" i="2"/>
  <c r="G271" i="2"/>
  <c r="G264" i="2"/>
  <c r="G242" i="2"/>
  <c r="G586" i="2"/>
  <c r="G447" i="2"/>
  <c r="G387" i="2"/>
  <c r="G371" i="2"/>
  <c r="G361" i="2"/>
  <c r="G339" i="2"/>
  <c r="G329" i="2"/>
  <c r="G298" i="2"/>
  <c r="G277" i="2"/>
  <c r="G263" i="2"/>
  <c r="G256" i="2"/>
  <c r="G234" i="2"/>
  <c r="G221" i="2"/>
  <c r="G216" i="2"/>
  <c r="G212" i="2"/>
  <c r="G799" i="2"/>
  <c r="G573" i="2"/>
  <c r="G459" i="2"/>
  <c r="G389" i="2"/>
  <c r="G381" i="2"/>
  <c r="G351" i="2"/>
  <c r="G319" i="2"/>
  <c r="G312" i="2"/>
  <c r="G481" i="2"/>
  <c r="G433" i="2"/>
  <c r="G414" i="2"/>
  <c r="G411" i="2"/>
  <c r="G397" i="2"/>
  <c r="G324" i="2"/>
  <c r="G245" i="2"/>
  <c r="G232" i="2"/>
  <c r="G231" i="2"/>
  <c r="G220" i="2"/>
  <c r="G218" i="2"/>
  <c r="G186" i="2"/>
  <c r="G184" i="2"/>
  <c r="G173" i="2"/>
  <c r="G171" i="2"/>
  <c r="G155" i="2"/>
  <c r="G147" i="2"/>
  <c r="G139" i="2"/>
  <c r="G131" i="2"/>
  <c r="G123" i="2"/>
  <c r="G115" i="2"/>
  <c r="G107" i="2"/>
  <c r="G99" i="2"/>
  <c r="G91" i="2"/>
  <c r="G83" i="2"/>
  <c r="G75" i="2"/>
  <c r="G67" i="2"/>
  <c r="G66" i="2"/>
  <c r="G497" i="2"/>
  <c r="G456" i="2"/>
  <c r="G403" i="2"/>
  <c r="G390" i="2"/>
  <c r="G375" i="2"/>
  <c r="G366" i="2"/>
  <c r="G352" i="2"/>
  <c r="G344" i="2"/>
  <c r="G342" i="2"/>
  <c r="G333" i="2"/>
  <c r="G269" i="2"/>
  <c r="G258" i="2"/>
  <c r="G247" i="2"/>
  <c r="G229" i="2"/>
  <c r="G214" i="2"/>
  <c r="G196" i="2"/>
  <c r="G195" i="2"/>
  <c r="G194" i="2"/>
  <c r="G170" i="2"/>
  <c r="G159" i="2"/>
  <c r="G152" i="2"/>
  <c r="G144" i="2"/>
  <c r="G136" i="2"/>
  <c r="G128" i="2"/>
  <c r="G120" i="2"/>
  <c r="G112" i="2"/>
  <c r="G104" i="2"/>
  <c r="G96" i="2"/>
  <c r="G88" i="2"/>
  <c r="G80" i="2"/>
  <c r="G72" i="2"/>
  <c r="C51" i="2"/>
  <c r="E45" i="2"/>
  <c r="G296" i="2"/>
  <c r="G295" i="2"/>
  <c r="G282" i="2"/>
  <c r="G280" i="2"/>
  <c r="G248" i="2"/>
  <c r="G226" i="2"/>
  <c r="G215" i="2"/>
  <c r="G192" i="2"/>
  <c r="G183" i="2"/>
  <c r="G182" i="2"/>
  <c r="G168" i="2"/>
  <c r="G158" i="2"/>
  <c r="G149" i="2"/>
  <c r="G141" i="2"/>
  <c r="G133" i="2"/>
  <c r="G125" i="2"/>
  <c r="G117" i="2"/>
  <c r="G109" i="2"/>
  <c r="G101" i="2"/>
  <c r="G93" i="2"/>
  <c r="G85" i="2"/>
  <c r="G77" i="2"/>
  <c r="G69" i="2"/>
  <c r="G395" i="2"/>
  <c r="G356" i="2"/>
  <c r="G513" i="2"/>
  <c r="G369" i="2"/>
  <c r="G304" i="2"/>
  <c r="G303" i="2"/>
  <c r="G266" i="2"/>
  <c r="G228" i="2"/>
  <c r="G223" i="2"/>
  <c r="G219" i="2"/>
  <c r="G197" i="2"/>
  <c r="G187" i="2"/>
  <c r="G175" i="2"/>
  <c r="G174" i="2"/>
  <c r="G160" i="2"/>
  <c r="G150" i="2"/>
  <c r="G142" i="2"/>
  <c r="G134" i="2"/>
  <c r="G126" i="2"/>
  <c r="G118" i="2"/>
  <c r="G110" i="2"/>
  <c r="G102" i="2"/>
  <c r="G94" i="2"/>
  <c r="G86" i="2"/>
  <c r="G78" i="2"/>
  <c r="G70" i="2"/>
  <c r="C52" i="2"/>
  <c r="G337" i="2"/>
  <c r="G317" i="2"/>
  <c r="G301" i="2"/>
  <c r="G206" i="2"/>
  <c r="G199" i="2"/>
  <c r="G189" i="2"/>
  <c r="G167" i="2"/>
  <c r="G163" i="2"/>
  <c r="G153" i="2"/>
  <c r="G146" i="2"/>
  <c r="G124" i="2"/>
  <c r="G103" i="2"/>
  <c r="G89" i="2"/>
  <c r="G82" i="2"/>
  <c r="G441" i="2"/>
  <c r="G320" i="2"/>
  <c r="G240" i="2"/>
  <c r="G200" i="2"/>
  <c r="G180" i="2"/>
  <c r="G145" i="2"/>
  <c r="G138" i="2"/>
  <c r="G116" i="2"/>
  <c r="G95" i="2"/>
  <c r="G81" i="2"/>
  <c r="G74" i="2"/>
  <c r="G309" i="2"/>
  <c r="G288" i="2"/>
  <c r="G227" i="2"/>
  <c r="G151" i="2"/>
  <c r="G137" i="2"/>
  <c r="G130" i="2"/>
  <c r="G108" i="2"/>
  <c r="G87" i="2"/>
  <c r="G73" i="2"/>
  <c r="G427" i="2"/>
  <c r="G343" i="2"/>
  <c r="G584" i="2"/>
  <c r="G382" i="2"/>
  <c r="G374" i="2"/>
  <c r="G435" i="2"/>
  <c r="G602" i="2"/>
  <c r="G494" i="2"/>
  <c r="G490" i="2"/>
  <c r="G365" i="2"/>
  <c r="G334" i="2"/>
  <c r="G311" i="2"/>
  <c r="G287" i="2"/>
  <c r="G274" i="2"/>
  <c r="G255" i="2"/>
  <c r="G239" i="2"/>
  <c r="G224" i="2"/>
  <c r="G154" i="2"/>
  <c r="G132" i="2"/>
  <c r="G111" i="2"/>
  <c r="G97" i="2"/>
  <c r="G90" i="2"/>
  <c r="G68" i="2"/>
  <c r="G205" i="2"/>
  <c r="G114" i="2"/>
  <c r="G210" i="2"/>
  <c r="G207" i="2"/>
  <c r="G198" i="2"/>
  <c r="G165" i="2"/>
  <c r="G127" i="2"/>
  <c r="G121" i="2"/>
  <c r="G76" i="2"/>
  <c r="C50" i="2"/>
  <c r="G202" i="2"/>
  <c r="G178" i="2"/>
  <c r="G157" i="2"/>
  <c r="G140" i="2"/>
  <c r="G122" i="2"/>
  <c r="G71" i="2"/>
  <c r="G188" i="2"/>
  <c r="G135" i="2"/>
  <c r="G129" i="2"/>
  <c r="G290" i="2"/>
  <c r="G237" i="2"/>
  <c r="G191" i="2"/>
  <c r="G119" i="2"/>
  <c r="G113" i="2"/>
  <c r="G106" i="2"/>
  <c r="G100" i="2"/>
  <c r="G166" i="2"/>
  <c r="G162" i="2"/>
  <c r="G143" i="2"/>
  <c r="G79" i="2"/>
  <c r="G105" i="2"/>
  <c r="G253" i="2"/>
  <c r="G211" i="2"/>
  <c r="G261" i="2"/>
  <c r="G203" i="2"/>
  <c r="G164" i="2"/>
  <c r="G92" i="2"/>
  <c r="G179" i="2"/>
  <c r="G148" i="2"/>
  <c r="G98" i="2"/>
  <c r="G84" i="2"/>
  <c r="K227" i="2"/>
  <c r="E227" i="2"/>
  <c r="F227" i="2" s="1"/>
  <c r="K217" i="2"/>
  <c r="E217" i="2"/>
  <c r="F217" i="2" s="1"/>
  <c r="K82" i="2"/>
  <c r="E82" i="2"/>
  <c r="F82" i="2" s="1"/>
  <c r="K138" i="2"/>
  <c r="E138" i="2"/>
  <c r="K229" i="2"/>
  <c r="E229" i="2"/>
  <c r="K294" i="2"/>
  <c r="E294" i="2"/>
  <c r="F294" i="2" s="1"/>
  <c r="K208" i="2"/>
  <c r="E208" i="2"/>
  <c r="F208" i="2" s="1"/>
  <c r="K90" i="2"/>
  <c r="E90" i="2"/>
  <c r="F90" i="2" s="1"/>
  <c r="K222" i="2"/>
  <c r="E222" i="2"/>
  <c r="K107" i="2"/>
  <c r="E107" i="2"/>
  <c r="F107" i="2" s="1"/>
  <c r="K251" i="2"/>
  <c r="E251" i="2"/>
  <c r="F251" i="2" s="1"/>
  <c r="K149" i="2"/>
  <c r="E149" i="2"/>
  <c r="F149" i="2" s="1"/>
  <c r="K71" i="2"/>
  <c r="E71" i="2"/>
  <c r="K135" i="2"/>
  <c r="E135" i="2"/>
  <c r="K209" i="2"/>
  <c r="E209" i="2"/>
  <c r="F209" i="2" s="1"/>
  <c r="K126" i="2"/>
  <c r="E126" i="2"/>
  <c r="F126" i="2" s="1"/>
  <c r="K185" i="2"/>
  <c r="E185" i="2"/>
  <c r="K359" i="2"/>
  <c r="E359" i="2"/>
  <c r="F359" i="2" s="1"/>
  <c r="K105" i="2"/>
  <c r="E105" i="2"/>
  <c r="F105" i="2" s="1"/>
  <c r="K175" i="2"/>
  <c r="E175" i="2"/>
  <c r="K407" i="2"/>
  <c r="E407" i="2"/>
  <c r="K108" i="2"/>
  <c r="E108" i="2"/>
  <c r="F108" i="2" s="1"/>
  <c r="K176" i="2"/>
  <c r="E176" i="2"/>
  <c r="F176" i="2" s="1"/>
  <c r="K238" i="2"/>
  <c r="E238" i="2"/>
  <c r="K315" i="2"/>
  <c r="E315" i="2"/>
  <c r="K438" i="2"/>
  <c r="E438" i="2"/>
  <c r="F438" i="2" s="1"/>
  <c r="K259" i="2"/>
  <c r="E259" i="2"/>
  <c r="K402" i="2"/>
  <c r="E402" i="2"/>
  <c r="F402" i="2" s="1"/>
  <c r="K297" i="2"/>
  <c r="E297" i="2"/>
  <c r="K164" i="2"/>
  <c r="E164" i="2"/>
  <c r="F164" i="2" s="1"/>
  <c r="K296" i="2"/>
  <c r="E296" i="2"/>
  <c r="F296" i="2" s="1"/>
  <c r="K426" i="2"/>
  <c r="E426" i="2"/>
  <c r="K269" i="2"/>
  <c r="E269" i="2"/>
  <c r="K329" i="2"/>
  <c r="E329" i="2"/>
  <c r="F329" i="2" s="1"/>
  <c r="K375" i="2"/>
  <c r="E375" i="2"/>
  <c r="F375" i="2" s="1"/>
  <c r="K471" i="2"/>
  <c r="E471" i="2"/>
  <c r="K260" i="2"/>
  <c r="E260" i="2"/>
  <c r="K332" i="2"/>
  <c r="E332" i="2"/>
  <c r="F332" i="2" s="1"/>
  <c r="K458" i="2"/>
  <c r="E458" i="2"/>
  <c r="F458" i="2" s="1"/>
  <c r="K255" i="2"/>
  <c r="E255" i="2"/>
  <c r="F255" i="2" s="1"/>
  <c r="K319" i="2"/>
  <c r="E319" i="2"/>
  <c r="K374" i="2"/>
  <c r="E374" i="2"/>
  <c r="K186" i="2"/>
  <c r="E186" i="2"/>
  <c r="F186" i="2" s="1"/>
  <c r="K250" i="2"/>
  <c r="E250" i="2"/>
  <c r="F250" i="2" s="1"/>
  <c r="K314" i="2"/>
  <c r="E314" i="2"/>
  <c r="F314" i="2" s="1"/>
  <c r="K457" i="2"/>
  <c r="E457" i="2"/>
  <c r="F457" i="2" s="1"/>
  <c r="K417" i="2"/>
  <c r="E417" i="2"/>
  <c r="F417" i="2" s="1"/>
  <c r="K575" i="2"/>
  <c r="E575" i="2"/>
  <c r="K429" i="2"/>
  <c r="E429" i="2"/>
  <c r="F429" i="2" s="1"/>
  <c r="K603" i="2"/>
  <c r="E603" i="2"/>
  <c r="K424" i="2"/>
  <c r="E424" i="2"/>
  <c r="F424" i="2" s="1"/>
  <c r="K482" i="2"/>
  <c r="E482" i="2"/>
  <c r="F482" i="2" s="1"/>
  <c r="K913" i="2"/>
  <c r="E913" i="2"/>
  <c r="K379" i="2"/>
  <c r="E379" i="2"/>
  <c r="F379" i="2" s="1"/>
  <c r="K443" i="2"/>
  <c r="E443" i="2"/>
  <c r="F443" i="2" s="1"/>
  <c r="K601" i="2"/>
  <c r="E601" i="2"/>
  <c r="K561" i="2"/>
  <c r="E561" i="2"/>
  <c r="F561" i="2" s="1"/>
  <c r="K539" i="2"/>
  <c r="E539" i="2"/>
  <c r="F539" i="2" s="1"/>
  <c r="K748" i="2"/>
  <c r="E748" i="2"/>
  <c r="F748" i="2" s="1"/>
  <c r="K519" i="2"/>
  <c r="E519" i="2"/>
  <c r="K475" i="2"/>
  <c r="E475" i="2"/>
  <c r="K617" i="2"/>
  <c r="E617" i="2"/>
  <c r="F617" i="2" s="1"/>
  <c r="K734" i="2"/>
  <c r="E734" i="2"/>
  <c r="F734" i="2" s="1"/>
  <c r="K669" i="2"/>
  <c r="E669" i="2"/>
  <c r="K528" i="2"/>
  <c r="E528" i="2"/>
  <c r="F528" i="2" s="1"/>
  <c r="K641" i="2"/>
  <c r="E641" i="2"/>
  <c r="F641" i="2" s="1"/>
  <c r="K563" i="2"/>
  <c r="E563" i="2"/>
  <c r="F563" i="2" s="1"/>
  <c r="K627" i="2"/>
  <c r="E627" i="2"/>
  <c r="K757" i="2"/>
  <c r="E757" i="2"/>
  <c r="F757" i="2" s="1"/>
  <c r="K596" i="2"/>
  <c r="E596" i="2"/>
  <c r="F596" i="2" s="1"/>
  <c r="K720" i="2"/>
  <c r="E720" i="2"/>
  <c r="F720" i="2" s="1"/>
  <c r="K515" i="2"/>
  <c r="E515" i="2"/>
  <c r="K574" i="2"/>
  <c r="E574" i="2"/>
  <c r="K721" i="2"/>
  <c r="E721" i="2"/>
  <c r="K607" i="2"/>
  <c r="E607" i="2"/>
  <c r="F607" i="2" s="1"/>
  <c r="K706" i="2"/>
  <c r="E706" i="2"/>
  <c r="K645" i="2"/>
  <c r="E645" i="2"/>
  <c r="F645" i="2" s="1"/>
  <c r="K746" i="2"/>
  <c r="E746" i="2"/>
  <c r="F746" i="2" s="1"/>
  <c r="K909" i="2"/>
  <c r="E909" i="2"/>
  <c r="F909" i="2" s="1"/>
  <c r="K541" i="2"/>
  <c r="E541" i="2"/>
  <c r="F541" i="2" s="1"/>
  <c r="K605" i="2"/>
  <c r="E605" i="2"/>
  <c r="K710" i="2"/>
  <c r="E710" i="2"/>
  <c r="F710" i="2" s="1"/>
  <c r="K881" i="2"/>
  <c r="E881" i="2"/>
  <c r="F881" i="2" s="1"/>
  <c r="K600" i="2"/>
  <c r="E600" i="2"/>
  <c r="K658" i="2"/>
  <c r="E658" i="2"/>
  <c r="K729" i="2"/>
  <c r="E729" i="2"/>
  <c r="F729" i="2" s="1"/>
  <c r="K685" i="2"/>
  <c r="E685" i="2"/>
  <c r="F685" i="2" s="1"/>
  <c r="K751" i="2"/>
  <c r="E751" i="2"/>
  <c r="F751" i="2" s="1"/>
  <c r="K692" i="2"/>
  <c r="E692" i="2"/>
  <c r="K763" i="2"/>
  <c r="E763" i="2"/>
  <c r="F763" i="2" s="1"/>
  <c r="K639" i="2"/>
  <c r="E639" i="2"/>
  <c r="F639" i="2" s="1"/>
  <c r="K703" i="2"/>
  <c r="E703" i="2"/>
  <c r="K788" i="2"/>
  <c r="E788" i="2"/>
  <c r="F788" i="2" s="1"/>
  <c r="K789" i="2"/>
  <c r="E789" i="2"/>
  <c r="F789" i="2" s="1"/>
  <c r="K920" i="2"/>
  <c r="E920" i="2"/>
  <c r="F920" i="2" s="1"/>
  <c r="K827" i="2"/>
  <c r="E827" i="2"/>
  <c r="K979" i="2"/>
  <c r="E979" i="2"/>
  <c r="F979" i="2" s="1"/>
  <c r="K777" i="2"/>
  <c r="E777" i="2"/>
  <c r="F777" i="2" s="1"/>
  <c r="K830" i="2"/>
  <c r="E830" i="2"/>
  <c r="K949" i="2"/>
  <c r="E949" i="2"/>
  <c r="K956" i="2"/>
  <c r="E956" i="2"/>
  <c r="K845" i="2"/>
  <c r="E845" i="2"/>
  <c r="F845" i="2" s="1"/>
  <c r="K914" i="2"/>
  <c r="E914" i="2"/>
  <c r="F914" i="2" s="1"/>
  <c r="K774" i="2"/>
  <c r="E774" i="2"/>
  <c r="K870" i="2"/>
  <c r="E870" i="2"/>
  <c r="K850" i="2"/>
  <c r="E850" i="2"/>
  <c r="F850" i="2" s="1"/>
  <c r="K912" i="2"/>
  <c r="E912" i="2"/>
  <c r="F912" i="2" s="1"/>
  <c r="K857" i="2"/>
  <c r="E857" i="2"/>
  <c r="F857" i="2" s="1"/>
  <c r="K922" i="2"/>
  <c r="E922" i="2"/>
  <c r="K828" i="2"/>
  <c r="E828" i="2"/>
  <c r="F828" i="2" s="1"/>
  <c r="K891" i="2"/>
  <c r="E891" i="2"/>
  <c r="F891" i="2" s="1"/>
  <c r="K1024" i="2"/>
  <c r="E1024" i="2"/>
  <c r="F1024" i="2" s="1"/>
  <c r="K900" i="2"/>
  <c r="E900" i="2"/>
  <c r="K958" i="2"/>
  <c r="E958" i="2"/>
  <c r="F958" i="2" s="1"/>
  <c r="K1026" i="2"/>
  <c r="E1026" i="2"/>
  <c r="F1026" i="2" s="1"/>
  <c r="K935" i="2"/>
  <c r="E935" i="2"/>
  <c r="F935" i="2" s="1"/>
  <c r="K957" i="2"/>
  <c r="E957" i="2"/>
  <c r="F957" i="2" s="1"/>
  <c r="K944" i="2"/>
  <c r="E944" i="2"/>
  <c r="K996" i="2"/>
  <c r="E996" i="2"/>
  <c r="F996" i="2" s="1"/>
  <c r="K991" i="2"/>
  <c r="E991" i="2"/>
  <c r="K1027" i="2"/>
  <c r="E1027" i="2"/>
  <c r="K1038" i="2"/>
  <c r="E1038" i="2"/>
  <c r="K1060" i="2"/>
  <c r="E1060" i="2"/>
  <c r="F1060" i="2" s="1"/>
  <c r="K1050" i="2"/>
  <c r="E1050" i="2"/>
  <c r="F1050" i="2" s="1"/>
  <c r="J71" i="1"/>
  <c r="L71" i="1"/>
  <c r="H71" i="1"/>
  <c r="I71" i="1" s="1"/>
  <c r="L399" i="1"/>
  <c r="J399" i="1"/>
  <c r="H399" i="1"/>
  <c r="I399" i="1" s="1"/>
  <c r="L268" i="1"/>
  <c r="J268" i="1"/>
  <c r="H268" i="1"/>
  <c r="I268" i="1" s="1"/>
  <c r="J74" i="1"/>
  <c r="L74" i="1"/>
  <c r="H74" i="1"/>
  <c r="I74" i="1" s="1"/>
  <c r="J333" i="1"/>
  <c r="L333" i="1"/>
  <c r="H333" i="1"/>
  <c r="I333" i="1" s="1"/>
  <c r="L73" i="1"/>
  <c r="J73" i="1"/>
  <c r="H73" i="1"/>
  <c r="I73" i="1" s="1"/>
  <c r="J97" i="1"/>
  <c r="L97" i="1"/>
  <c r="H97" i="1"/>
  <c r="I97" i="1" s="1"/>
  <c r="J145" i="1"/>
  <c r="L145" i="1"/>
  <c r="H145" i="1"/>
  <c r="L177" i="1"/>
  <c r="J177" i="1"/>
  <c r="H177" i="1"/>
  <c r="I177" i="1" s="1"/>
  <c r="J207" i="1"/>
  <c r="L207" i="1"/>
  <c r="H207" i="1"/>
  <c r="I207" i="1" s="1"/>
  <c r="L108" i="1"/>
  <c r="J108" i="1"/>
  <c r="H108" i="1"/>
  <c r="I108" i="1" s="1"/>
  <c r="J143" i="1"/>
  <c r="L143" i="1"/>
  <c r="H143" i="1"/>
  <c r="I143" i="1" s="1"/>
  <c r="L215" i="1"/>
  <c r="J215" i="1"/>
  <c r="H215" i="1"/>
  <c r="I215" i="1" s="1"/>
  <c r="J82" i="1"/>
  <c r="L82" i="1"/>
  <c r="H82" i="1"/>
  <c r="I82" i="1" s="1"/>
  <c r="J253" i="1"/>
  <c r="L253" i="1"/>
  <c r="H253" i="1"/>
  <c r="I253" i="1" s="1"/>
  <c r="L70" i="1"/>
  <c r="J70" i="1"/>
  <c r="H70" i="1"/>
  <c r="L134" i="1"/>
  <c r="J134" i="1"/>
  <c r="H134" i="1"/>
  <c r="I134" i="1" s="1"/>
  <c r="L198" i="1"/>
  <c r="J198" i="1"/>
  <c r="H198" i="1"/>
  <c r="I198" i="1" s="1"/>
  <c r="J264" i="1"/>
  <c r="L264" i="1"/>
  <c r="H264" i="1"/>
  <c r="L370" i="1"/>
  <c r="J370" i="1"/>
  <c r="H370" i="1"/>
  <c r="L519" i="1"/>
  <c r="J519" i="1"/>
  <c r="H519" i="1"/>
  <c r="J739" i="1"/>
  <c r="L739" i="1"/>
  <c r="H739" i="1"/>
  <c r="I739" i="1" s="1"/>
  <c r="J506" i="1"/>
  <c r="L506" i="1"/>
  <c r="H506" i="1"/>
  <c r="I506" i="1" s="1"/>
  <c r="L644" i="1"/>
  <c r="J644" i="1"/>
  <c r="H644" i="1"/>
  <c r="I644" i="1" s="1"/>
  <c r="L751" i="1"/>
  <c r="J751" i="1"/>
  <c r="H751" i="1"/>
  <c r="I751" i="1" s="1"/>
  <c r="L911" i="1"/>
  <c r="J911" i="1"/>
  <c r="H911" i="1"/>
  <c r="I911" i="1" s="1"/>
  <c r="L646" i="1"/>
  <c r="J646" i="1"/>
  <c r="H646" i="1"/>
  <c r="I646" i="1" s="1"/>
  <c r="J482" i="1"/>
  <c r="L482" i="1"/>
  <c r="H482" i="1"/>
  <c r="I482" i="1" s="1"/>
  <c r="L687" i="1"/>
  <c r="J687" i="1"/>
  <c r="H687" i="1"/>
  <c r="I687" i="1" s="1"/>
  <c r="J890" i="1"/>
  <c r="L890" i="1"/>
  <c r="H890" i="1"/>
  <c r="J270" i="1"/>
  <c r="L270" i="1"/>
  <c r="H270" i="1"/>
  <c r="I270" i="1" s="1"/>
  <c r="J85" i="1"/>
  <c r="L85" i="1"/>
  <c r="H85" i="1"/>
  <c r="I85" i="1" s="1"/>
  <c r="J173" i="1"/>
  <c r="L173" i="1"/>
  <c r="H173" i="1"/>
  <c r="I173" i="1" s="1"/>
  <c r="L258" i="1"/>
  <c r="J258" i="1"/>
  <c r="H258" i="1"/>
  <c r="I258" i="1" s="1"/>
  <c r="J381" i="1"/>
  <c r="L381" i="1"/>
  <c r="H381" i="1"/>
  <c r="I381" i="1" s="1"/>
  <c r="J521" i="1"/>
  <c r="L521" i="1"/>
  <c r="H521" i="1"/>
  <c r="J693" i="1"/>
  <c r="L693" i="1"/>
  <c r="H693" i="1"/>
  <c r="I693" i="1" s="1"/>
  <c r="J106" i="1"/>
  <c r="L106" i="1"/>
  <c r="H106" i="1"/>
  <c r="L697" i="1"/>
  <c r="J697" i="1"/>
  <c r="H697" i="1"/>
  <c r="I697" i="1" s="1"/>
  <c r="J72" i="1"/>
  <c r="L72" i="1"/>
  <c r="H72" i="1"/>
  <c r="J136" i="1"/>
  <c r="L136" i="1"/>
  <c r="H136" i="1"/>
  <c r="L200" i="1"/>
  <c r="J200" i="1"/>
  <c r="H200" i="1"/>
  <c r="I200" i="1" s="1"/>
  <c r="J272" i="1"/>
  <c r="L272" i="1"/>
  <c r="H272" i="1"/>
  <c r="I272" i="1" s="1"/>
  <c r="L394" i="1"/>
  <c r="J394" i="1"/>
  <c r="H394" i="1"/>
  <c r="L545" i="1"/>
  <c r="J545" i="1"/>
  <c r="H545" i="1"/>
  <c r="I545" i="1" s="1"/>
  <c r="L692" i="1"/>
  <c r="J692" i="1"/>
  <c r="H692" i="1"/>
  <c r="I692" i="1" s="1"/>
  <c r="J248" i="1"/>
  <c r="L248" i="1"/>
  <c r="H248" i="1"/>
  <c r="I248" i="1" s="1"/>
  <c r="J75" i="1"/>
  <c r="L75" i="1"/>
  <c r="H75" i="1"/>
  <c r="L139" i="1"/>
  <c r="J139" i="1"/>
  <c r="H139" i="1"/>
  <c r="I139" i="1" s="1"/>
  <c r="L203" i="1"/>
  <c r="J203" i="1"/>
  <c r="H203" i="1"/>
  <c r="I203" i="1" s="1"/>
  <c r="L276" i="1"/>
  <c r="J276" i="1"/>
  <c r="H276" i="1"/>
  <c r="I276" i="1" s="1"/>
  <c r="J389" i="1"/>
  <c r="L389" i="1"/>
  <c r="H389" i="1"/>
  <c r="I389" i="1" s="1"/>
  <c r="L529" i="1"/>
  <c r="J529" i="1"/>
  <c r="H529" i="1"/>
  <c r="I529" i="1" s="1"/>
  <c r="L292" i="1"/>
  <c r="J292" i="1"/>
  <c r="H292" i="1"/>
  <c r="L356" i="1"/>
  <c r="J356" i="1"/>
  <c r="H356" i="1"/>
  <c r="I356" i="1" s="1"/>
  <c r="L436" i="1"/>
  <c r="J436" i="1"/>
  <c r="H436" i="1"/>
  <c r="L509" i="1"/>
  <c r="J509" i="1"/>
  <c r="H509" i="1"/>
  <c r="I509" i="1" s="1"/>
  <c r="J650" i="1"/>
  <c r="L650" i="1"/>
  <c r="H650" i="1"/>
  <c r="I650" i="1" s="1"/>
  <c r="J769" i="1"/>
  <c r="L769" i="1"/>
  <c r="H769" i="1"/>
  <c r="I769" i="1" s="1"/>
  <c r="L876" i="1"/>
  <c r="J876" i="1"/>
  <c r="H876" i="1"/>
  <c r="I876" i="1" s="1"/>
  <c r="L1042" i="1"/>
  <c r="J1042" i="1"/>
  <c r="H1042" i="1"/>
  <c r="I1042" i="1" s="1"/>
  <c r="J933" i="1"/>
  <c r="L933" i="1"/>
  <c r="H933" i="1"/>
  <c r="J299" i="1"/>
  <c r="L299" i="1"/>
  <c r="H299" i="1"/>
  <c r="I299" i="1" s="1"/>
  <c r="J363" i="1"/>
  <c r="L363" i="1"/>
  <c r="H363" i="1"/>
  <c r="I363" i="1" s="1"/>
  <c r="J434" i="1"/>
  <c r="L434" i="1"/>
  <c r="H434" i="1"/>
  <c r="J498" i="1"/>
  <c r="L498" i="1"/>
  <c r="H498" i="1"/>
  <c r="I498" i="1" s="1"/>
  <c r="J578" i="1"/>
  <c r="L578" i="1"/>
  <c r="H578" i="1"/>
  <c r="I578" i="1" s="1"/>
  <c r="J677" i="1"/>
  <c r="L677" i="1"/>
  <c r="H677" i="1"/>
  <c r="J776" i="1"/>
  <c r="L776" i="1"/>
  <c r="H776" i="1"/>
  <c r="I776" i="1" s="1"/>
  <c r="J914" i="1"/>
  <c r="L914" i="1"/>
  <c r="H914" i="1"/>
  <c r="L318" i="1"/>
  <c r="J318" i="1"/>
  <c r="H318" i="1"/>
  <c r="I318" i="1" s="1"/>
  <c r="L382" i="1"/>
  <c r="J382" i="1"/>
  <c r="H382" i="1"/>
  <c r="L449" i="1"/>
  <c r="J449" i="1"/>
  <c r="H449" i="1"/>
  <c r="I449" i="1" s="1"/>
  <c r="J535" i="1"/>
  <c r="L535" i="1"/>
  <c r="H535" i="1"/>
  <c r="I535" i="1" s="1"/>
  <c r="J615" i="1"/>
  <c r="L615" i="1"/>
  <c r="H615" i="1"/>
  <c r="I615" i="1" s="1"/>
  <c r="L761" i="1"/>
  <c r="J761" i="1"/>
  <c r="H761" i="1"/>
  <c r="I761" i="1" s="1"/>
  <c r="L978" i="1"/>
  <c r="J978" i="1"/>
  <c r="H978" i="1"/>
  <c r="I978" i="1" s="1"/>
  <c r="J257" i="1"/>
  <c r="L257" i="1"/>
  <c r="H257" i="1"/>
  <c r="J321" i="1"/>
  <c r="L321" i="1"/>
  <c r="H321" i="1"/>
  <c r="I321" i="1" s="1"/>
  <c r="J385" i="1"/>
  <c r="L385" i="1"/>
  <c r="H385" i="1"/>
  <c r="L454" i="1"/>
  <c r="J454" i="1"/>
  <c r="H454" i="1"/>
  <c r="L518" i="1"/>
  <c r="J518" i="1"/>
  <c r="H518" i="1"/>
  <c r="I518" i="1" s="1"/>
  <c r="J626" i="1"/>
  <c r="L626" i="1"/>
  <c r="H626" i="1"/>
  <c r="I626" i="1" s="1"/>
  <c r="L706" i="1"/>
  <c r="J706" i="1"/>
  <c r="H706" i="1"/>
  <c r="I706" i="1" s="1"/>
  <c r="J826" i="1"/>
  <c r="L826" i="1"/>
  <c r="H826" i="1"/>
  <c r="I826" i="1" s="1"/>
  <c r="L864" i="1"/>
  <c r="J864" i="1"/>
  <c r="H864" i="1"/>
  <c r="L981" i="1"/>
  <c r="J981" i="1"/>
  <c r="H981" i="1"/>
  <c r="I981" i="1" s="1"/>
  <c r="J549" i="1"/>
  <c r="L549" i="1"/>
  <c r="H549" i="1"/>
  <c r="J613" i="1"/>
  <c r="L613" i="1"/>
  <c r="H613" i="1"/>
  <c r="I613" i="1" s="1"/>
  <c r="J676" i="1"/>
  <c r="L676" i="1"/>
  <c r="H676" i="1"/>
  <c r="I676" i="1" s="1"/>
  <c r="J770" i="1"/>
  <c r="L770" i="1"/>
  <c r="H770" i="1"/>
  <c r="J834" i="1"/>
  <c r="L834" i="1"/>
  <c r="H834" i="1"/>
  <c r="I834" i="1" s="1"/>
  <c r="L916" i="1"/>
  <c r="J916" i="1"/>
  <c r="H916" i="1"/>
  <c r="L560" i="1"/>
  <c r="J560" i="1"/>
  <c r="H560" i="1"/>
  <c r="I560" i="1" s="1"/>
  <c r="L624" i="1"/>
  <c r="J624" i="1"/>
  <c r="H624" i="1"/>
  <c r="I624" i="1" s="1"/>
  <c r="J685" i="1"/>
  <c r="L685" i="1"/>
  <c r="H685" i="1"/>
  <c r="J749" i="1"/>
  <c r="L749" i="1"/>
  <c r="H749" i="1"/>
  <c r="J990" i="1"/>
  <c r="L990" i="1"/>
  <c r="H990" i="1"/>
  <c r="I990" i="1" s="1"/>
  <c r="L435" i="1"/>
  <c r="J435" i="1"/>
  <c r="H435" i="1"/>
  <c r="I435" i="1" s="1"/>
  <c r="L499" i="1"/>
  <c r="J499" i="1"/>
  <c r="H499" i="1"/>
  <c r="J563" i="1"/>
  <c r="L563" i="1"/>
  <c r="H563" i="1"/>
  <c r="I563" i="1" s="1"/>
  <c r="J627" i="1"/>
  <c r="L627" i="1"/>
  <c r="H627" i="1"/>
  <c r="J700" i="1"/>
  <c r="L700" i="1"/>
  <c r="H700" i="1"/>
  <c r="I700" i="1" s="1"/>
  <c r="L775" i="1"/>
  <c r="J775" i="1"/>
  <c r="H775" i="1"/>
  <c r="I775" i="1" s="1"/>
  <c r="J821" i="1"/>
  <c r="L821" i="1"/>
  <c r="H821" i="1"/>
  <c r="L857" i="1"/>
  <c r="J857" i="1"/>
  <c r="H857" i="1"/>
  <c r="I857" i="1" s="1"/>
  <c r="L966" i="1"/>
  <c r="J966" i="1"/>
  <c r="H966" i="1"/>
  <c r="I966" i="1" s="1"/>
  <c r="L921" i="1"/>
  <c r="J921" i="1"/>
  <c r="H921" i="1"/>
  <c r="I921" i="1" s="1"/>
  <c r="L989" i="1"/>
  <c r="J989" i="1"/>
  <c r="H989" i="1"/>
  <c r="J1064" i="1"/>
  <c r="L1064" i="1"/>
  <c r="H1064" i="1"/>
  <c r="I1064" i="1" s="1"/>
  <c r="J928" i="1"/>
  <c r="L928" i="1"/>
  <c r="H928" i="1"/>
  <c r="I928" i="1" s="1"/>
  <c r="J1008" i="1"/>
  <c r="L1008" i="1"/>
  <c r="H1008" i="1"/>
  <c r="I1008" i="1" s="1"/>
  <c r="J787" i="1"/>
  <c r="L787" i="1"/>
  <c r="H787" i="1"/>
  <c r="I787" i="1" s="1"/>
  <c r="J851" i="1"/>
  <c r="L851" i="1"/>
  <c r="H851" i="1"/>
  <c r="I851" i="1" s="1"/>
  <c r="L915" i="1"/>
  <c r="J915" i="1"/>
  <c r="H915" i="1"/>
  <c r="I915" i="1" s="1"/>
  <c r="L975" i="1"/>
  <c r="J975" i="1"/>
  <c r="H975" i="1"/>
  <c r="I975" i="1" s="1"/>
  <c r="L1050" i="1"/>
  <c r="J1050" i="1"/>
  <c r="H1050" i="1"/>
  <c r="I1050" i="1" s="1"/>
  <c r="L718" i="1"/>
  <c r="J718" i="1"/>
  <c r="H718" i="1"/>
  <c r="L782" i="1"/>
  <c r="J782" i="1"/>
  <c r="H782" i="1"/>
  <c r="I782" i="1" s="1"/>
  <c r="L846" i="1"/>
  <c r="J846" i="1"/>
  <c r="H846" i="1"/>
  <c r="L910" i="1"/>
  <c r="J910" i="1"/>
  <c r="H910" i="1"/>
  <c r="J1011" i="1"/>
  <c r="L1011" i="1"/>
  <c r="H1011" i="1"/>
  <c r="L980" i="1"/>
  <c r="J980" i="1"/>
  <c r="H980" i="1"/>
  <c r="I980" i="1" s="1"/>
  <c r="L1044" i="1"/>
  <c r="J1044" i="1"/>
  <c r="H1044" i="1"/>
  <c r="I1044" i="1" s="1"/>
  <c r="L993" i="1"/>
  <c r="J993" i="1"/>
  <c r="H993" i="1"/>
  <c r="I993" i="1" s="1"/>
  <c r="L1057" i="1"/>
  <c r="J1057" i="1"/>
  <c r="H1057" i="1"/>
  <c r="K901" i="1"/>
  <c r="E901" i="1"/>
  <c r="F901" i="1" s="1"/>
  <c r="K862" i="1"/>
  <c r="E862" i="1"/>
  <c r="F862" i="1" s="1"/>
  <c r="K188" i="1"/>
  <c r="E188" i="1"/>
  <c r="K381" i="1"/>
  <c r="E381" i="1"/>
  <c r="F381" i="1" s="1"/>
  <c r="K797" i="1"/>
  <c r="E797" i="1"/>
  <c r="K477" i="1"/>
  <c r="E477" i="1"/>
  <c r="K367" i="1"/>
  <c r="E367" i="1"/>
  <c r="F367" i="1" s="1"/>
  <c r="K1009" i="1"/>
  <c r="E1009" i="1"/>
  <c r="F1009" i="1" s="1"/>
  <c r="K675" i="1"/>
  <c r="E675" i="1"/>
  <c r="F675" i="1" s="1"/>
  <c r="K755" i="1"/>
  <c r="E755" i="1"/>
  <c r="F755" i="1" s="1"/>
  <c r="K920" i="1"/>
  <c r="E920" i="1"/>
  <c r="F920" i="1" s="1"/>
  <c r="K420" i="1"/>
  <c r="E420" i="1"/>
  <c r="K484" i="1"/>
  <c r="E484" i="1"/>
  <c r="F484" i="1" s="1"/>
  <c r="K548" i="1"/>
  <c r="E548" i="1"/>
  <c r="F548" i="1" s="1"/>
  <c r="K612" i="1"/>
  <c r="E612" i="1"/>
  <c r="K674" i="1"/>
  <c r="E674" i="1"/>
  <c r="F674" i="1" s="1"/>
  <c r="K724" i="1"/>
  <c r="E724" i="1"/>
  <c r="F724" i="1" s="1"/>
  <c r="K795" i="1"/>
  <c r="E795" i="1"/>
  <c r="F795" i="1" s="1"/>
  <c r="K969" i="1"/>
  <c r="E969" i="1"/>
  <c r="K914" i="1"/>
  <c r="E914" i="1"/>
  <c r="K992" i="1"/>
  <c r="E992" i="1"/>
  <c r="F992" i="1" s="1"/>
  <c r="K873" i="1"/>
  <c r="E873" i="1"/>
  <c r="F873" i="1" s="1"/>
  <c r="K937" i="1"/>
  <c r="E937" i="1"/>
  <c r="K1025" i="1"/>
  <c r="E1025" i="1"/>
  <c r="K804" i="1"/>
  <c r="E804" i="1"/>
  <c r="K868" i="1"/>
  <c r="E868" i="1"/>
  <c r="F868" i="1" s="1"/>
  <c r="K932" i="1"/>
  <c r="E932" i="1"/>
  <c r="K1015" i="1"/>
  <c r="E1015" i="1"/>
  <c r="F1015" i="1" s="1"/>
  <c r="K695" i="1"/>
  <c r="E695" i="1"/>
  <c r="F695" i="1" s="1"/>
  <c r="K759" i="1"/>
  <c r="E759" i="1"/>
  <c r="F759" i="1" s="1"/>
  <c r="K823" i="1"/>
  <c r="E823" i="1"/>
  <c r="F823" i="1" s="1"/>
  <c r="K887" i="1"/>
  <c r="E887" i="1"/>
  <c r="K951" i="1"/>
  <c r="E951" i="1"/>
  <c r="F951" i="1" s="1"/>
  <c r="K1028" i="1"/>
  <c r="E1028" i="1"/>
  <c r="F1028" i="1" s="1"/>
  <c r="K997" i="1"/>
  <c r="E997" i="1"/>
  <c r="F997" i="1" s="1"/>
  <c r="K1061" i="1"/>
  <c r="E1061" i="1"/>
  <c r="F1061" i="1" s="1"/>
  <c r="K1010" i="1"/>
  <c r="E1010" i="1"/>
  <c r="F1010" i="1" s="1"/>
  <c r="K272" i="2"/>
  <c r="E272" i="2"/>
  <c r="F272" i="2" s="1"/>
  <c r="K96" i="2"/>
  <c r="E96" i="2"/>
  <c r="K131" i="2"/>
  <c r="E131" i="2"/>
  <c r="K155" i="2"/>
  <c r="E155" i="2"/>
  <c r="F155" i="2" s="1"/>
  <c r="K278" i="2"/>
  <c r="E278" i="2"/>
  <c r="F278" i="2" s="1"/>
  <c r="K80" i="2"/>
  <c r="E80" i="2"/>
  <c r="K215" i="2"/>
  <c r="E215" i="2"/>
  <c r="F215" i="2" s="1"/>
  <c r="K99" i="2"/>
  <c r="E99" i="2"/>
  <c r="F99" i="2" s="1"/>
  <c r="K230" i="2"/>
  <c r="E230" i="2"/>
  <c r="F230" i="2" s="1"/>
  <c r="K128" i="2"/>
  <c r="E128" i="2"/>
  <c r="F128" i="2" s="1"/>
  <c r="K257" i="2"/>
  <c r="E257" i="2"/>
  <c r="K166" i="2"/>
  <c r="E166" i="2"/>
  <c r="F166" i="2" s="1"/>
  <c r="K79" i="2"/>
  <c r="E79" i="2"/>
  <c r="F79" i="2" s="1"/>
  <c r="K143" i="2"/>
  <c r="E143" i="2"/>
  <c r="F143" i="2" s="1"/>
  <c r="K270" i="2"/>
  <c r="E270" i="2"/>
  <c r="F270" i="2" s="1"/>
  <c r="K70" i="2"/>
  <c r="E70" i="2"/>
  <c r="F70" i="2" s="1"/>
  <c r="K134" i="2"/>
  <c r="E134" i="2"/>
  <c r="F134" i="2" s="1"/>
  <c r="K197" i="2"/>
  <c r="E197" i="2"/>
  <c r="F197" i="2" s="1"/>
  <c r="K380" i="2"/>
  <c r="E380" i="2"/>
  <c r="K113" i="2"/>
  <c r="E113" i="2"/>
  <c r="F113" i="2" s="1"/>
  <c r="K198" i="2"/>
  <c r="E198" i="2"/>
  <c r="F198" i="2" s="1"/>
  <c r="K449" i="2"/>
  <c r="E449" i="2"/>
  <c r="K116" i="2"/>
  <c r="E116" i="2"/>
  <c r="F116" i="2" s="1"/>
  <c r="K188" i="2"/>
  <c r="E188" i="2"/>
  <c r="F188" i="2" s="1"/>
  <c r="K240" i="2"/>
  <c r="E240" i="2"/>
  <c r="F240" i="2" s="1"/>
  <c r="K335" i="2"/>
  <c r="E335" i="2"/>
  <c r="K470" i="2"/>
  <c r="E470" i="2"/>
  <c r="F470" i="2" s="1"/>
  <c r="K280" i="2"/>
  <c r="E280" i="2"/>
  <c r="F280" i="2" s="1"/>
  <c r="K462" i="2"/>
  <c r="E462" i="2"/>
  <c r="F462" i="2" s="1"/>
  <c r="K318" i="2"/>
  <c r="E318" i="2"/>
  <c r="K187" i="2"/>
  <c r="E187" i="2"/>
  <c r="K305" i="2"/>
  <c r="E305" i="2"/>
  <c r="F305" i="2" s="1"/>
  <c r="K439" i="2"/>
  <c r="E439" i="2"/>
  <c r="F439" i="2" s="1"/>
  <c r="K277" i="2"/>
  <c r="E277" i="2"/>
  <c r="F277" i="2" s="1"/>
  <c r="K334" i="2"/>
  <c r="E334" i="2"/>
  <c r="F334" i="2" s="1"/>
  <c r="K382" i="2"/>
  <c r="E382" i="2"/>
  <c r="F382" i="2" s="1"/>
  <c r="K479" i="2"/>
  <c r="E479" i="2"/>
  <c r="F479" i="2" s="1"/>
  <c r="K268" i="2"/>
  <c r="E268" i="2"/>
  <c r="F268" i="2" s="1"/>
  <c r="K341" i="2"/>
  <c r="E341" i="2"/>
  <c r="F341" i="2" s="1"/>
  <c r="K466" i="2"/>
  <c r="E466" i="2"/>
  <c r="F466" i="2" s="1"/>
  <c r="K263" i="2"/>
  <c r="E263" i="2"/>
  <c r="F263" i="2" s="1"/>
  <c r="K328" i="2"/>
  <c r="E328" i="2"/>
  <c r="F328" i="2" s="1"/>
  <c r="K404" i="2"/>
  <c r="E404" i="2"/>
  <c r="F404" i="2" s="1"/>
  <c r="K194" i="2"/>
  <c r="E194" i="2"/>
  <c r="F194" i="2" s="1"/>
  <c r="K258" i="2"/>
  <c r="E258" i="2"/>
  <c r="F258" i="2" s="1"/>
  <c r="K324" i="2"/>
  <c r="E324" i="2"/>
  <c r="K498" i="2"/>
  <c r="E498" i="2"/>
  <c r="K425" i="2"/>
  <c r="E425" i="2"/>
  <c r="K642" i="2"/>
  <c r="E642" i="2"/>
  <c r="F642" i="2" s="1"/>
  <c r="K437" i="2"/>
  <c r="E437" i="2"/>
  <c r="K722" i="2"/>
  <c r="E722" i="2"/>
  <c r="K432" i="2"/>
  <c r="E432" i="2"/>
  <c r="F432" i="2" s="1"/>
  <c r="K487" i="2"/>
  <c r="E487" i="2"/>
  <c r="F487" i="2" s="1"/>
  <c r="K323" i="2"/>
  <c r="E323" i="2"/>
  <c r="K387" i="2"/>
  <c r="E387" i="2"/>
  <c r="F387" i="2" s="1"/>
  <c r="K460" i="2"/>
  <c r="E460" i="2"/>
  <c r="F460" i="2" s="1"/>
  <c r="K614" i="2"/>
  <c r="E614" i="2"/>
  <c r="F614" i="2" s="1"/>
  <c r="K567" i="2"/>
  <c r="E567" i="2"/>
  <c r="F567" i="2" s="1"/>
  <c r="K555" i="2"/>
  <c r="E555" i="2"/>
  <c r="K464" i="2"/>
  <c r="E464" i="2"/>
  <c r="F464" i="2" s="1"/>
  <c r="K522" i="2"/>
  <c r="E522" i="2"/>
  <c r="F522" i="2" s="1"/>
  <c r="K486" i="2"/>
  <c r="E486" i="2"/>
  <c r="K702" i="2"/>
  <c r="E702" i="2"/>
  <c r="F702" i="2" s="1"/>
  <c r="K739" i="2"/>
  <c r="E739" i="2"/>
  <c r="F739" i="2" s="1"/>
  <c r="K673" i="2"/>
  <c r="E673" i="2"/>
  <c r="F673" i="2" s="1"/>
  <c r="K530" i="2"/>
  <c r="E530" i="2"/>
  <c r="K674" i="2"/>
  <c r="E674" i="2"/>
  <c r="K578" i="2"/>
  <c r="E578" i="2"/>
  <c r="F578" i="2" s="1"/>
  <c r="K629" i="2"/>
  <c r="E629" i="2"/>
  <c r="F629" i="2" s="1"/>
  <c r="K768" i="2"/>
  <c r="E768" i="2"/>
  <c r="F768" i="2" s="1"/>
  <c r="K612" i="2"/>
  <c r="E612" i="2"/>
  <c r="K780" i="2"/>
  <c r="E780" i="2"/>
  <c r="F780" i="2" s="1"/>
  <c r="K520" i="2"/>
  <c r="E520" i="2"/>
  <c r="F520" i="2" s="1"/>
  <c r="K590" i="2"/>
  <c r="E590" i="2"/>
  <c r="F590" i="2" s="1"/>
  <c r="K738" i="2"/>
  <c r="E738" i="2"/>
  <c r="F738" i="2" s="1"/>
  <c r="K609" i="2"/>
  <c r="E609" i="2"/>
  <c r="K715" i="2"/>
  <c r="E715" i="2"/>
  <c r="F715" i="2" s="1"/>
  <c r="K650" i="2"/>
  <c r="E650" i="2"/>
  <c r="F650" i="2" s="1"/>
  <c r="K754" i="2"/>
  <c r="E754" i="2"/>
  <c r="K485" i="2"/>
  <c r="E485" i="2"/>
  <c r="F485" i="2" s="1"/>
  <c r="K549" i="2"/>
  <c r="E549" i="2"/>
  <c r="F549" i="2" s="1"/>
  <c r="K613" i="2"/>
  <c r="E613" i="2"/>
  <c r="K730" i="2"/>
  <c r="E730" i="2"/>
  <c r="K544" i="2"/>
  <c r="E544" i="2"/>
  <c r="F544" i="2" s="1"/>
  <c r="K608" i="2"/>
  <c r="E608" i="2"/>
  <c r="F608" i="2" s="1"/>
  <c r="K662" i="2"/>
  <c r="E662" i="2"/>
  <c r="F662" i="2" s="1"/>
  <c r="K747" i="2"/>
  <c r="E747" i="2"/>
  <c r="K693" i="2"/>
  <c r="E693" i="2"/>
  <c r="F693" i="2" s="1"/>
  <c r="K794" i="2"/>
  <c r="E794" i="2"/>
  <c r="F794" i="2" s="1"/>
  <c r="K700" i="2"/>
  <c r="E700" i="2"/>
  <c r="F700" i="2" s="1"/>
  <c r="K773" i="2"/>
  <c r="E773" i="2"/>
  <c r="F773" i="2" s="1"/>
  <c r="K647" i="2"/>
  <c r="E647" i="2"/>
  <c r="F647" i="2" s="1"/>
  <c r="K711" i="2"/>
  <c r="E711" i="2"/>
  <c r="F711" i="2" s="1"/>
  <c r="K808" i="2"/>
  <c r="E808" i="2"/>
  <c r="F808" i="2" s="1"/>
  <c r="K791" i="2"/>
  <c r="E791" i="2"/>
  <c r="F791" i="2" s="1"/>
  <c r="K758" i="2"/>
  <c r="E758" i="2"/>
  <c r="F758" i="2" s="1"/>
  <c r="K840" i="2"/>
  <c r="E840" i="2"/>
  <c r="F840" i="2" s="1"/>
  <c r="K1032" i="2"/>
  <c r="E1032" i="2"/>
  <c r="F1032" i="2" s="1"/>
  <c r="K781" i="2"/>
  <c r="E781" i="2"/>
  <c r="K831" i="2"/>
  <c r="E831" i="2"/>
  <c r="K954" i="2"/>
  <c r="E954" i="2"/>
  <c r="F954" i="2" s="1"/>
  <c r="K997" i="2"/>
  <c r="E997" i="2"/>
  <c r="K846" i="2"/>
  <c r="E846" i="2"/>
  <c r="K918" i="2"/>
  <c r="E918" i="2"/>
  <c r="F918" i="2" s="1"/>
  <c r="K782" i="2"/>
  <c r="E782" i="2"/>
  <c r="F782" i="2" s="1"/>
  <c r="K885" i="2"/>
  <c r="E885" i="2"/>
  <c r="K858" i="2"/>
  <c r="E858" i="2"/>
  <c r="F858" i="2" s="1"/>
  <c r="K926" i="2"/>
  <c r="E926" i="2"/>
  <c r="F926" i="2" s="1"/>
  <c r="K865" i="2"/>
  <c r="E865" i="2"/>
  <c r="F865" i="2" s="1"/>
  <c r="K928" i="2"/>
  <c r="E928" i="2"/>
  <c r="K836" i="2"/>
  <c r="E836" i="2"/>
  <c r="F836" i="2" s="1"/>
  <c r="K907" i="2"/>
  <c r="E907" i="2"/>
  <c r="F907" i="2" s="1"/>
  <c r="K933" i="2"/>
  <c r="E933" i="2"/>
  <c r="F933" i="2" s="1"/>
  <c r="K908" i="2"/>
  <c r="E908" i="2"/>
  <c r="K962" i="2"/>
  <c r="E962" i="2"/>
  <c r="F962" i="2" s="1"/>
  <c r="K1033" i="2"/>
  <c r="E1033" i="2"/>
  <c r="F1033" i="2" s="1"/>
  <c r="K959" i="2"/>
  <c r="E959" i="2"/>
  <c r="F959" i="2" s="1"/>
  <c r="K968" i="2"/>
  <c r="E968" i="2"/>
  <c r="K952" i="2"/>
  <c r="E952" i="2"/>
  <c r="F952" i="2" s="1"/>
  <c r="K1037" i="2"/>
  <c r="E1037" i="2"/>
  <c r="F1037" i="2" s="1"/>
  <c r="K1005" i="2"/>
  <c r="E1005" i="2"/>
  <c r="F1005" i="2" s="1"/>
  <c r="K1035" i="2"/>
  <c r="E1035" i="2"/>
  <c r="K1046" i="2"/>
  <c r="E1046" i="2"/>
  <c r="F1046" i="2" s="1"/>
  <c r="K1015" i="2"/>
  <c r="E1015" i="2"/>
  <c r="F1015" i="2" s="1"/>
  <c r="K1058" i="2"/>
  <c r="E1058" i="2"/>
  <c r="F1058" i="2" s="1"/>
  <c r="L211" i="1"/>
  <c r="J211" i="1"/>
  <c r="H211" i="1"/>
  <c r="I211" i="1" s="1"/>
  <c r="L424" i="1"/>
  <c r="J424" i="1"/>
  <c r="H424" i="1"/>
  <c r="I424" i="1" s="1"/>
  <c r="J450" i="1"/>
  <c r="L450" i="1"/>
  <c r="H450" i="1"/>
  <c r="I450" i="1" s="1"/>
  <c r="J296" i="1"/>
  <c r="L296" i="1"/>
  <c r="H296" i="1"/>
  <c r="L367" i="1"/>
  <c r="J367" i="1"/>
  <c r="H367" i="1"/>
  <c r="I367" i="1" s="1"/>
  <c r="J301" i="1"/>
  <c r="L301" i="1"/>
  <c r="H301" i="1"/>
  <c r="L100" i="1"/>
  <c r="J100" i="1"/>
  <c r="H100" i="1"/>
  <c r="I100" i="1" s="1"/>
  <c r="L148" i="1"/>
  <c r="J148" i="1"/>
  <c r="H148" i="1"/>
  <c r="I148" i="1" s="1"/>
  <c r="L180" i="1"/>
  <c r="J180" i="1"/>
  <c r="H180" i="1"/>
  <c r="I180" i="1" s="1"/>
  <c r="J309" i="1"/>
  <c r="L309" i="1"/>
  <c r="H309" i="1"/>
  <c r="I309" i="1" s="1"/>
  <c r="J111" i="1"/>
  <c r="L111" i="1"/>
  <c r="H111" i="1"/>
  <c r="I111" i="1" s="1"/>
  <c r="J153" i="1"/>
  <c r="L153" i="1"/>
  <c r="H153" i="1"/>
  <c r="I153" i="1" s="1"/>
  <c r="L220" i="1"/>
  <c r="J220" i="1"/>
  <c r="H220" i="1"/>
  <c r="I220" i="1" s="1"/>
  <c r="J98" i="1"/>
  <c r="L98" i="1"/>
  <c r="H98" i="1"/>
  <c r="J304" i="1"/>
  <c r="L304" i="1"/>
  <c r="H304" i="1"/>
  <c r="I304" i="1" s="1"/>
  <c r="L78" i="1"/>
  <c r="J78" i="1"/>
  <c r="H78" i="1"/>
  <c r="I78" i="1" s="1"/>
  <c r="L142" i="1"/>
  <c r="J142" i="1"/>
  <c r="H142" i="1"/>
  <c r="I142" i="1" s="1"/>
  <c r="L206" i="1"/>
  <c r="J206" i="1"/>
  <c r="H206" i="1"/>
  <c r="I206" i="1" s="1"/>
  <c r="L277" i="1"/>
  <c r="J277" i="1"/>
  <c r="H277" i="1"/>
  <c r="J384" i="1"/>
  <c r="L384" i="1"/>
  <c r="H384" i="1"/>
  <c r="I384" i="1" s="1"/>
  <c r="J570" i="1"/>
  <c r="L570" i="1"/>
  <c r="H570" i="1"/>
  <c r="I570" i="1" s="1"/>
  <c r="L768" i="1"/>
  <c r="J768" i="1"/>
  <c r="H768" i="1"/>
  <c r="I768" i="1" s="1"/>
  <c r="L528" i="1"/>
  <c r="J528" i="1"/>
  <c r="H528" i="1"/>
  <c r="I528" i="1" s="1"/>
  <c r="L657" i="1"/>
  <c r="J657" i="1"/>
  <c r="H657" i="1"/>
  <c r="I657" i="1" s="1"/>
  <c r="J753" i="1"/>
  <c r="L753" i="1"/>
  <c r="H753" i="1"/>
  <c r="I753" i="1" s="1"/>
  <c r="L446" i="1"/>
  <c r="J446" i="1"/>
  <c r="H446" i="1"/>
  <c r="I446" i="1" s="1"/>
  <c r="L660" i="1"/>
  <c r="J660" i="1"/>
  <c r="H660" i="1"/>
  <c r="I660" i="1" s="1"/>
  <c r="J489" i="1"/>
  <c r="L489" i="1"/>
  <c r="H489" i="1"/>
  <c r="L728" i="1"/>
  <c r="J728" i="1"/>
  <c r="H728" i="1"/>
  <c r="I728" i="1" s="1"/>
  <c r="J130" i="1"/>
  <c r="L130" i="1"/>
  <c r="H130" i="1"/>
  <c r="I130" i="1" s="1"/>
  <c r="L290" i="1"/>
  <c r="J290" i="1"/>
  <c r="H290" i="1"/>
  <c r="I290" i="1" s="1"/>
  <c r="J109" i="1"/>
  <c r="L109" i="1"/>
  <c r="H109" i="1"/>
  <c r="I109" i="1" s="1"/>
  <c r="J181" i="1"/>
  <c r="L181" i="1"/>
  <c r="H181" i="1"/>
  <c r="I181" i="1" s="1"/>
  <c r="J263" i="1"/>
  <c r="L263" i="1"/>
  <c r="H263" i="1"/>
  <c r="I263" i="1" s="1"/>
  <c r="L407" i="1"/>
  <c r="J407" i="1"/>
  <c r="H407" i="1"/>
  <c r="I407" i="1" s="1"/>
  <c r="L580" i="1"/>
  <c r="J580" i="1"/>
  <c r="H580" i="1"/>
  <c r="L711" i="1"/>
  <c r="J711" i="1"/>
  <c r="H711" i="1"/>
  <c r="I711" i="1" s="1"/>
  <c r="J138" i="1"/>
  <c r="L138" i="1"/>
  <c r="H138" i="1"/>
  <c r="J69" i="1"/>
  <c r="L69" i="1"/>
  <c r="H69" i="1"/>
  <c r="I69" i="1" s="1"/>
  <c r="J80" i="1"/>
  <c r="L80" i="1"/>
  <c r="H80" i="1"/>
  <c r="I80" i="1" s="1"/>
  <c r="J144" i="1"/>
  <c r="L144" i="1"/>
  <c r="H144" i="1"/>
  <c r="J208" i="1"/>
  <c r="L208" i="1"/>
  <c r="H208" i="1"/>
  <c r="L284" i="1"/>
  <c r="J284" i="1"/>
  <c r="H284" i="1"/>
  <c r="I284" i="1" s="1"/>
  <c r="J408" i="1"/>
  <c r="L408" i="1"/>
  <c r="H408" i="1"/>
  <c r="J546" i="1"/>
  <c r="L546" i="1"/>
  <c r="H546" i="1"/>
  <c r="I546" i="1" s="1"/>
  <c r="L714" i="1"/>
  <c r="J714" i="1"/>
  <c r="H714" i="1"/>
  <c r="I714" i="1" s="1"/>
  <c r="J262" i="1"/>
  <c r="L262" i="1"/>
  <c r="H262" i="1"/>
  <c r="L83" i="1"/>
  <c r="J83" i="1"/>
  <c r="H83" i="1"/>
  <c r="I83" i="1" s="1"/>
  <c r="L147" i="1"/>
  <c r="J147" i="1"/>
  <c r="H147" i="1"/>
  <c r="I147" i="1" s="1"/>
  <c r="L218" i="1"/>
  <c r="J218" i="1"/>
  <c r="H218" i="1"/>
  <c r="I218" i="1" s="1"/>
  <c r="J285" i="1"/>
  <c r="L285" i="1"/>
  <c r="H285" i="1"/>
  <c r="I285" i="1" s="1"/>
  <c r="L415" i="1"/>
  <c r="J415" i="1"/>
  <c r="H415" i="1"/>
  <c r="I415" i="1" s="1"/>
  <c r="J530" i="1"/>
  <c r="L530" i="1"/>
  <c r="H530" i="1"/>
  <c r="I530" i="1" s="1"/>
  <c r="L300" i="1"/>
  <c r="J300" i="1"/>
  <c r="H300" i="1"/>
  <c r="L364" i="1"/>
  <c r="J364" i="1"/>
  <c r="H364" i="1"/>
  <c r="I364" i="1" s="1"/>
  <c r="L441" i="1"/>
  <c r="J441" i="1"/>
  <c r="H441" i="1"/>
  <c r="I441" i="1" s="1"/>
  <c r="J538" i="1"/>
  <c r="L538" i="1"/>
  <c r="H538" i="1"/>
  <c r="I538" i="1" s="1"/>
  <c r="J663" i="1"/>
  <c r="L663" i="1"/>
  <c r="H663" i="1"/>
  <c r="I663" i="1" s="1"/>
  <c r="L784" i="1"/>
  <c r="J784" i="1"/>
  <c r="H784" i="1"/>
  <c r="I784" i="1" s="1"/>
  <c r="J906" i="1"/>
  <c r="L906" i="1"/>
  <c r="H906" i="1"/>
  <c r="L948" i="1"/>
  <c r="J948" i="1"/>
  <c r="H948" i="1"/>
  <c r="I948" i="1" s="1"/>
  <c r="L940" i="1"/>
  <c r="J940" i="1"/>
  <c r="H940" i="1"/>
  <c r="I940" i="1" s="1"/>
  <c r="J307" i="1"/>
  <c r="L307" i="1"/>
  <c r="H307" i="1"/>
  <c r="I307" i="1" s="1"/>
  <c r="J371" i="1"/>
  <c r="L371" i="1"/>
  <c r="H371" i="1"/>
  <c r="I371" i="1" s="1"/>
  <c r="J439" i="1"/>
  <c r="L439" i="1"/>
  <c r="H439" i="1"/>
  <c r="I439" i="1" s="1"/>
  <c r="J503" i="1"/>
  <c r="L503" i="1"/>
  <c r="H503" i="1"/>
  <c r="I503" i="1" s="1"/>
  <c r="J591" i="1"/>
  <c r="L591" i="1"/>
  <c r="H591" i="1"/>
  <c r="I591" i="1" s="1"/>
  <c r="L679" i="1"/>
  <c r="J679" i="1"/>
  <c r="H679" i="1"/>
  <c r="I679" i="1" s="1"/>
  <c r="L780" i="1"/>
  <c r="J780" i="1"/>
  <c r="H780" i="1"/>
  <c r="I780" i="1" s="1"/>
  <c r="L955" i="1"/>
  <c r="J955" i="1"/>
  <c r="H955" i="1"/>
  <c r="I955" i="1" s="1"/>
  <c r="L326" i="1"/>
  <c r="J326" i="1"/>
  <c r="H326" i="1"/>
  <c r="L390" i="1"/>
  <c r="J390" i="1"/>
  <c r="H390" i="1"/>
  <c r="I390" i="1" s="1"/>
  <c r="J453" i="1"/>
  <c r="L453" i="1"/>
  <c r="H453" i="1"/>
  <c r="I453" i="1" s="1"/>
  <c r="J536" i="1"/>
  <c r="L536" i="1"/>
  <c r="H536" i="1"/>
  <c r="I536" i="1" s="1"/>
  <c r="L625" i="1"/>
  <c r="J625" i="1"/>
  <c r="H625" i="1"/>
  <c r="J781" i="1"/>
  <c r="L781" i="1"/>
  <c r="H781" i="1"/>
  <c r="J1047" i="1"/>
  <c r="L1047" i="1"/>
  <c r="H1047" i="1"/>
  <c r="I1047" i="1" s="1"/>
  <c r="L265" i="1"/>
  <c r="J265" i="1"/>
  <c r="H265" i="1"/>
  <c r="J329" i="1"/>
  <c r="L329" i="1"/>
  <c r="H329" i="1"/>
  <c r="J393" i="1"/>
  <c r="L393" i="1"/>
  <c r="H393" i="1"/>
  <c r="I393" i="1" s="1"/>
  <c r="J458" i="1"/>
  <c r="L458" i="1"/>
  <c r="H458" i="1"/>
  <c r="I458" i="1" s="1"/>
  <c r="J522" i="1"/>
  <c r="L522" i="1"/>
  <c r="H522" i="1"/>
  <c r="I522" i="1" s="1"/>
  <c r="J639" i="1"/>
  <c r="L639" i="1"/>
  <c r="H639" i="1"/>
  <c r="I639" i="1" s="1"/>
  <c r="J707" i="1"/>
  <c r="L707" i="1"/>
  <c r="H707" i="1"/>
  <c r="L832" i="1"/>
  <c r="J832" i="1"/>
  <c r="H832" i="1"/>
  <c r="I832" i="1" s="1"/>
  <c r="L873" i="1"/>
  <c r="J873" i="1"/>
  <c r="H873" i="1"/>
  <c r="L1018" i="1"/>
  <c r="J1018" i="1"/>
  <c r="H1018" i="1"/>
  <c r="I1018" i="1" s="1"/>
  <c r="L557" i="1"/>
  <c r="J557" i="1"/>
  <c r="H557" i="1"/>
  <c r="I557" i="1" s="1"/>
  <c r="L621" i="1"/>
  <c r="J621" i="1"/>
  <c r="H621" i="1"/>
  <c r="I621" i="1" s="1"/>
  <c r="J680" i="1"/>
  <c r="L680" i="1"/>
  <c r="H680" i="1"/>
  <c r="I680" i="1" s="1"/>
  <c r="L772" i="1"/>
  <c r="J772" i="1"/>
  <c r="H772" i="1"/>
  <c r="I772" i="1" s="1"/>
  <c r="L836" i="1"/>
  <c r="J836" i="1"/>
  <c r="H836" i="1"/>
  <c r="I836" i="1" s="1"/>
  <c r="J930" i="1"/>
  <c r="L930" i="1"/>
  <c r="H930" i="1"/>
  <c r="I930" i="1" s="1"/>
  <c r="L568" i="1"/>
  <c r="J568" i="1"/>
  <c r="H568" i="1"/>
  <c r="L632" i="1"/>
  <c r="J632" i="1"/>
  <c r="H632" i="1"/>
  <c r="I632" i="1" s="1"/>
  <c r="J690" i="1"/>
  <c r="L690" i="1"/>
  <c r="H690" i="1"/>
  <c r="I690" i="1" s="1"/>
  <c r="L754" i="1"/>
  <c r="J754" i="1"/>
  <c r="H754" i="1"/>
  <c r="I754" i="1" s="1"/>
  <c r="L994" i="1"/>
  <c r="J994" i="1"/>
  <c r="H994" i="1"/>
  <c r="I994" i="1" s="1"/>
  <c r="J443" i="1"/>
  <c r="L443" i="1"/>
  <c r="H443" i="1"/>
  <c r="I443" i="1" s="1"/>
  <c r="J507" i="1"/>
  <c r="L507" i="1"/>
  <c r="H507" i="1"/>
  <c r="J571" i="1"/>
  <c r="L571" i="1"/>
  <c r="H571" i="1"/>
  <c r="I571" i="1" s="1"/>
  <c r="J635" i="1"/>
  <c r="L635" i="1"/>
  <c r="H635" i="1"/>
  <c r="L704" i="1"/>
  <c r="J704" i="1"/>
  <c r="H704" i="1"/>
  <c r="I704" i="1" s="1"/>
  <c r="L777" i="1"/>
  <c r="J777" i="1"/>
  <c r="H777" i="1"/>
  <c r="I777" i="1" s="1"/>
  <c r="L823" i="1"/>
  <c r="J823" i="1"/>
  <c r="H823" i="1"/>
  <c r="I823" i="1" s="1"/>
  <c r="L871" i="1"/>
  <c r="J871" i="1"/>
  <c r="H871" i="1"/>
  <c r="I871" i="1" s="1"/>
  <c r="J976" i="1"/>
  <c r="L976" i="1"/>
  <c r="H976" i="1"/>
  <c r="L929" i="1"/>
  <c r="J929" i="1"/>
  <c r="H929" i="1"/>
  <c r="L991" i="1"/>
  <c r="J991" i="1"/>
  <c r="H991" i="1"/>
  <c r="I991" i="1" s="1"/>
  <c r="J872" i="1"/>
  <c r="L872" i="1"/>
  <c r="H872" i="1"/>
  <c r="J936" i="1"/>
  <c r="L936" i="1"/>
  <c r="H936" i="1"/>
  <c r="I936" i="1" s="1"/>
  <c r="L1010" i="1"/>
  <c r="J1010" i="1"/>
  <c r="H1010" i="1"/>
  <c r="I1010" i="1" s="1"/>
  <c r="L795" i="1"/>
  <c r="J795" i="1"/>
  <c r="H795" i="1"/>
  <c r="I795" i="1" s="1"/>
  <c r="L859" i="1"/>
  <c r="J859" i="1"/>
  <c r="H859" i="1"/>
  <c r="I859" i="1" s="1"/>
  <c r="L923" i="1"/>
  <c r="J923" i="1"/>
  <c r="H923" i="1"/>
  <c r="I923" i="1" s="1"/>
  <c r="J984" i="1"/>
  <c r="L984" i="1"/>
  <c r="H984" i="1"/>
  <c r="I984" i="1" s="1"/>
  <c r="J1062" i="1"/>
  <c r="L1062" i="1"/>
  <c r="H1062" i="1"/>
  <c r="I1062" i="1" s="1"/>
  <c r="J726" i="1"/>
  <c r="L726" i="1"/>
  <c r="H726" i="1"/>
  <c r="J790" i="1"/>
  <c r="L790" i="1"/>
  <c r="H790" i="1"/>
  <c r="I790" i="1" s="1"/>
  <c r="L854" i="1"/>
  <c r="J854" i="1"/>
  <c r="H854" i="1"/>
  <c r="I854" i="1" s="1"/>
  <c r="L918" i="1"/>
  <c r="J918" i="1"/>
  <c r="H918" i="1"/>
  <c r="I918" i="1" s="1"/>
  <c r="L1013" i="1"/>
  <c r="J1013" i="1"/>
  <c r="H1013" i="1"/>
  <c r="I1013" i="1" s="1"/>
  <c r="J988" i="1"/>
  <c r="L988" i="1"/>
  <c r="H988" i="1"/>
  <c r="I988" i="1" s="1"/>
  <c r="J1052" i="1"/>
  <c r="L1052" i="1"/>
  <c r="H1052" i="1"/>
  <c r="I1052" i="1" s="1"/>
  <c r="J1001" i="1"/>
  <c r="L1001" i="1"/>
  <c r="H1001" i="1"/>
  <c r="I1001" i="1" s="1"/>
  <c r="J79" i="2" l="1"/>
  <c r="L79" i="2"/>
  <c r="H79" i="2"/>
  <c r="L165" i="2"/>
  <c r="J165" i="2"/>
  <c r="H165" i="2"/>
  <c r="L374" i="2"/>
  <c r="J374" i="2"/>
  <c r="H374" i="2"/>
  <c r="J441" i="2"/>
  <c r="L441" i="2"/>
  <c r="H441" i="2"/>
  <c r="L134" i="2"/>
  <c r="J134" i="2"/>
  <c r="H134" i="2"/>
  <c r="J117" i="2"/>
  <c r="L117" i="2"/>
  <c r="H117" i="2"/>
  <c r="J112" i="2"/>
  <c r="L112" i="2"/>
  <c r="H112" i="2"/>
  <c r="L456" i="2"/>
  <c r="J456" i="2"/>
  <c r="H456" i="2"/>
  <c r="L173" i="2"/>
  <c r="J173" i="2"/>
  <c r="H173" i="2"/>
  <c r="L221" i="2"/>
  <c r="J221" i="2"/>
  <c r="H221" i="2"/>
  <c r="J285" i="2"/>
  <c r="L285" i="2"/>
  <c r="H285" i="2"/>
  <c r="J348" i="2"/>
  <c r="L348" i="2"/>
  <c r="H348" i="2"/>
  <c r="L308" i="2"/>
  <c r="J308" i="2"/>
  <c r="H308" i="2"/>
  <c r="I308" i="2" s="1"/>
  <c r="J315" i="2"/>
  <c r="L315" i="2"/>
  <c r="H315" i="2"/>
  <c r="L581" i="2"/>
  <c r="J581" i="2"/>
  <c r="H581" i="2"/>
  <c r="J452" i="2"/>
  <c r="L452" i="2"/>
  <c r="H452" i="2"/>
  <c r="J327" i="2"/>
  <c r="L327" i="2"/>
  <c r="H327" i="2"/>
  <c r="J785" i="2"/>
  <c r="L785" i="2"/>
  <c r="H785" i="2"/>
  <c r="J428" i="2"/>
  <c r="L428" i="2"/>
  <c r="H428" i="2"/>
  <c r="J796" i="2"/>
  <c r="L796" i="2"/>
  <c r="H796" i="2"/>
  <c r="L402" i="2"/>
  <c r="J402" i="2"/>
  <c r="H402" i="2"/>
  <c r="J535" i="2"/>
  <c r="L535" i="2"/>
  <c r="H535" i="2"/>
  <c r="J483" i="2"/>
  <c r="L483" i="2"/>
  <c r="H483" i="2"/>
  <c r="L493" i="2"/>
  <c r="J493" i="2"/>
  <c r="H493" i="2"/>
  <c r="J653" i="2"/>
  <c r="L653" i="2"/>
  <c r="H653" i="2"/>
  <c r="L536" i="2"/>
  <c r="J536" i="2"/>
  <c r="H536" i="2"/>
  <c r="I536" i="2" s="1"/>
  <c r="L578" i="2"/>
  <c r="J578" i="2"/>
  <c r="H578" i="2"/>
  <c r="J730" i="2"/>
  <c r="L730" i="2"/>
  <c r="H730" i="2"/>
  <c r="L828" i="2"/>
  <c r="J828" i="2"/>
  <c r="H828" i="2"/>
  <c r="L667" i="2"/>
  <c r="J667" i="2"/>
  <c r="H667" i="2"/>
  <c r="J747" i="2"/>
  <c r="L747" i="2"/>
  <c r="H747" i="2"/>
  <c r="L540" i="2"/>
  <c r="J540" i="2"/>
  <c r="H540" i="2"/>
  <c r="J669" i="2"/>
  <c r="L669" i="2"/>
  <c r="H669" i="2"/>
  <c r="J734" i="2"/>
  <c r="L734" i="2"/>
  <c r="H734" i="2"/>
  <c r="J607" i="2"/>
  <c r="L607" i="2"/>
  <c r="H607" i="2"/>
  <c r="J950" i="2"/>
  <c r="L950" i="2"/>
  <c r="H950" i="2"/>
  <c r="J842" i="2"/>
  <c r="L842" i="2"/>
  <c r="H842" i="2"/>
  <c r="J715" i="2"/>
  <c r="L715" i="2"/>
  <c r="H715" i="2"/>
  <c r="L630" i="2"/>
  <c r="J630" i="2"/>
  <c r="H630" i="2"/>
  <c r="L787" i="2"/>
  <c r="J787" i="2"/>
  <c r="H787" i="2"/>
  <c r="J880" i="2"/>
  <c r="L880" i="2"/>
  <c r="H880" i="2"/>
  <c r="J946" i="2"/>
  <c r="L946" i="2"/>
  <c r="H946" i="2"/>
  <c r="L887" i="2"/>
  <c r="J887" i="2"/>
  <c r="H887" i="2"/>
  <c r="F477" i="1"/>
  <c r="I1011" i="1"/>
  <c r="F830" i="2"/>
  <c r="F259" i="2"/>
  <c r="L148" i="2"/>
  <c r="J148" i="2"/>
  <c r="H148" i="2"/>
  <c r="L105" i="2"/>
  <c r="J105" i="2"/>
  <c r="H105" i="2"/>
  <c r="J119" i="2"/>
  <c r="L119" i="2"/>
  <c r="H119" i="2"/>
  <c r="J122" i="2"/>
  <c r="L122" i="2"/>
  <c r="H122" i="2"/>
  <c r="J127" i="2"/>
  <c r="L127" i="2"/>
  <c r="H127" i="2"/>
  <c r="J90" i="2"/>
  <c r="L90" i="2"/>
  <c r="H90" i="2"/>
  <c r="L274" i="2"/>
  <c r="J274" i="2"/>
  <c r="H274" i="2"/>
  <c r="L435" i="2"/>
  <c r="J435" i="2"/>
  <c r="H435" i="2"/>
  <c r="L108" i="2"/>
  <c r="J108" i="2"/>
  <c r="H108" i="2"/>
  <c r="L81" i="2"/>
  <c r="J81" i="2"/>
  <c r="H81" i="2"/>
  <c r="L320" i="2"/>
  <c r="J320" i="2"/>
  <c r="H320" i="2"/>
  <c r="I320" i="2" s="1"/>
  <c r="L163" i="2"/>
  <c r="J163" i="2"/>
  <c r="H163" i="2"/>
  <c r="L126" i="2"/>
  <c r="J126" i="2"/>
  <c r="H126" i="2"/>
  <c r="L197" i="2"/>
  <c r="J197" i="2"/>
  <c r="H197" i="2"/>
  <c r="L513" i="2"/>
  <c r="J513" i="2"/>
  <c r="H513" i="2"/>
  <c r="J109" i="2"/>
  <c r="L109" i="2"/>
  <c r="H109" i="2"/>
  <c r="J182" i="2"/>
  <c r="L182" i="2"/>
  <c r="H182" i="2"/>
  <c r="L295" i="2"/>
  <c r="J295" i="2"/>
  <c r="H295" i="2"/>
  <c r="L104" i="2"/>
  <c r="J104" i="2"/>
  <c r="H104" i="2"/>
  <c r="L170" i="2"/>
  <c r="J170" i="2"/>
  <c r="H170" i="2"/>
  <c r="J269" i="2"/>
  <c r="L269" i="2"/>
  <c r="H269" i="2"/>
  <c r="L403" i="2"/>
  <c r="J403" i="2"/>
  <c r="H403" i="2"/>
  <c r="I403" i="2" s="1"/>
  <c r="J99" i="2"/>
  <c r="L99" i="2"/>
  <c r="H99" i="2"/>
  <c r="J171" i="2"/>
  <c r="L171" i="2"/>
  <c r="H171" i="2"/>
  <c r="I171" i="2" s="1"/>
  <c r="J245" i="2"/>
  <c r="L245" i="2"/>
  <c r="H245" i="2"/>
  <c r="I245" i="2" s="1"/>
  <c r="L319" i="2"/>
  <c r="J319" i="2"/>
  <c r="H319" i="2"/>
  <c r="J216" i="2"/>
  <c r="L216" i="2"/>
  <c r="H216" i="2"/>
  <c r="L339" i="2"/>
  <c r="J339" i="2"/>
  <c r="H339" i="2"/>
  <c r="L271" i="2"/>
  <c r="J271" i="2"/>
  <c r="H271" i="2"/>
  <c r="J688" i="2"/>
  <c r="L688" i="2"/>
  <c r="H688" i="2"/>
  <c r="I688" i="2" s="1"/>
  <c r="J213" i="2"/>
  <c r="L213" i="2"/>
  <c r="H213" i="2"/>
  <c r="I213" i="2" s="1"/>
  <c r="L347" i="2"/>
  <c r="J347" i="2"/>
  <c r="H347" i="2"/>
  <c r="L236" i="2"/>
  <c r="J236" i="2"/>
  <c r="H236" i="2"/>
  <c r="L300" i="2"/>
  <c r="J300" i="2"/>
  <c r="H300" i="2"/>
  <c r="L364" i="2"/>
  <c r="J364" i="2"/>
  <c r="H364" i="2"/>
  <c r="J243" i="2"/>
  <c r="L243" i="2"/>
  <c r="H243" i="2"/>
  <c r="J307" i="2"/>
  <c r="L307" i="2"/>
  <c r="H307" i="2"/>
  <c r="J367" i="2"/>
  <c r="L367" i="2"/>
  <c r="H367" i="2"/>
  <c r="I367" i="2" s="1"/>
  <c r="L565" i="2"/>
  <c r="J565" i="2"/>
  <c r="H565" i="2"/>
  <c r="L278" i="2"/>
  <c r="J278" i="2"/>
  <c r="H278" i="2"/>
  <c r="J340" i="2"/>
  <c r="L340" i="2"/>
  <c r="H340" i="2"/>
  <c r="I340" i="2" s="1"/>
  <c r="J438" i="2"/>
  <c r="L438" i="2"/>
  <c r="H438" i="2"/>
  <c r="L185" i="2"/>
  <c r="J185" i="2"/>
  <c r="H185" i="2"/>
  <c r="J249" i="2"/>
  <c r="L249" i="2"/>
  <c r="H249" i="2"/>
  <c r="L313" i="2"/>
  <c r="J313" i="2"/>
  <c r="H313" i="2"/>
  <c r="J417" i="2"/>
  <c r="L417" i="2"/>
  <c r="H417" i="2"/>
  <c r="L719" i="2"/>
  <c r="J719" i="2"/>
  <c r="H719" i="2"/>
  <c r="L424" i="2"/>
  <c r="J424" i="2"/>
  <c r="H424" i="2"/>
  <c r="J523" i="2"/>
  <c r="L523" i="2"/>
  <c r="H523" i="2"/>
  <c r="J420" i="2"/>
  <c r="L420" i="2"/>
  <c r="H420" i="2"/>
  <c r="L467" i="2"/>
  <c r="J467" i="2"/>
  <c r="H467" i="2"/>
  <c r="J714" i="2"/>
  <c r="L714" i="2"/>
  <c r="H714" i="2"/>
  <c r="J431" i="2"/>
  <c r="L431" i="2"/>
  <c r="H431" i="2"/>
  <c r="J330" i="2"/>
  <c r="L330" i="2"/>
  <c r="H330" i="2"/>
  <c r="L394" i="2"/>
  <c r="J394" i="2"/>
  <c r="H394" i="2"/>
  <c r="J449" i="2"/>
  <c r="L449" i="2"/>
  <c r="H449" i="2"/>
  <c r="J512" i="2"/>
  <c r="L512" i="2"/>
  <c r="H512" i="2"/>
  <c r="J815" i="2"/>
  <c r="L815" i="2"/>
  <c r="H815" i="2"/>
  <c r="J515" i="2"/>
  <c r="L515" i="2"/>
  <c r="H515" i="2"/>
  <c r="L479" i="2"/>
  <c r="J479" i="2"/>
  <c r="H479" i="2"/>
  <c r="J563" i="2"/>
  <c r="L563" i="2"/>
  <c r="H563" i="2"/>
  <c r="J474" i="2"/>
  <c r="L474" i="2"/>
  <c r="H474" i="2"/>
  <c r="I474" i="2" s="1"/>
  <c r="J555" i="2"/>
  <c r="L555" i="2"/>
  <c r="H555" i="2"/>
  <c r="L655" i="2"/>
  <c r="J655" i="2"/>
  <c r="H655" i="2"/>
  <c r="J636" i="2"/>
  <c r="L636" i="2"/>
  <c r="H636" i="2"/>
  <c r="I636" i="2" s="1"/>
  <c r="L597" i="2"/>
  <c r="J597" i="2"/>
  <c r="H597" i="2"/>
  <c r="L534" i="2"/>
  <c r="J534" i="2"/>
  <c r="H534" i="2"/>
  <c r="L546" i="2"/>
  <c r="J546" i="2"/>
  <c r="H546" i="2"/>
  <c r="J898" i="2"/>
  <c r="L898" i="2"/>
  <c r="H898" i="2"/>
  <c r="L576" i="2"/>
  <c r="J576" i="2"/>
  <c r="H576" i="2"/>
  <c r="J622" i="2"/>
  <c r="L622" i="2"/>
  <c r="H622" i="2"/>
  <c r="L703" i="2"/>
  <c r="J703" i="2"/>
  <c r="H703" i="2"/>
  <c r="J514" i="2"/>
  <c r="L514" i="2"/>
  <c r="H514" i="2"/>
  <c r="I514" i="2" s="1"/>
  <c r="L631" i="2"/>
  <c r="J631" i="2"/>
  <c r="H631" i="2"/>
  <c r="I631" i="2" s="1"/>
  <c r="L704" i="2"/>
  <c r="J704" i="2"/>
  <c r="H704" i="2"/>
  <c r="I704" i="2" s="1"/>
  <c r="L663" i="2"/>
  <c r="J663" i="2"/>
  <c r="H663" i="2"/>
  <c r="L644" i="2"/>
  <c r="J644" i="2"/>
  <c r="H644" i="2"/>
  <c r="L741" i="2"/>
  <c r="J741" i="2"/>
  <c r="H741" i="2"/>
  <c r="I741" i="2" s="1"/>
  <c r="J845" i="2"/>
  <c r="L845" i="2"/>
  <c r="H845" i="2"/>
  <c r="I845" i="2" s="1"/>
  <c r="J532" i="2"/>
  <c r="L532" i="2"/>
  <c r="H532" i="2"/>
  <c r="L596" i="2"/>
  <c r="J596" i="2"/>
  <c r="H596" i="2"/>
  <c r="I596" i="2" s="1"/>
  <c r="J665" i="2"/>
  <c r="L665" i="2"/>
  <c r="H665" i="2"/>
  <c r="J722" i="2"/>
  <c r="L722" i="2"/>
  <c r="H722" i="2"/>
  <c r="L912" i="2"/>
  <c r="J912" i="2"/>
  <c r="H912" i="2"/>
  <c r="J599" i="2"/>
  <c r="L599" i="2"/>
  <c r="H599" i="2"/>
  <c r="J701" i="2"/>
  <c r="L701" i="2"/>
  <c r="H701" i="2"/>
  <c r="J870" i="2"/>
  <c r="L870" i="2"/>
  <c r="H870" i="2"/>
  <c r="I870" i="2" s="1"/>
  <c r="L732" i="2"/>
  <c r="J732" i="2"/>
  <c r="H732" i="2"/>
  <c r="L800" i="2"/>
  <c r="J800" i="2"/>
  <c r="H800" i="2"/>
  <c r="J707" i="2"/>
  <c r="L707" i="2"/>
  <c r="H707" i="2"/>
  <c r="L758" i="2"/>
  <c r="J758" i="2"/>
  <c r="H758" i="2"/>
  <c r="L1040" i="2"/>
  <c r="J1040" i="2"/>
  <c r="H1040" i="2"/>
  <c r="L686" i="2"/>
  <c r="J686" i="2"/>
  <c r="H686" i="2"/>
  <c r="L779" i="2"/>
  <c r="J779" i="2"/>
  <c r="H779" i="2"/>
  <c r="L786" i="2"/>
  <c r="J786" i="2"/>
  <c r="H786" i="2"/>
  <c r="I786" i="2" s="1"/>
  <c r="J855" i="2"/>
  <c r="L855" i="2"/>
  <c r="H855" i="2"/>
  <c r="J784" i="2"/>
  <c r="L784" i="2"/>
  <c r="H784" i="2"/>
  <c r="I784" i="2" s="1"/>
  <c r="J913" i="2"/>
  <c r="L913" i="2"/>
  <c r="H913" i="2"/>
  <c r="I913" i="2" s="1"/>
  <c r="J752" i="2"/>
  <c r="L752" i="2"/>
  <c r="H752" i="2"/>
  <c r="L900" i="2"/>
  <c r="J900" i="2"/>
  <c r="H900" i="2"/>
  <c r="L883" i="2"/>
  <c r="J883" i="2"/>
  <c r="H883" i="2"/>
  <c r="L810" i="2"/>
  <c r="J810" i="2"/>
  <c r="H810" i="2"/>
  <c r="J968" i="2"/>
  <c r="L968" i="2"/>
  <c r="H968" i="2"/>
  <c r="J813" i="2"/>
  <c r="L813" i="2"/>
  <c r="H813" i="2"/>
  <c r="J970" i="2"/>
  <c r="L970" i="2"/>
  <c r="H970" i="2"/>
  <c r="L873" i="2"/>
  <c r="J873" i="2"/>
  <c r="H873" i="2"/>
  <c r="J928" i="2"/>
  <c r="L928" i="2"/>
  <c r="H928" i="2"/>
  <c r="J832" i="2"/>
  <c r="L832" i="2"/>
  <c r="H832" i="2"/>
  <c r="J933" i="2"/>
  <c r="L933" i="2"/>
  <c r="H933" i="2"/>
  <c r="J875" i="2"/>
  <c r="L875" i="2"/>
  <c r="H875" i="2"/>
  <c r="I875" i="2" s="1"/>
  <c r="J921" i="2"/>
  <c r="L921" i="2"/>
  <c r="H921" i="2"/>
  <c r="J1036" i="2"/>
  <c r="L1036" i="2"/>
  <c r="H1036" i="2"/>
  <c r="J981" i="2"/>
  <c r="L981" i="2"/>
  <c r="H981" i="2"/>
  <c r="J915" i="2"/>
  <c r="L915" i="2"/>
  <c r="H915" i="2"/>
  <c r="J988" i="2"/>
  <c r="L988" i="2"/>
  <c r="H988" i="2"/>
  <c r="L926" i="2"/>
  <c r="J926" i="2"/>
  <c r="H926" i="2"/>
  <c r="L1023" i="2"/>
  <c r="J1023" i="2"/>
  <c r="H1023" i="2"/>
  <c r="J994" i="2"/>
  <c r="L994" i="2"/>
  <c r="H994" i="2"/>
  <c r="L972" i="2"/>
  <c r="J972" i="2"/>
  <c r="H972" i="2"/>
  <c r="J966" i="2"/>
  <c r="L966" i="2"/>
  <c r="H966" i="2"/>
  <c r="J1002" i="2"/>
  <c r="L1002" i="2"/>
  <c r="H1002" i="2"/>
  <c r="I1002" i="2" s="1"/>
  <c r="J1013" i="2"/>
  <c r="L1013" i="2"/>
  <c r="H1013" i="2"/>
  <c r="J1056" i="2"/>
  <c r="L1056" i="2"/>
  <c r="H1056" i="2"/>
  <c r="L1046" i="2"/>
  <c r="J1046" i="2"/>
  <c r="H1046" i="2"/>
  <c r="L1063" i="2"/>
  <c r="J1063" i="2"/>
  <c r="H1063" i="2"/>
  <c r="I622" i="1"/>
  <c r="I899" i="1"/>
  <c r="I259" i="1"/>
  <c r="I221" i="1"/>
  <c r="I212" i="1"/>
  <c r="I511" i="1"/>
  <c r="F1021" i="2"/>
  <c r="F770" i="2"/>
  <c r="F698" i="2"/>
  <c r="F564" i="2"/>
  <c r="F317" i="2"/>
  <c r="F721" i="2"/>
  <c r="F603" i="2"/>
  <c r="F135" i="2"/>
  <c r="J237" i="2"/>
  <c r="L237" i="2"/>
  <c r="H237" i="2"/>
  <c r="J111" i="2"/>
  <c r="L111" i="2"/>
  <c r="H111" i="2"/>
  <c r="L137" i="2"/>
  <c r="J137" i="2"/>
  <c r="H137" i="2"/>
  <c r="L342" i="2"/>
  <c r="J342" i="2"/>
  <c r="H342" i="2"/>
  <c r="J461" i="2"/>
  <c r="L461" i="2"/>
  <c r="H461" i="2"/>
  <c r="L92" i="2"/>
  <c r="J92" i="2"/>
  <c r="H92" i="2"/>
  <c r="L157" i="2"/>
  <c r="J157" i="2"/>
  <c r="H157" i="2"/>
  <c r="L311" i="2"/>
  <c r="J311" i="2"/>
  <c r="H311" i="2"/>
  <c r="L116" i="2"/>
  <c r="J116" i="2"/>
  <c r="H116" i="2"/>
  <c r="L189" i="2"/>
  <c r="J189" i="2"/>
  <c r="H189" i="2"/>
  <c r="L142" i="2"/>
  <c r="J142" i="2"/>
  <c r="H142" i="2"/>
  <c r="L395" i="2"/>
  <c r="J395" i="2"/>
  <c r="H395" i="2"/>
  <c r="J192" i="2"/>
  <c r="L192" i="2"/>
  <c r="H192" i="2"/>
  <c r="J120" i="2"/>
  <c r="L120" i="2"/>
  <c r="H120" i="2"/>
  <c r="L497" i="2"/>
  <c r="J497" i="2"/>
  <c r="H497" i="2"/>
  <c r="J184" i="2"/>
  <c r="L184" i="2"/>
  <c r="H184" i="2"/>
  <c r="L381" i="2"/>
  <c r="J381" i="2"/>
  <c r="H381" i="2"/>
  <c r="L234" i="2"/>
  <c r="J234" i="2"/>
  <c r="H234" i="2"/>
  <c r="L306" i="2"/>
  <c r="J306" i="2"/>
  <c r="H306" i="2"/>
  <c r="F374" i="2"/>
  <c r="J143" i="2"/>
  <c r="L143" i="2"/>
  <c r="H143" i="2"/>
  <c r="I143" i="2" s="1"/>
  <c r="J198" i="2"/>
  <c r="L198" i="2"/>
  <c r="H198" i="2"/>
  <c r="I198" i="2" s="1"/>
  <c r="J382" i="2"/>
  <c r="L382" i="2"/>
  <c r="H382" i="2"/>
  <c r="I382" i="2" s="1"/>
  <c r="J82" i="2"/>
  <c r="L82" i="2"/>
  <c r="H82" i="2"/>
  <c r="I82" i="2" s="1"/>
  <c r="L78" i="2"/>
  <c r="J78" i="2"/>
  <c r="H78" i="2"/>
  <c r="L223" i="2"/>
  <c r="J223" i="2"/>
  <c r="H223" i="2"/>
  <c r="I223" i="2" s="1"/>
  <c r="J125" i="2"/>
  <c r="L125" i="2"/>
  <c r="H125" i="2"/>
  <c r="J195" i="2"/>
  <c r="L195" i="2"/>
  <c r="H195" i="2"/>
  <c r="L115" i="2"/>
  <c r="J115" i="2"/>
  <c r="H115" i="2"/>
  <c r="L397" i="2"/>
  <c r="J397" i="2"/>
  <c r="H397" i="2"/>
  <c r="L371" i="2"/>
  <c r="J371" i="2"/>
  <c r="H371" i="2"/>
  <c r="L179" i="2"/>
  <c r="J179" i="2"/>
  <c r="H179" i="2"/>
  <c r="L97" i="2"/>
  <c r="J97" i="2"/>
  <c r="H97" i="2"/>
  <c r="J95" i="2"/>
  <c r="L95" i="2"/>
  <c r="H95" i="2"/>
  <c r="L219" i="2"/>
  <c r="J219" i="2"/>
  <c r="H219" i="2"/>
  <c r="J296" i="2"/>
  <c r="L296" i="2"/>
  <c r="H296" i="2"/>
  <c r="I296" i="2" s="1"/>
  <c r="J107" i="2"/>
  <c r="L107" i="2"/>
  <c r="H107" i="2"/>
  <c r="J361" i="2"/>
  <c r="L361" i="2"/>
  <c r="H361" i="2"/>
  <c r="I361" i="2" s="1"/>
  <c r="L244" i="2"/>
  <c r="H244" i="2"/>
  <c r="I244" i="2" s="1"/>
  <c r="J244" i="2"/>
  <c r="J385" i="2"/>
  <c r="L385" i="2"/>
  <c r="H385" i="2"/>
  <c r="J193" i="2"/>
  <c r="L193" i="2"/>
  <c r="H193" i="2"/>
  <c r="I193" i="2" s="1"/>
  <c r="L432" i="2"/>
  <c r="J432" i="2"/>
  <c r="H432" i="2"/>
  <c r="I432" i="2" s="1"/>
  <c r="J439" i="2"/>
  <c r="L439" i="2"/>
  <c r="H439" i="2"/>
  <c r="I439" i="2" s="1"/>
  <c r="J914" i="2"/>
  <c r="L914" i="2"/>
  <c r="H914" i="2"/>
  <c r="I914" i="2" s="1"/>
  <c r="L557" i="2"/>
  <c r="J557" i="2"/>
  <c r="H557" i="2"/>
  <c r="I557" i="2" s="1"/>
  <c r="L634" i="2"/>
  <c r="J634" i="2"/>
  <c r="H634" i="2"/>
  <c r="L635" i="2"/>
  <c r="J635" i="2"/>
  <c r="H635" i="2"/>
  <c r="J604" i="2"/>
  <c r="L604" i="2"/>
  <c r="H604" i="2"/>
  <c r="L745" i="2"/>
  <c r="J745" i="2"/>
  <c r="H745" i="2"/>
  <c r="L798" i="2"/>
  <c r="J798" i="2"/>
  <c r="H798" i="2"/>
  <c r="L760" i="2"/>
  <c r="J760" i="2"/>
  <c r="H760" i="2"/>
  <c r="L998" i="2"/>
  <c r="J998" i="2"/>
  <c r="H998" i="2"/>
  <c r="J890" i="2"/>
  <c r="L890" i="2"/>
  <c r="H890" i="2"/>
  <c r="L819" i="2"/>
  <c r="J819" i="2"/>
  <c r="H819" i="2"/>
  <c r="I819" i="2" s="1"/>
  <c r="L983" i="2"/>
  <c r="J983" i="2"/>
  <c r="H983" i="2"/>
  <c r="J934" i="2"/>
  <c r="L934" i="2"/>
  <c r="H934" i="2"/>
  <c r="I934" i="2" s="1"/>
  <c r="L976" i="2"/>
  <c r="J976" i="2"/>
  <c r="H976" i="2"/>
  <c r="J1021" i="2"/>
  <c r="L1021" i="2"/>
  <c r="H1021" i="2"/>
  <c r="F661" i="1"/>
  <c r="F705" i="1"/>
  <c r="I208" i="1"/>
  <c r="F831" i="2"/>
  <c r="F609" i="2"/>
  <c r="F425" i="2"/>
  <c r="F804" i="1"/>
  <c r="F797" i="1"/>
  <c r="I499" i="1"/>
  <c r="I677" i="1"/>
  <c r="I394" i="1"/>
  <c r="F1038" i="2"/>
  <c r="I144" i="1"/>
  <c r="I264" i="1"/>
  <c r="J490" i="2"/>
  <c r="L490" i="2"/>
  <c r="H490" i="2"/>
  <c r="J180" i="2"/>
  <c r="L180" i="2"/>
  <c r="H180" i="2"/>
  <c r="I180" i="2" s="1"/>
  <c r="L174" i="2"/>
  <c r="J174" i="2"/>
  <c r="H174" i="2"/>
  <c r="I174" i="2" s="1"/>
  <c r="J149" i="2"/>
  <c r="L149" i="2"/>
  <c r="H149" i="2"/>
  <c r="I149" i="2" s="1"/>
  <c r="L144" i="2"/>
  <c r="J144" i="2"/>
  <c r="H144" i="2"/>
  <c r="L75" i="2"/>
  <c r="J75" i="2"/>
  <c r="H75" i="2"/>
  <c r="I75" i="2" s="1"/>
  <c r="J433" i="2"/>
  <c r="L433" i="2"/>
  <c r="H433" i="2"/>
  <c r="J586" i="2"/>
  <c r="L586" i="2"/>
  <c r="H586" i="2"/>
  <c r="L480" i="2"/>
  <c r="J480" i="2"/>
  <c r="H480" i="2"/>
  <c r="I480" i="2" s="1"/>
  <c r="J283" i="2"/>
  <c r="L283" i="2"/>
  <c r="H283" i="2"/>
  <c r="I283" i="2" s="1"/>
  <c r="L254" i="2"/>
  <c r="J254" i="2"/>
  <c r="H254" i="2"/>
  <c r="J161" i="2"/>
  <c r="L161" i="2"/>
  <c r="H161" i="2"/>
  <c r="I161" i="2" s="1"/>
  <c r="J359" i="2"/>
  <c r="L359" i="2"/>
  <c r="H359" i="2"/>
  <c r="J473" i="2"/>
  <c r="L473" i="2"/>
  <c r="H473" i="2"/>
  <c r="J561" i="2"/>
  <c r="L561" i="2"/>
  <c r="H561" i="2"/>
  <c r="L370" i="2"/>
  <c r="J370" i="2"/>
  <c r="H370" i="2"/>
  <c r="I370" i="2" s="1"/>
  <c r="J682" i="2"/>
  <c r="L682" i="2"/>
  <c r="H682" i="2"/>
  <c r="I682" i="2" s="1"/>
  <c r="J526" i="2"/>
  <c r="L526" i="2"/>
  <c r="H526" i="2"/>
  <c r="L935" i="2"/>
  <c r="J935" i="2"/>
  <c r="H935" i="2"/>
  <c r="J659" i="2"/>
  <c r="L659" i="2"/>
  <c r="H659" i="2"/>
  <c r="L666" i="2"/>
  <c r="J666" i="2"/>
  <c r="H666" i="2"/>
  <c r="I666" i="2" s="1"/>
  <c r="L605" i="2"/>
  <c r="J605" i="2"/>
  <c r="H605" i="2"/>
  <c r="J792" i="2"/>
  <c r="L792" i="2"/>
  <c r="H792" i="2"/>
  <c r="J637" i="2"/>
  <c r="L637" i="2"/>
  <c r="H637" i="2"/>
  <c r="J652" i="2"/>
  <c r="L652" i="2"/>
  <c r="H652" i="2"/>
  <c r="I652" i="2" s="1"/>
  <c r="L683" i="2"/>
  <c r="J683" i="2"/>
  <c r="H683" i="2"/>
  <c r="I683" i="2" s="1"/>
  <c r="L726" i="2"/>
  <c r="J726" i="2"/>
  <c r="H726" i="2"/>
  <c r="J834" i="2"/>
  <c r="L834" i="2"/>
  <c r="H834" i="2"/>
  <c r="I834" i="2" s="1"/>
  <c r="L869" i="2"/>
  <c r="J869" i="2"/>
  <c r="H869" i="2"/>
  <c r="J874" i="2"/>
  <c r="L874" i="2"/>
  <c r="H874" i="2"/>
  <c r="I874" i="2" s="1"/>
  <c r="J872" i="2"/>
  <c r="L872" i="2"/>
  <c r="H872" i="2"/>
  <c r="L960" i="2"/>
  <c r="J960" i="2"/>
  <c r="H960" i="2"/>
  <c r="J902" i="2"/>
  <c r="L902" i="2"/>
  <c r="H902" i="2"/>
  <c r="I902" i="2" s="1"/>
  <c r="J951" i="2"/>
  <c r="L951" i="2"/>
  <c r="H951" i="2"/>
  <c r="I951" i="2" s="1"/>
  <c r="L1042" i="2"/>
  <c r="J1042" i="2"/>
  <c r="H1042" i="2"/>
  <c r="L1022" i="2"/>
  <c r="J1022" i="2"/>
  <c r="H1022" i="2"/>
  <c r="I1022" i="2" s="1"/>
  <c r="F924" i="1"/>
  <c r="F1046" i="1"/>
  <c r="F309" i="1"/>
  <c r="F211" i="1"/>
  <c r="F921" i="2"/>
  <c r="L191" i="2"/>
  <c r="J191" i="2"/>
  <c r="H191" i="2"/>
  <c r="L287" i="2"/>
  <c r="J287" i="2"/>
  <c r="H287" i="2"/>
  <c r="J167" i="2"/>
  <c r="L167" i="2"/>
  <c r="H167" i="2"/>
  <c r="L356" i="2"/>
  <c r="J356" i="2"/>
  <c r="H356" i="2"/>
  <c r="L194" i="2"/>
  <c r="J194" i="2"/>
  <c r="H194" i="2"/>
  <c r="I194" i="2" s="1"/>
  <c r="L324" i="2"/>
  <c r="J324" i="2"/>
  <c r="H324" i="2"/>
  <c r="L156" i="2"/>
  <c r="J156" i="2"/>
  <c r="H156" i="2"/>
  <c r="L379" i="2"/>
  <c r="J379" i="2"/>
  <c r="H379" i="2"/>
  <c r="L286" i="2"/>
  <c r="J286" i="2"/>
  <c r="H286" i="2"/>
  <c r="I286" i="2" s="1"/>
  <c r="L257" i="2"/>
  <c r="J257" i="2"/>
  <c r="H257" i="2"/>
  <c r="J595" i="2"/>
  <c r="L595" i="2"/>
  <c r="H595" i="2"/>
  <c r="L338" i="2"/>
  <c r="J338" i="2"/>
  <c r="H338" i="2"/>
  <c r="L549" i="2"/>
  <c r="J549" i="2"/>
  <c r="H549" i="2"/>
  <c r="I549" i="2" s="1"/>
  <c r="J661" i="2"/>
  <c r="L661" i="2"/>
  <c r="H661" i="2"/>
  <c r="I661" i="2" s="1"/>
  <c r="J920" i="2"/>
  <c r="L920" i="2"/>
  <c r="H920" i="2"/>
  <c r="L518" i="2"/>
  <c r="J518" i="2"/>
  <c r="H518" i="2"/>
  <c r="J995" i="2"/>
  <c r="L995" i="2"/>
  <c r="H995" i="2"/>
  <c r="I995" i="2" s="1"/>
  <c r="J733" i="2"/>
  <c r="L733" i="2"/>
  <c r="H733" i="2"/>
  <c r="I733" i="2" s="1"/>
  <c r="L694" i="2"/>
  <c r="J694" i="2"/>
  <c r="H694" i="2"/>
  <c r="L944" i="2"/>
  <c r="J944" i="2"/>
  <c r="H944" i="2"/>
  <c r="L818" i="2"/>
  <c r="J818" i="2"/>
  <c r="H818" i="2"/>
  <c r="L980" i="2"/>
  <c r="J980" i="2"/>
  <c r="H980" i="2"/>
  <c r="J840" i="2"/>
  <c r="L840" i="2"/>
  <c r="H840" i="2"/>
  <c r="L932" i="2"/>
  <c r="J932" i="2"/>
  <c r="H932" i="2"/>
  <c r="L1016" i="2"/>
  <c r="J1016" i="2"/>
  <c r="H1016" i="2"/>
  <c r="J1012" i="2"/>
  <c r="L1012" i="2"/>
  <c r="H1012" i="2"/>
  <c r="J1010" i="2"/>
  <c r="L1010" i="2"/>
  <c r="H1010" i="2"/>
  <c r="I1010" i="2" s="1"/>
  <c r="L1054" i="2"/>
  <c r="J1054" i="2"/>
  <c r="H1054" i="2"/>
  <c r="I377" i="1"/>
  <c r="I521" i="1"/>
  <c r="I370" i="1"/>
  <c r="F944" i="2"/>
  <c r="I770" i="1"/>
  <c r="J261" i="2"/>
  <c r="L261" i="2"/>
  <c r="H261" i="2"/>
  <c r="L100" i="2"/>
  <c r="J100" i="2"/>
  <c r="H100" i="2"/>
  <c r="I100" i="2" s="1"/>
  <c r="J135" i="2"/>
  <c r="L135" i="2"/>
  <c r="H135" i="2"/>
  <c r="I135" i="2" s="1"/>
  <c r="J114" i="2"/>
  <c r="L114" i="2"/>
  <c r="H114" i="2"/>
  <c r="I114" i="2" s="1"/>
  <c r="J224" i="2"/>
  <c r="L224" i="2"/>
  <c r="H224" i="2"/>
  <c r="L427" i="2"/>
  <c r="J427" i="2"/>
  <c r="H427" i="2"/>
  <c r="J288" i="2"/>
  <c r="L288" i="2"/>
  <c r="H288" i="2"/>
  <c r="I288" i="2" s="1"/>
  <c r="L124" i="2"/>
  <c r="J124" i="2"/>
  <c r="H124" i="2"/>
  <c r="J301" i="2"/>
  <c r="L301" i="2"/>
  <c r="H301" i="2"/>
  <c r="I301" i="2" s="1"/>
  <c r="L102" i="2"/>
  <c r="H102" i="2"/>
  <c r="J102" i="2"/>
  <c r="L303" i="2"/>
  <c r="J303" i="2"/>
  <c r="H303" i="2"/>
  <c r="I303" i="2" s="1"/>
  <c r="J85" i="2"/>
  <c r="L85" i="2"/>
  <c r="H85" i="2"/>
  <c r="J248" i="2"/>
  <c r="L248" i="2"/>
  <c r="H248" i="2"/>
  <c r="L80" i="2"/>
  <c r="J80" i="2"/>
  <c r="H80" i="2"/>
  <c r="I80" i="2" s="1"/>
  <c r="J229" i="2"/>
  <c r="L229" i="2"/>
  <c r="H229" i="2"/>
  <c r="L366" i="2"/>
  <c r="J366" i="2"/>
  <c r="H366" i="2"/>
  <c r="L139" i="2"/>
  <c r="J139" i="2"/>
  <c r="H139" i="2"/>
  <c r="J220" i="2"/>
  <c r="L220" i="2"/>
  <c r="H220" i="2"/>
  <c r="I220" i="2" s="1"/>
  <c r="L573" i="2"/>
  <c r="J573" i="2"/>
  <c r="H573" i="2"/>
  <c r="I573" i="2" s="1"/>
  <c r="J277" i="2"/>
  <c r="L277" i="2"/>
  <c r="H277" i="2"/>
  <c r="I277" i="2" s="1"/>
  <c r="J406" i="2"/>
  <c r="L406" i="2"/>
  <c r="H406" i="2"/>
  <c r="L190" i="2"/>
  <c r="J190" i="2"/>
  <c r="H190" i="2"/>
  <c r="I190" i="2" s="1"/>
  <c r="J293" i="2"/>
  <c r="L293" i="2"/>
  <c r="H293" i="2"/>
  <c r="L276" i="2"/>
  <c r="J276" i="2"/>
  <c r="H276" i="2"/>
  <c r="L332" i="2"/>
  <c r="J332" i="2"/>
  <c r="H332" i="2"/>
  <c r="L498" i="2"/>
  <c r="J498" i="2"/>
  <c r="H498" i="2"/>
  <c r="I498" i="2" s="1"/>
  <c r="J349" i="2"/>
  <c r="L349" i="2"/>
  <c r="H349" i="2"/>
  <c r="I349" i="2" s="1"/>
  <c r="J470" i="2"/>
  <c r="L470" i="2"/>
  <c r="H470" i="2"/>
  <c r="L318" i="2"/>
  <c r="J318" i="2"/>
  <c r="H318" i="2"/>
  <c r="J401" i="2"/>
  <c r="L401" i="2"/>
  <c r="H401" i="2"/>
  <c r="I401" i="2" s="1"/>
  <c r="L225" i="2"/>
  <c r="J225" i="2"/>
  <c r="H225" i="2"/>
  <c r="I225" i="2" s="1"/>
  <c r="J289" i="2"/>
  <c r="L289" i="2"/>
  <c r="H289" i="2"/>
  <c r="I289" i="2" s="1"/>
  <c r="L485" i="2"/>
  <c r="J485" i="2"/>
  <c r="H485" i="2"/>
  <c r="L400" i="2"/>
  <c r="J400" i="2"/>
  <c r="H400" i="2"/>
  <c r="I400" i="2" s="1"/>
  <c r="J396" i="2"/>
  <c r="L396" i="2"/>
  <c r="H396" i="2"/>
  <c r="I396" i="2" s="1"/>
  <c r="J457" i="2"/>
  <c r="L457" i="2"/>
  <c r="H457" i="2"/>
  <c r="I457" i="2" s="1"/>
  <c r="J407" i="2"/>
  <c r="L407" i="2"/>
  <c r="H407" i="2"/>
  <c r="I407" i="2" s="1"/>
  <c r="L746" i="2"/>
  <c r="J746" i="2"/>
  <c r="H746" i="2"/>
  <c r="I746" i="2" s="1"/>
  <c r="J434" i="2"/>
  <c r="L434" i="2"/>
  <c r="H434" i="2"/>
  <c r="I434" i="2" s="1"/>
  <c r="L530" i="2"/>
  <c r="J530" i="2"/>
  <c r="H530" i="2"/>
  <c r="J491" i="2"/>
  <c r="L491" i="2"/>
  <c r="H491" i="2"/>
  <c r="J697" i="2"/>
  <c r="L697" i="2"/>
  <c r="H697" i="2"/>
  <c r="L450" i="2"/>
  <c r="J450" i="2"/>
  <c r="H450" i="2"/>
  <c r="I450" i="2" s="1"/>
  <c r="J538" i="2"/>
  <c r="L538" i="2"/>
  <c r="H538" i="2"/>
  <c r="L660" i="2"/>
  <c r="J660" i="2"/>
  <c r="H660" i="2"/>
  <c r="J804" i="2"/>
  <c r="L804" i="2"/>
  <c r="H804" i="2"/>
  <c r="J698" i="2"/>
  <c r="L698" i="2"/>
  <c r="H698" i="2"/>
  <c r="J706" i="2"/>
  <c r="L706" i="2"/>
  <c r="H706" i="2"/>
  <c r="L560" i="2"/>
  <c r="J560" i="2"/>
  <c r="H560" i="2"/>
  <c r="J606" i="2"/>
  <c r="L606" i="2"/>
  <c r="H606" i="2"/>
  <c r="I606" i="2" s="1"/>
  <c r="L790" i="2"/>
  <c r="J790" i="2"/>
  <c r="H790" i="2"/>
  <c r="J585" i="2"/>
  <c r="L585" i="2"/>
  <c r="H585" i="2"/>
  <c r="J668" i="2"/>
  <c r="L668" i="2"/>
  <c r="H668" i="2"/>
  <c r="I668" i="2" s="1"/>
  <c r="J749" i="2"/>
  <c r="L749" i="2"/>
  <c r="H749" i="2"/>
  <c r="I749" i="2" s="1"/>
  <c r="L681" i="2"/>
  <c r="J681" i="2"/>
  <c r="H681" i="2"/>
  <c r="L508" i="2"/>
  <c r="J508" i="2"/>
  <c r="H508" i="2"/>
  <c r="I508" i="2" s="1"/>
  <c r="J572" i="2"/>
  <c r="L572" i="2"/>
  <c r="H572" i="2"/>
  <c r="L711" i="2"/>
  <c r="J711" i="2"/>
  <c r="H711" i="2"/>
  <c r="J831" i="2"/>
  <c r="L831" i="2"/>
  <c r="H831" i="2"/>
  <c r="I831" i="2" s="1"/>
  <c r="L575" i="2"/>
  <c r="J575" i="2"/>
  <c r="H575" i="2"/>
  <c r="L782" i="2"/>
  <c r="J782" i="2"/>
  <c r="H782" i="2"/>
  <c r="L708" i="2"/>
  <c r="J708" i="2"/>
  <c r="H708" i="2"/>
  <c r="I708" i="2" s="1"/>
  <c r="J783" i="2"/>
  <c r="L783" i="2"/>
  <c r="H783" i="2"/>
  <c r="J743" i="2"/>
  <c r="L743" i="2"/>
  <c r="H743" i="2"/>
  <c r="J871" i="2"/>
  <c r="L871" i="2"/>
  <c r="H871" i="2"/>
  <c r="L662" i="2"/>
  <c r="J662" i="2"/>
  <c r="H662" i="2"/>
  <c r="I662" i="2" s="1"/>
  <c r="L769" i="2"/>
  <c r="J769" i="2"/>
  <c r="H769" i="2"/>
  <c r="I769" i="2" s="1"/>
  <c r="L820" i="2"/>
  <c r="J820" i="2"/>
  <c r="H820" i="2"/>
  <c r="I820" i="2" s="1"/>
  <c r="L1011" i="2"/>
  <c r="J1011" i="2"/>
  <c r="H1011" i="2"/>
  <c r="J1025" i="2"/>
  <c r="L1025" i="2"/>
  <c r="H1025" i="2"/>
  <c r="I1025" i="2" s="1"/>
  <c r="L853" i="2"/>
  <c r="J853" i="2"/>
  <c r="H853" i="2"/>
  <c r="J1017" i="2"/>
  <c r="L1017" i="2"/>
  <c r="H1017" i="2"/>
  <c r="J863" i="2"/>
  <c r="L863" i="2"/>
  <c r="H863" i="2"/>
  <c r="J789" i="2"/>
  <c r="L789" i="2"/>
  <c r="H789" i="2"/>
  <c r="I789" i="2" s="1"/>
  <c r="L849" i="2"/>
  <c r="J849" i="2"/>
  <c r="H849" i="2"/>
  <c r="J922" i="2"/>
  <c r="L922" i="2"/>
  <c r="H922" i="2"/>
  <c r="I922" i="2" s="1"/>
  <c r="J1001" i="2"/>
  <c r="L1001" i="2"/>
  <c r="H1001" i="2"/>
  <c r="J851" i="2"/>
  <c r="L851" i="2"/>
  <c r="H851" i="2"/>
  <c r="I851" i="2" s="1"/>
  <c r="L905" i="2"/>
  <c r="J905" i="2"/>
  <c r="H905" i="2"/>
  <c r="L978" i="2"/>
  <c r="J978" i="2"/>
  <c r="H978" i="2"/>
  <c r="J891" i="2"/>
  <c r="L891" i="2"/>
  <c r="H891" i="2"/>
  <c r="L964" i="2"/>
  <c r="J964" i="2"/>
  <c r="H964" i="2"/>
  <c r="L957" i="2"/>
  <c r="J957" i="2"/>
  <c r="H957" i="2"/>
  <c r="L971" i="2"/>
  <c r="J971" i="2"/>
  <c r="H971" i="2"/>
  <c r="I971" i="2" s="1"/>
  <c r="J1009" i="2"/>
  <c r="L1009" i="2"/>
  <c r="H1009" i="2"/>
  <c r="L1019" i="2"/>
  <c r="J1019" i="2"/>
  <c r="H1019" i="2"/>
  <c r="L1053" i="2"/>
  <c r="J1053" i="2"/>
  <c r="H1053" i="2"/>
  <c r="L1044" i="2"/>
  <c r="J1044" i="2"/>
  <c r="H1044" i="2"/>
  <c r="F310" i="1"/>
  <c r="F462" i="1"/>
  <c r="I698" i="1"/>
  <c r="F892" i="2"/>
  <c r="F778" i="2"/>
  <c r="F507" i="2"/>
  <c r="L140" i="2"/>
  <c r="J140" i="2"/>
  <c r="H140" i="2"/>
  <c r="I140" i="2" s="1"/>
  <c r="J130" i="2"/>
  <c r="L130" i="2"/>
  <c r="H130" i="2"/>
  <c r="I130" i="2" s="1"/>
  <c r="L70" i="2"/>
  <c r="J70" i="2"/>
  <c r="H70" i="2"/>
  <c r="L183" i="2"/>
  <c r="J183" i="2"/>
  <c r="H183" i="2"/>
  <c r="I183" i="2" s="1"/>
  <c r="L333" i="2"/>
  <c r="J333" i="2"/>
  <c r="H333" i="2"/>
  <c r="I333" i="2" s="1"/>
  <c r="L351" i="2"/>
  <c r="J351" i="2"/>
  <c r="H351" i="2"/>
  <c r="L222" i="2"/>
  <c r="J222" i="2"/>
  <c r="H222" i="2"/>
  <c r="I222" i="2" s="1"/>
  <c r="J251" i="2"/>
  <c r="L251" i="2"/>
  <c r="H251" i="2"/>
  <c r="I251" i="2" s="1"/>
  <c r="L363" i="2"/>
  <c r="J363" i="2"/>
  <c r="H363" i="2"/>
  <c r="L429" i="2"/>
  <c r="J429" i="2"/>
  <c r="H429" i="2"/>
  <c r="I429" i="2" s="1"/>
  <c r="J478" i="2"/>
  <c r="L478" i="2"/>
  <c r="H478" i="2"/>
  <c r="L454" i="2"/>
  <c r="J454" i="2"/>
  <c r="H454" i="2"/>
  <c r="I454" i="2" s="1"/>
  <c r="J593" i="2"/>
  <c r="L593" i="2"/>
  <c r="H593" i="2"/>
  <c r="J598" i="2"/>
  <c r="L598" i="2"/>
  <c r="H598" i="2"/>
  <c r="I598" i="2" s="1"/>
  <c r="L624" i="2"/>
  <c r="J624" i="2"/>
  <c r="H624" i="2"/>
  <c r="L648" i="2"/>
  <c r="J648" i="2"/>
  <c r="H648" i="2"/>
  <c r="I648" i="2" s="1"/>
  <c r="J543" i="2"/>
  <c r="L543" i="2"/>
  <c r="H543" i="2"/>
  <c r="L774" i="2"/>
  <c r="J774" i="2"/>
  <c r="H774" i="2"/>
  <c r="J793" i="2"/>
  <c r="L793" i="2"/>
  <c r="H793" i="2"/>
  <c r="I793" i="2" s="1"/>
  <c r="L895" i="2"/>
  <c r="J895" i="2"/>
  <c r="H895" i="2"/>
  <c r="L846" i="2"/>
  <c r="J846" i="2"/>
  <c r="H846" i="2"/>
  <c r="L937" i="2"/>
  <c r="J937" i="2"/>
  <c r="H937" i="2"/>
  <c r="J929" i="2"/>
  <c r="L929" i="2"/>
  <c r="H929" i="2"/>
  <c r="J923" i="2"/>
  <c r="L923" i="2"/>
  <c r="H923" i="2"/>
  <c r="L1035" i="2"/>
  <c r="J1035" i="2"/>
  <c r="H1035" i="2"/>
  <c r="J974" i="2"/>
  <c r="L974" i="2"/>
  <c r="H974" i="2"/>
  <c r="L1064" i="2"/>
  <c r="J1064" i="2"/>
  <c r="H1064" i="2"/>
  <c r="I1064" i="2" s="1"/>
  <c r="F379" i="1"/>
  <c r="F1013" i="1"/>
  <c r="I976" i="1"/>
  <c r="I625" i="1"/>
  <c r="I277" i="1"/>
  <c r="I989" i="1"/>
  <c r="I916" i="1"/>
  <c r="I519" i="1"/>
  <c r="J98" i="2"/>
  <c r="L98" i="2"/>
  <c r="H98" i="2"/>
  <c r="I98" i="2" s="1"/>
  <c r="J253" i="2"/>
  <c r="L253" i="2"/>
  <c r="H253" i="2"/>
  <c r="L113" i="2"/>
  <c r="J113" i="2"/>
  <c r="H113" i="2"/>
  <c r="I113" i="2" s="1"/>
  <c r="J71" i="2"/>
  <c r="L71" i="2"/>
  <c r="H71" i="2"/>
  <c r="L121" i="2"/>
  <c r="J121" i="2"/>
  <c r="H121" i="2"/>
  <c r="I121" i="2" s="1"/>
  <c r="L68" i="2"/>
  <c r="J68" i="2"/>
  <c r="H68" i="2"/>
  <c r="L255" i="2"/>
  <c r="J255" i="2"/>
  <c r="H255" i="2"/>
  <c r="I255" i="2" s="1"/>
  <c r="J602" i="2"/>
  <c r="L602" i="2"/>
  <c r="H602" i="2"/>
  <c r="J87" i="2"/>
  <c r="L87" i="2"/>
  <c r="H87" i="2"/>
  <c r="I87" i="2" s="1"/>
  <c r="J74" i="2"/>
  <c r="L74" i="2"/>
  <c r="H74" i="2"/>
  <c r="J240" i="2"/>
  <c r="L240" i="2"/>
  <c r="H240" i="2"/>
  <c r="L153" i="2"/>
  <c r="J153" i="2"/>
  <c r="H153" i="2"/>
  <c r="J337" i="2"/>
  <c r="L337" i="2"/>
  <c r="H337" i="2"/>
  <c r="I337" i="2" s="1"/>
  <c r="L118" i="2"/>
  <c r="J118" i="2"/>
  <c r="H118" i="2"/>
  <c r="I118" i="2" s="1"/>
  <c r="L187" i="2"/>
  <c r="H187" i="2"/>
  <c r="J187" i="2"/>
  <c r="J369" i="2"/>
  <c r="L369" i="2"/>
  <c r="H369" i="2"/>
  <c r="J101" i="2"/>
  <c r="L101" i="2"/>
  <c r="H101" i="2"/>
  <c r="I101" i="2" s="1"/>
  <c r="J168" i="2"/>
  <c r="L168" i="2"/>
  <c r="H168" i="2"/>
  <c r="L282" i="2"/>
  <c r="J282" i="2"/>
  <c r="H282" i="2"/>
  <c r="L96" i="2"/>
  <c r="J96" i="2"/>
  <c r="H96" i="2"/>
  <c r="L159" i="2"/>
  <c r="J159" i="2"/>
  <c r="H159" i="2"/>
  <c r="I159" i="2" s="1"/>
  <c r="L258" i="2"/>
  <c r="J258" i="2"/>
  <c r="H258" i="2"/>
  <c r="I258" i="2" s="1"/>
  <c r="J390" i="2"/>
  <c r="L390" i="2"/>
  <c r="H390" i="2"/>
  <c r="J91" i="2"/>
  <c r="L91" i="2"/>
  <c r="H91" i="2"/>
  <c r="J155" i="2"/>
  <c r="L155" i="2"/>
  <c r="H155" i="2"/>
  <c r="I155" i="2" s="1"/>
  <c r="J232" i="2"/>
  <c r="L232" i="2"/>
  <c r="H232" i="2"/>
  <c r="J312" i="2"/>
  <c r="L312" i="2"/>
  <c r="H312" i="2"/>
  <c r="J212" i="2"/>
  <c r="L212" i="2"/>
  <c r="H212" i="2"/>
  <c r="J329" i="2"/>
  <c r="L329" i="2"/>
  <c r="H329" i="2"/>
  <c r="I329" i="2" s="1"/>
  <c r="J264" i="2"/>
  <c r="L264" i="2"/>
  <c r="H264" i="2"/>
  <c r="L528" i="2"/>
  <c r="J528" i="2"/>
  <c r="H528" i="2"/>
  <c r="J208" i="2"/>
  <c r="L208" i="2"/>
  <c r="H208" i="2"/>
  <c r="J325" i="2"/>
  <c r="L325" i="2"/>
  <c r="H325" i="2"/>
  <c r="I325" i="2" s="1"/>
  <c r="J717" i="2"/>
  <c r="L717" i="2"/>
  <c r="H717" i="2"/>
  <c r="L292" i="2"/>
  <c r="J292" i="2"/>
  <c r="H292" i="2"/>
  <c r="L360" i="2"/>
  <c r="J360" i="2"/>
  <c r="H360" i="2"/>
  <c r="I360" i="2" s="1"/>
  <c r="J235" i="2"/>
  <c r="L235" i="2"/>
  <c r="H235" i="2"/>
  <c r="I235" i="2" s="1"/>
  <c r="J299" i="2"/>
  <c r="L299" i="2"/>
  <c r="H299" i="2"/>
  <c r="J358" i="2"/>
  <c r="L358" i="2"/>
  <c r="H358" i="2"/>
  <c r="I358" i="2" s="1"/>
  <c r="L501" i="2"/>
  <c r="J501" i="2"/>
  <c r="H501" i="2"/>
  <c r="L270" i="2"/>
  <c r="J270" i="2"/>
  <c r="H270" i="2"/>
  <c r="I270" i="2" s="1"/>
  <c r="L336" i="2"/>
  <c r="J336" i="2"/>
  <c r="H336" i="2"/>
  <c r="J430" i="2"/>
  <c r="L430" i="2"/>
  <c r="H430" i="2"/>
  <c r="L177" i="2"/>
  <c r="J177" i="2"/>
  <c r="H177" i="2"/>
  <c r="J241" i="2"/>
  <c r="L241" i="2"/>
  <c r="H241" i="2"/>
  <c r="I241" i="2" s="1"/>
  <c r="L305" i="2"/>
  <c r="J305" i="2"/>
  <c r="H305" i="2"/>
  <c r="J409" i="2"/>
  <c r="L409" i="2"/>
  <c r="H409" i="2"/>
  <c r="J507" i="2"/>
  <c r="L507" i="2"/>
  <c r="H507" i="2"/>
  <c r="L416" i="2"/>
  <c r="J416" i="2"/>
  <c r="H416" i="2"/>
  <c r="L521" i="2"/>
  <c r="J521" i="2"/>
  <c r="H521" i="2"/>
  <c r="L412" i="2"/>
  <c r="J412" i="2"/>
  <c r="H412" i="2"/>
  <c r="L464" i="2"/>
  <c r="J464" i="2"/>
  <c r="H464" i="2"/>
  <c r="J571" i="2"/>
  <c r="L571" i="2"/>
  <c r="H571" i="2"/>
  <c r="I571" i="2" s="1"/>
  <c r="J423" i="2"/>
  <c r="L423" i="2"/>
  <c r="H423" i="2"/>
  <c r="J322" i="2"/>
  <c r="L322" i="2"/>
  <c r="H322" i="2"/>
  <c r="I322" i="2" s="1"/>
  <c r="L386" i="2"/>
  <c r="J386" i="2"/>
  <c r="H386" i="2"/>
  <c r="J445" i="2"/>
  <c r="L445" i="2"/>
  <c r="H445" i="2"/>
  <c r="J582" i="2"/>
  <c r="L582" i="2"/>
  <c r="H582" i="2"/>
  <c r="I582" i="2" s="1"/>
  <c r="J754" i="2"/>
  <c r="L754" i="2"/>
  <c r="H754" i="2"/>
  <c r="J503" i="2"/>
  <c r="L503" i="2"/>
  <c r="H503" i="2"/>
  <c r="L471" i="2"/>
  <c r="J471" i="2"/>
  <c r="H471" i="2"/>
  <c r="L533" i="2"/>
  <c r="J533" i="2"/>
  <c r="H533" i="2"/>
  <c r="I533" i="2" s="1"/>
  <c r="J466" i="2"/>
  <c r="L466" i="2"/>
  <c r="H466" i="2"/>
  <c r="I466" i="2" s="1"/>
  <c r="L552" i="2"/>
  <c r="J552" i="2"/>
  <c r="H552" i="2"/>
  <c r="J627" i="2"/>
  <c r="L627" i="2"/>
  <c r="H627" i="2"/>
  <c r="L616" i="2"/>
  <c r="J616" i="2"/>
  <c r="H616" i="2"/>
  <c r="J812" i="2"/>
  <c r="L812" i="2"/>
  <c r="H812" i="2"/>
  <c r="J725" i="2"/>
  <c r="L725" i="2"/>
  <c r="H725" i="2"/>
  <c r="L544" i="2"/>
  <c r="J544" i="2"/>
  <c r="H544" i="2"/>
  <c r="I544" i="2" s="1"/>
  <c r="L877" i="2"/>
  <c r="J877" i="2"/>
  <c r="H877" i="2"/>
  <c r="J574" i="2"/>
  <c r="L574" i="2"/>
  <c r="H574" i="2"/>
  <c r="I574" i="2" s="1"/>
  <c r="L610" i="2"/>
  <c r="J610" i="2"/>
  <c r="H610" i="2"/>
  <c r="L696" i="2"/>
  <c r="J696" i="2"/>
  <c r="H696" i="2"/>
  <c r="L509" i="2"/>
  <c r="J509" i="2"/>
  <c r="H509" i="2"/>
  <c r="J617" i="2"/>
  <c r="L617" i="2"/>
  <c r="H617" i="2"/>
  <c r="I617" i="2" s="1"/>
  <c r="L687" i="2"/>
  <c r="J687" i="2"/>
  <c r="H687" i="2"/>
  <c r="I687" i="2" s="1"/>
  <c r="L621" i="2"/>
  <c r="J621" i="2"/>
  <c r="H621" i="2"/>
  <c r="I621" i="2" s="1"/>
  <c r="L639" i="2"/>
  <c r="J639" i="2"/>
  <c r="H639" i="2"/>
  <c r="L737" i="2"/>
  <c r="J737" i="2"/>
  <c r="H737" i="2"/>
  <c r="I737" i="2" s="1"/>
  <c r="J830" i="2"/>
  <c r="L830" i="2"/>
  <c r="H830" i="2"/>
  <c r="L524" i="2"/>
  <c r="J524" i="2"/>
  <c r="H524" i="2"/>
  <c r="I524" i="2" s="1"/>
  <c r="J588" i="2"/>
  <c r="L588" i="2"/>
  <c r="H588" i="2"/>
  <c r="L651" i="2"/>
  <c r="J651" i="2"/>
  <c r="H651" i="2"/>
  <c r="J721" i="2"/>
  <c r="L721" i="2"/>
  <c r="H721" i="2"/>
  <c r="J909" i="2"/>
  <c r="L909" i="2"/>
  <c r="H909" i="2"/>
  <c r="I909" i="2" s="1"/>
  <c r="L591" i="2"/>
  <c r="J591" i="2"/>
  <c r="H591" i="2"/>
  <c r="L676" i="2"/>
  <c r="J676" i="2"/>
  <c r="H676" i="2"/>
  <c r="L821" i="2"/>
  <c r="J821" i="2"/>
  <c r="H821" i="2"/>
  <c r="L724" i="2"/>
  <c r="J724" i="2"/>
  <c r="H724" i="2"/>
  <c r="I724" i="2" s="1"/>
  <c r="J791" i="2"/>
  <c r="L791" i="2"/>
  <c r="H791" i="2"/>
  <c r="J699" i="2"/>
  <c r="L699" i="2"/>
  <c r="H699" i="2"/>
  <c r="I699" i="2" s="1"/>
  <c r="J756" i="2"/>
  <c r="L756" i="2"/>
  <c r="H756" i="2"/>
  <c r="F571" i="2"/>
  <c r="F361" i="2"/>
  <c r="F273" i="2"/>
  <c r="F465" i="2"/>
  <c r="F167" i="2"/>
  <c r="F1029" i="1"/>
  <c r="I564" i="1"/>
  <c r="I534" i="1"/>
  <c r="I199" i="1"/>
  <c r="F861" i="2"/>
  <c r="F640" i="2"/>
  <c r="F904" i="1"/>
  <c r="F939" i="1"/>
  <c r="F851" i="1"/>
  <c r="F183" i="1"/>
  <c r="F795" i="2"/>
  <c r="F915" i="2"/>
  <c r="F716" i="2"/>
  <c r="F882" i="2"/>
  <c r="F491" i="2"/>
  <c r="F448" i="2"/>
  <c r="F219" i="2"/>
  <c r="I1012" i="1"/>
  <c r="I947" i="1"/>
  <c r="I666" i="1"/>
  <c r="I783" i="1"/>
  <c r="I551" i="1"/>
  <c r="I526" i="1"/>
  <c r="I222" i="1"/>
  <c r="I311" i="1"/>
  <c r="I492" i="1"/>
  <c r="I228" i="1"/>
  <c r="F945" i="2"/>
  <c r="I670" i="1"/>
  <c r="I1000" i="1"/>
  <c r="I579" i="1"/>
  <c r="I209" i="1"/>
  <c r="I229" i="1"/>
  <c r="I423" i="1"/>
  <c r="F960" i="2"/>
  <c r="F963" i="2"/>
  <c r="F866" i="2"/>
  <c r="F847" i="2"/>
  <c r="F805" i="2"/>
  <c r="F784" i="2"/>
  <c r="F764" i="2"/>
  <c r="F731" i="2"/>
  <c r="F779" i="2"/>
  <c r="F740" i="2"/>
  <c r="F628" i="2"/>
  <c r="F681" i="2"/>
  <c r="F756" i="2"/>
  <c r="F566" i="2"/>
  <c r="F395" i="2"/>
  <c r="F823" i="2"/>
  <c r="F505" i="2"/>
  <c r="F364" i="2"/>
  <c r="F338" i="2"/>
  <c r="F196" i="2"/>
  <c r="F527" i="2"/>
  <c r="F220" i="2"/>
  <c r="F151" i="2"/>
  <c r="F141" i="2"/>
  <c r="F93" i="2"/>
  <c r="F117" i="2"/>
  <c r="F831" i="1"/>
  <c r="F940" i="1"/>
  <c r="F993" i="1"/>
  <c r="F620" i="1"/>
  <c r="F941" i="1"/>
  <c r="F764" i="1"/>
  <c r="F534" i="1"/>
  <c r="F597" i="1"/>
  <c r="F266" i="1"/>
  <c r="F311" i="1"/>
  <c r="F995" i="1"/>
  <c r="F557" i="1"/>
  <c r="F68" i="1"/>
  <c r="B58" i="1" s="1"/>
  <c r="F283" i="1"/>
  <c r="F555" i="1"/>
  <c r="F366" i="1"/>
  <c r="F537" i="1"/>
  <c r="F485" i="1"/>
  <c r="F243" i="1"/>
  <c r="F377" i="1"/>
  <c r="F80" i="1"/>
  <c r="F152" i="1"/>
  <c r="F382" i="1"/>
  <c r="F793" i="1"/>
  <c r="F933" i="1"/>
  <c r="F590" i="1"/>
  <c r="F584" i="1"/>
  <c r="F258" i="1"/>
  <c r="F482" i="1"/>
  <c r="F730" i="1"/>
  <c r="F1057" i="1"/>
  <c r="F545" i="1"/>
  <c r="F716" i="1"/>
  <c r="F821" i="1"/>
  <c r="F471" i="1"/>
  <c r="F908" i="1"/>
  <c r="F913" i="1"/>
  <c r="F588" i="1"/>
  <c r="F422" i="1"/>
  <c r="F251" i="1"/>
  <c r="F973" i="2"/>
  <c r="F884" i="2"/>
  <c r="F488" i="2"/>
  <c r="F771" i="2"/>
  <c r="F177" i="2"/>
  <c r="F204" i="2"/>
  <c r="F636" i="1"/>
  <c r="F282" i="1"/>
  <c r="F362" i="2"/>
  <c r="F168" i="2"/>
  <c r="F930" i="1"/>
  <c r="F950" i="1"/>
  <c r="F397" i="1"/>
  <c r="F252" i="1"/>
  <c r="F605" i="1"/>
  <c r="I995" i="1"/>
  <c r="I664" i="1"/>
  <c r="I339" i="1"/>
  <c r="I420" i="1"/>
  <c r="I525" i="1"/>
  <c r="F1009" i="2"/>
  <c r="F761" i="2"/>
  <c r="F1041" i="2"/>
  <c r="F295" i="2"/>
  <c r="F241" i="2"/>
  <c r="F330" i="2"/>
  <c r="F647" i="1"/>
  <c r="F455" i="1"/>
  <c r="F348" i="1"/>
  <c r="F465" i="1"/>
  <c r="F225" i="1"/>
  <c r="I412" i="1"/>
  <c r="I395" i="1"/>
  <c r="I141" i="1"/>
  <c r="I647" i="1"/>
  <c r="I219" i="1"/>
  <c r="F638" i="2"/>
  <c r="F948" i="1"/>
  <c r="I952" i="1"/>
  <c r="I648" i="1"/>
  <c r="I345" i="1"/>
  <c r="I322" i="1"/>
  <c r="I93" i="1"/>
  <c r="I867" i="1"/>
  <c r="I527" i="1"/>
  <c r="I537" i="1"/>
  <c r="I512" i="1"/>
  <c r="I223" i="1"/>
  <c r="I213" i="1"/>
  <c r="I214" i="1"/>
  <c r="F791" i="1"/>
  <c r="F905" i="1"/>
  <c r="F543" i="1"/>
  <c r="F470" i="1"/>
  <c r="F171" i="1"/>
  <c r="I1037" i="1"/>
  <c r="I539" i="1"/>
  <c r="I949" i="1"/>
  <c r="I474" i="1"/>
  <c r="I631" i="1"/>
  <c r="I572" i="1"/>
  <c r="F1039" i="2"/>
  <c r="F671" i="2"/>
  <c r="F643" i="2"/>
  <c r="F484" i="2"/>
  <c r="F675" i="2"/>
  <c r="F211" i="2"/>
  <c r="F146" i="2"/>
  <c r="F742" i="1"/>
  <c r="F729" i="1"/>
  <c r="F391" i="1"/>
  <c r="F595" i="1"/>
  <c r="F123" i="1"/>
  <c r="F138" i="1"/>
  <c r="F1031" i="2"/>
  <c r="F807" i="2"/>
  <c r="F851" i="2"/>
  <c r="F565" i="2"/>
  <c r="F521" i="2"/>
  <c r="F310" i="2"/>
  <c r="F114" i="2"/>
  <c r="I1025" i="1"/>
  <c r="I686" i="1"/>
  <c r="I1014" i="1"/>
  <c r="I595" i="1"/>
  <c r="I1021" i="1"/>
  <c r="I879" i="1"/>
  <c r="I1040" i="1"/>
  <c r="I729" i="1"/>
  <c r="I596" i="1"/>
  <c r="I391" i="1"/>
  <c r="I953" i="1"/>
  <c r="I998" i="1"/>
  <c r="I523" i="1"/>
  <c r="I852" i="1"/>
  <c r="I721" i="1"/>
  <c r="I992" i="1"/>
  <c r="I425" i="1"/>
  <c r="I540" i="1"/>
  <c r="F938" i="2"/>
  <c r="F723" i="2"/>
  <c r="F274" i="1"/>
  <c r="I798" i="1"/>
  <c r="I727" i="1"/>
  <c r="I640" i="1"/>
  <c r="I1019" i="1"/>
  <c r="I334" i="1"/>
  <c r="I372" i="1"/>
  <c r="I77" i="1"/>
  <c r="I336" i="1"/>
  <c r="I368" i="1"/>
  <c r="I103" i="1"/>
  <c r="F1043" i="2"/>
  <c r="F977" i="2"/>
  <c r="F916" i="2"/>
  <c r="F929" i="2"/>
  <c r="F930" i="2"/>
  <c r="F812" i="2"/>
  <c r="F708" i="2"/>
  <c r="F654" i="2"/>
  <c r="F606" i="2"/>
  <c r="F809" i="2"/>
  <c r="F531" i="2"/>
  <c r="F508" i="2"/>
  <c r="F632" i="2"/>
  <c r="F331" i="2"/>
  <c r="F445" i="2"/>
  <c r="F333" i="2"/>
  <c r="F276" i="2"/>
  <c r="F285" i="2"/>
  <c r="F345" i="2"/>
  <c r="F235" i="2"/>
  <c r="F83" i="2"/>
  <c r="F75" i="2"/>
  <c r="F1030" i="1"/>
  <c r="F881" i="1"/>
  <c r="F811" i="1"/>
  <c r="F553" i="1"/>
  <c r="F714" i="1"/>
  <c r="F910" i="1"/>
  <c r="F388" i="1"/>
  <c r="F958" i="1"/>
  <c r="F497" i="1"/>
  <c r="F256" i="1"/>
  <c r="F193" i="1"/>
  <c r="F918" i="1"/>
  <c r="F275" i="1"/>
  <c r="F762" i="1"/>
  <c r="F167" i="1"/>
  <c r="F417" i="1"/>
  <c r="F106" i="1"/>
  <c r="F254" i="1"/>
  <c r="F673" i="1"/>
  <c r="F1048" i="1"/>
  <c r="F478" i="1"/>
  <c r="F754" i="1"/>
  <c r="F600" i="1"/>
  <c r="F952" i="1"/>
  <c r="F488" i="1"/>
  <c r="F315" i="1"/>
  <c r="F530" i="1"/>
  <c r="F475" i="1"/>
  <c r="F117" i="1"/>
  <c r="L172" i="2"/>
  <c r="J172" i="2"/>
  <c r="H172" i="2"/>
  <c r="I172" i="2" s="1"/>
  <c r="L250" i="2"/>
  <c r="J250" i="2"/>
  <c r="H250" i="2"/>
  <c r="I250" i="2" s="1"/>
  <c r="J357" i="2"/>
  <c r="L357" i="2"/>
  <c r="H357" i="2"/>
  <c r="I357" i="2" s="1"/>
  <c r="L252" i="2"/>
  <c r="J252" i="2"/>
  <c r="H252" i="2"/>
  <c r="L316" i="2"/>
  <c r="J316" i="2"/>
  <c r="H316" i="2"/>
  <c r="I316" i="2" s="1"/>
  <c r="J425" i="2"/>
  <c r="L425" i="2"/>
  <c r="H425" i="2"/>
  <c r="I425" i="2" s="1"/>
  <c r="J259" i="2"/>
  <c r="L259" i="2"/>
  <c r="H259" i="2"/>
  <c r="I259" i="2" s="1"/>
  <c r="J321" i="2"/>
  <c r="L321" i="2"/>
  <c r="H321" i="2"/>
  <c r="I321" i="2" s="1"/>
  <c r="L405" i="2"/>
  <c r="J405" i="2"/>
  <c r="H405" i="2"/>
  <c r="L230" i="2"/>
  <c r="J230" i="2"/>
  <c r="H230" i="2"/>
  <c r="I230" i="2" s="1"/>
  <c r="L294" i="2"/>
  <c r="J294" i="2"/>
  <c r="H294" i="2"/>
  <c r="I294" i="2" s="1"/>
  <c r="L368" i="2"/>
  <c r="J368" i="2"/>
  <c r="H368" i="2"/>
  <c r="L201" i="2"/>
  <c r="J201" i="2"/>
  <c r="H201" i="2"/>
  <c r="L265" i="2"/>
  <c r="J265" i="2"/>
  <c r="H265" i="2"/>
  <c r="I265" i="2" s="1"/>
  <c r="J341" i="2"/>
  <c r="L341" i="2"/>
  <c r="H341" i="2"/>
  <c r="I341" i="2" s="1"/>
  <c r="L437" i="2"/>
  <c r="J437" i="2"/>
  <c r="H437" i="2"/>
  <c r="I437" i="2" s="1"/>
  <c r="L376" i="2"/>
  <c r="J376" i="2"/>
  <c r="H376" i="2"/>
  <c r="L440" i="2"/>
  <c r="J440" i="2"/>
  <c r="H440" i="2"/>
  <c r="I440" i="2" s="1"/>
  <c r="L658" i="2"/>
  <c r="J658" i="2"/>
  <c r="H658" i="2"/>
  <c r="L436" i="2"/>
  <c r="J436" i="2"/>
  <c r="H436" i="2"/>
  <c r="I436" i="2" s="1"/>
  <c r="J495" i="2"/>
  <c r="L495" i="2"/>
  <c r="H495" i="2"/>
  <c r="J383" i="2"/>
  <c r="L383" i="2"/>
  <c r="H383" i="2"/>
  <c r="I383" i="2" s="1"/>
  <c r="L488" i="2"/>
  <c r="J488" i="2"/>
  <c r="H488" i="2"/>
  <c r="L346" i="2"/>
  <c r="J346" i="2"/>
  <c r="H346" i="2"/>
  <c r="L410" i="2"/>
  <c r="J410" i="2"/>
  <c r="H410" i="2"/>
  <c r="I410" i="2" s="1"/>
  <c r="J465" i="2"/>
  <c r="L465" i="2"/>
  <c r="H465" i="2"/>
  <c r="I465" i="2" s="1"/>
  <c r="J547" i="2"/>
  <c r="L547" i="2"/>
  <c r="H547" i="2"/>
  <c r="I547" i="2" s="1"/>
  <c r="L468" i="2"/>
  <c r="J468" i="2"/>
  <c r="H468" i="2"/>
  <c r="I468" i="2" s="1"/>
  <c r="J550" i="2"/>
  <c r="L550" i="2"/>
  <c r="H550" i="2"/>
  <c r="I550" i="2" s="1"/>
  <c r="J504" i="2"/>
  <c r="L504" i="2"/>
  <c r="H504" i="2"/>
  <c r="I504" i="2" s="1"/>
  <c r="J693" i="2"/>
  <c r="L693" i="2"/>
  <c r="H693" i="2"/>
  <c r="L517" i="2"/>
  <c r="J517" i="2"/>
  <c r="H517" i="2"/>
  <c r="J611" i="2"/>
  <c r="L611" i="2"/>
  <c r="H611" i="2"/>
  <c r="I611" i="2" s="1"/>
  <c r="J685" i="2"/>
  <c r="L685" i="2"/>
  <c r="H685" i="2"/>
  <c r="L695" i="2"/>
  <c r="J695" i="2"/>
  <c r="H695" i="2"/>
  <c r="I695" i="2" s="1"/>
  <c r="J609" i="2"/>
  <c r="L609" i="2"/>
  <c r="H609" i="2"/>
  <c r="L600" i="2"/>
  <c r="J600" i="2"/>
  <c r="H600" i="2"/>
  <c r="I600" i="2" s="1"/>
  <c r="L640" i="2"/>
  <c r="J640" i="2"/>
  <c r="H640" i="2"/>
  <c r="I640" i="2" s="1"/>
  <c r="L529" i="2"/>
  <c r="J529" i="2"/>
  <c r="H529" i="2"/>
  <c r="J590" i="2"/>
  <c r="L590" i="2"/>
  <c r="H590" i="2"/>
  <c r="L626" i="2"/>
  <c r="J626" i="2"/>
  <c r="H626" i="2"/>
  <c r="J735" i="2"/>
  <c r="L735" i="2"/>
  <c r="H735" i="2"/>
  <c r="I735" i="2" s="1"/>
  <c r="L541" i="2"/>
  <c r="J541" i="2"/>
  <c r="H541" i="2"/>
  <c r="I541" i="2" s="1"/>
  <c r="J641" i="2"/>
  <c r="L641" i="2"/>
  <c r="H641" i="2"/>
  <c r="J587" i="2"/>
  <c r="L587" i="2"/>
  <c r="H587" i="2"/>
  <c r="I587" i="2" s="1"/>
  <c r="J673" i="2"/>
  <c r="L673" i="2"/>
  <c r="H673" i="2"/>
  <c r="L671" i="2"/>
  <c r="J671" i="2"/>
  <c r="H671" i="2"/>
  <c r="J755" i="2"/>
  <c r="L755" i="2"/>
  <c r="H755" i="2"/>
  <c r="I755" i="2" s="1"/>
  <c r="J484" i="2"/>
  <c r="L484" i="2"/>
  <c r="H484" i="2"/>
  <c r="I484" i="2" s="1"/>
  <c r="L548" i="2"/>
  <c r="J548" i="2"/>
  <c r="H548" i="2"/>
  <c r="L612" i="2"/>
  <c r="J612" i="2"/>
  <c r="H612" i="2"/>
  <c r="J674" i="2"/>
  <c r="L674" i="2"/>
  <c r="H674" i="2"/>
  <c r="L753" i="2"/>
  <c r="J753" i="2"/>
  <c r="H753" i="2"/>
  <c r="I753" i="2" s="1"/>
  <c r="L551" i="2"/>
  <c r="J551" i="2"/>
  <c r="H551" i="2"/>
  <c r="I551" i="2" s="1"/>
  <c r="J615" i="2"/>
  <c r="L615" i="2"/>
  <c r="H615" i="2"/>
  <c r="J759" i="2"/>
  <c r="L759" i="2"/>
  <c r="H759" i="2"/>
  <c r="I759" i="2" s="1"/>
  <c r="L684" i="2"/>
  <c r="J684" i="2"/>
  <c r="H684" i="2"/>
  <c r="I684" i="2" s="1"/>
  <c r="L750" i="2"/>
  <c r="J750" i="2"/>
  <c r="H750" i="2"/>
  <c r="J941" i="2"/>
  <c r="L941" i="2"/>
  <c r="H941" i="2"/>
  <c r="I941" i="2" s="1"/>
  <c r="J723" i="2"/>
  <c r="L723" i="2"/>
  <c r="H723" i="2"/>
  <c r="I723" i="2" s="1"/>
  <c r="L806" i="2"/>
  <c r="J806" i="2"/>
  <c r="H806" i="2"/>
  <c r="L638" i="2"/>
  <c r="J638" i="2"/>
  <c r="H638" i="2"/>
  <c r="I638" i="2" s="1"/>
  <c r="J702" i="2"/>
  <c r="L702" i="2"/>
  <c r="H702" i="2"/>
  <c r="I702" i="2" s="1"/>
  <c r="L829" i="2"/>
  <c r="J829" i="2"/>
  <c r="H829" i="2"/>
  <c r="I829" i="2" s="1"/>
  <c r="J801" i="2"/>
  <c r="L801" i="2"/>
  <c r="H801" i="2"/>
  <c r="I801" i="2" s="1"/>
  <c r="L882" i="2"/>
  <c r="J882" i="2"/>
  <c r="H882" i="2"/>
  <c r="L795" i="2"/>
  <c r="J795" i="2"/>
  <c r="H795" i="2"/>
  <c r="J965" i="2"/>
  <c r="L965" i="2"/>
  <c r="H965" i="2"/>
  <c r="J768" i="2"/>
  <c r="L768" i="2"/>
  <c r="H768" i="2"/>
  <c r="I768" i="2" s="1"/>
  <c r="L854" i="2"/>
  <c r="J854" i="2"/>
  <c r="H854" i="2"/>
  <c r="I854" i="2" s="1"/>
  <c r="L954" i="2"/>
  <c r="J954" i="2"/>
  <c r="H954" i="2"/>
  <c r="I954" i="2" s="1"/>
  <c r="J826" i="2"/>
  <c r="L826" i="2"/>
  <c r="H826" i="2"/>
  <c r="J1041" i="2"/>
  <c r="L1041" i="2"/>
  <c r="H1041" i="2"/>
  <c r="I1041" i="2" s="1"/>
  <c r="J850" i="2"/>
  <c r="L850" i="2"/>
  <c r="H850" i="2"/>
  <c r="J993" i="2"/>
  <c r="L993" i="2"/>
  <c r="H993" i="2"/>
  <c r="I993" i="2" s="1"/>
  <c r="L892" i="2"/>
  <c r="J892" i="2"/>
  <c r="H892" i="2"/>
  <c r="I892" i="2" s="1"/>
  <c r="J938" i="2"/>
  <c r="L938" i="2"/>
  <c r="H938" i="2"/>
  <c r="I938" i="2" s="1"/>
  <c r="J848" i="2"/>
  <c r="L848" i="2"/>
  <c r="H848" i="2"/>
  <c r="I848" i="2" s="1"/>
  <c r="J827" i="2"/>
  <c r="L827" i="2"/>
  <c r="H827" i="2"/>
  <c r="J889" i="2"/>
  <c r="L889" i="2"/>
  <c r="H889" i="2"/>
  <c r="J930" i="2"/>
  <c r="L930" i="2"/>
  <c r="H930" i="2"/>
  <c r="I930" i="2" s="1"/>
  <c r="L940" i="2"/>
  <c r="J940" i="2"/>
  <c r="H940" i="2"/>
  <c r="J984" i="2"/>
  <c r="L984" i="2"/>
  <c r="H984" i="2"/>
  <c r="I984" i="2" s="1"/>
  <c r="J931" i="2"/>
  <c r="L931" i="2"/>
  <c r="H931" i="2"/>
  <c r="L1024" i="2"/>
  <c r="J1024" i="2"/>
  <c r="H1024" i="2"/>
  <c r="I1024" i="2" s="1"/>
  <c r="J942" i="2"/>
  <c r="L942" i="2"/>
  <c r="H942" i="2"/>
  <c r="I942" i="2" s="1"/>
  <c r="L1055" i="2"/>
  <c r="J1055" i="2"/>
  <c r="H1055" i="2"/>
  <c r="I1055" i="2" s="1"/>
  <c r="L1031" i="2"/>
  <c r="J1031" i="2"/>
  <c r="H1031" i="2"/>
  <c r="I1031" i="2" s="1"/>
  <c r="J1008" i="2"/>
  <c r="L1008" i="2"/>
  <c r="H1008" i="2"/>
  <c r="I1008" i="2" s="1"/>
  <c r="L982" i="2"/>
  <c r="J982" i="2"/>
  <c r="H982" i="2"/>
  <c r="L1018" i="2"/>
  <c r="J1018" i="2"/>
  <c r="H1018" i="2"/>
  <c r="I1018" i="2" s="1"/>
  <c r="J1029" i="2"/>
  <c r="L1029" i="2"/>
  <c r="H1029" i="2"/>
  <c r="J1051" i="2"/>
  <c r="L1051" i="2"/>
  <c r="H1051" i="2"/>
  <c r="J1062" i="2"/>
  <c r="L1062" i="2"/>
  <c r="H1062" i="2"/>
  <c r="I1062" i="2" s="1"/>
  <c r="I1048" i="1"/>
  <c r="I965" i="1"/>
  <c r="I665" i="1"/>
  <c r="I861" i="1"/>
  <c r="I359" i="1"/>
  <c r="F694" i="2"/>
  <c r="F495" i="2"/>
  <c r="F355" i="2"/>
  <c r="F393" i="2"/>
  <c r="F231" i="2"/>
  <c r="F309" i="2"/>
  <c r="F111" i="2"/>
  <c r="I329" i="1"/>
  <c r="I910" i="1"/>
  <c r="I821" i="1"/>
  <c r="I749" i="1"/>
  <c r="I454" i="1"/>
  <c r="I434" i="1"/>
  <c r="I136" i="1"/>
  <c r="L164" i="2"/>
  <c r="J164" i="2"/>
  <c r="H164" i="2"/>
  <c r="I164" i="2" s="1"/>
  <c r="L162" i="2"/>
  <c r="J162" i="2"/>
  <c r="H162" i="2"/>
  <c r="I162" i="2" s="1"/>
  <c r="L290" i="2"/>
  <c r="J290" i="2"/>
  <c r="H290" i="2"/>
  <c r="I290" i="2" s="1"/>
  <c r="L178" i="2"/>
  <c r="J178" i="2"/>
  <c r="H178" i="2"/>
  <c r="I178" i="2" s="1"/>
  <c r="J207" i="2"/>
  <c r="L207" i="2"/>
  <c r="H207" i="2"/>
  <c r="L132" i="2"/>
  <c r="J132" i="2"/>
  <c r="H132" i="2"/>
  <c r="L334" i="2"/>
  <c r="J334" i="2"/>
  <c r="H334" i="2"/>
  <c r="I334" i="2" s="1"/>
  <c r="L584" i="2"/>
  <c r="J584" i="2"/>
  <c r="H584" i="2"/>
  <c r="J151" i="2"/>
  <c r="L151" i="2"/>
  <c r="H151" i="2"/>
  <c r="I151" i="2" s="1"/>
  <c r="J138" i="2"/>
  <c r="L138" i="2"/>
  <c r="H138" i="2"/>
  <c r="I138" i="2" s="1"/>
  <c r="L89" i="2"/>
  <c r="H89" i="2"/>
  <c r="I89" i="2" s="1"/>
  <c r="J89" i="2"/>
  <c r="L199" i="2"/>
  <c r="J199" i="2"/>
  <c r="H199" i="2"/>
  <c r="I199" i="2" s="1"/>
  <c r="L86" i="2"/>
  <c r="J86" i="2"/>
  <c r="H86" i="2"/>
  <c r="L150" i="2"/>
  <c r="J150" i="2"/>
  <c r="H150" i="2"/>
  <c r="L228" i="2"/>
  <c r="J228" i="2"/>
  <c r="H228" i="2"/>
  <c r="I228" i="2" s="1"/>
  <c r="J69" i="2"/>
  <c r="L69" i="2"/>
  <c r="H69" i="2"/>
  <c r="I69" i="2" s="1"/>
  <c r="J133" i="2"/>
  <c r="L133" i="2"/>
  <c r="H133" i="2"/>
  <c r="I133" i="2" s="1"/>
  <c r="L215" i="2"/>
  <c r="J215" i="2"/>
  <c r="H215" i="2"/>
  <c r="I215" i="2" s="1"/>
  <c r="J128" i="2"/>
  <c r="L128" i="2"/>
  <c r="H128" i="2"/>
  <c r="I128" i="2" s="1"/>
  <c r="L196" i="2"/>
  <c r="J196" i="2"/>
  <c r="H196" i="2"/>
  <c r="I196" i="2" s="1"/>
  <c r="J344" i="2"/>
  <c r="L344" i="2"/>
  <c r="H344" i="2"/>
  <c r="J66" i="2"/>
  <c r="H66" i="2"/>
  <c r="J123" i="2"/>
  <c r="L123" i="2"/>
  <c r="H123" i="2"/>
  <c r="I123" i="2" s="1"/>
  <c r="L186" i="2"/>
  <c r="J186" i="2"/>
  <c r="H186" i="2"/>
  <c r="I186" i="2" s="1"/>
  <c r="L411" i="2"/>
  <c r="J411" i="2"/>
  <c r="H411" i="2"/>
  <c r="L389" i="2"/>
  <c r="J389" i="2"/>
  <c r="H389" i="2"/>
  <c r="I389" i="2" s="1"/>
  <c r="J256" i="2"/>
  <c r="L256" i="2"/>
  <c r="H256" i="2"/>
  <c r="L387" i="2"/>
  <c r="J387" i="2"/>
  <c r="H387" i="2"/>
  <c r="I387" i="2" s="1"/>
  <c r="J377" i="2"/>
  <c r="L377" i="2"/>
  <c r="H377" i="2"/>
  <c r="I377" i="2" s="1"/>
  <c r="J176" i="2"/>
  <c r="L176" i="2"/>
  <c r="H176" i="2"/>
  <c r="J272" i="2"/>
  <c r="L272" i="2"/>
  <c r="H272" i="2"/>
  <c r="I272" i="2" s="1"/>
  <c r="L443" i="2"/>
  <c r="J443" i="2"/>
  <c r="H443" i="2"/>
  <c r="L260" i="2"/>
  <c r="J260" i="2"/>
  <c r="H260" i="2"/>
  <c r="L323" i="2"/>
  <c r="J323" i="2"/>
  <c r="H323" i="2"/>
  <c r="I323" i="2" s="1"/>
  <c r="J448" i="2"/>
  <c r="L448" i="2"/>
  <c r="H448" i="2"/>
  <c r="I448" i="2" s="1"/>
  <c r="J267" i="2"/>
  <c r="L267" i="2"/>
  <c r="H267" i="2"/>
  <c r="J326" i="2"/>
  <c r="L326" i="2"/>
  <c r="H326" i="2"/>
  <c r="I326" i="2" s="1"/>
  <c r="L413" i="2"/>
  <c r="J413" i="2"/>
  <c r="H413" i="2"/>
  <c r="I413" i="2" s="1"/>
  <c r="J238" i="2"/>
  <c r="L238" i="2"/>
  <c r="H238" i="2"/>
  <c r="I238" i="2" s="1"/>
  <c r="J302" i="2"/>
  <c r="L302" i="2"/>
  <c r="H302" i="2"/>
  <c r="I302" i="2" s="1"/>
  <c r="J372" i="2"/>
  <c r="L372" i="2"/>
  <c r="H372" i="2"/>
  <c r="I372" i="2" s="1"/>
  <c r="J499" i="2"/>
  <c r="L499" i="2"/>
  <c r="H499" i="2"/>
  <c r="I499" i="2" s="1"/>
  <c r="L209" i="2"/>
  <c r="J209" i="2"/>
  <c r="H209" i="2"/>
  <c r="I209" i="2" s="1"/>
  <c r="L273" i="2"/>
  <c r="J273" i="2"/>
  <c r="H273" i="2"/>
  <c r="J345" i="2"/>
  <c r="L345" i="2"/>
  <c r="H345" i="2"/>
  <c r="I345" i="2" s="1"/>
  <c r="L451" i="2"/>
  <c r="J451" i="2"/>
  <c r="H451" i="2"/>
  <c r="L384" i="2"/>
  <c r="J384" i="2"/>
  <c r="H384" i="2"/>
  <c r="L446" i="2"/>
  <c r="J446" i="2"/>
  <c r="H446" i="2"/>
  <c r="J380" i="2"/>
  <c r="L380" i="2"/>
  <c r="H380" i="2"/>
  <c r="I380" i="2" s="1"/>
  <c r="L444" i="2"/>
  <c r="J444" i="2"/>
  <c r="H444" i="2"/>
  <c r="I444" i="2" s="1"/>
  <c r="L511" i="2"/>
  <c r="J511" i="2"/>
  <c r="H511" i="2"/>
  <c r="I511" i="2" s="1"/>
  <c r="J391" i="2"/>
  <c r="L391" i="2"/>
  <c r="H391" i="2"/>
  <c r="L489" i="2"/>
  <c r="J489" i="2"/>
  <c r="H489" i="2"/>
  <c r="I489" i="2" s="1"/>
  <c r="J354" i="2"/>
  <c r="L354" i="2"/>
  <c r="H354" i="2"/>
  <c r="L418" i="2"/>
  <c r="J418" i="2"/>
  <c r="H418" i="2"/>
  <c r="I418" i="2" s="1"/>
  <c r="L475" i="2"/>
  <c r="J475" i="2"/>
  <c r="H475" i="2"/>
  <c r="J570" i="2"/>
  <c r="L570" i="2"/>
  <c r="H570" i="2"/>
  <c r="J476" i="2"/>
  <c r="L476" i="2"/>
  <c r="H476" i="2"/>
  <c r="I476" i="2" s="1"/>
  <c r="J579" i="2"/>
  <c r="L579" i="2"/>
  <c r="H579" i="2"/>
  <c r="I579" i="2" s="1"/>
  <c r="L505" i="2"/>
  <c r="J505" i="2"/>
  <c r="H505" i="2"/>
  <c r="L705" i="2"/>
  <c r="J705" i="2"/>
  <c r="H705" i="2"/>
  <c r="I705" i="2" s="1"/>
  <c r="L519" i="2"/>
  <c r="J519" i="2"/>
  <c r="H519" i="2"/>
  <c r="I519" i="2" s="1"/>
  <c r="L613" i="2"/>
  <c r="J613" i="2"/>
  <c r="H613" i="2"/>
  <c r="I613" i="2" s="1"/>
  <c r="J847" i="2"/>
  <c r="L847" i="2"/>
  <c r="H847" i="2"/>
  <c r="I847" i="2" s="1"/>
  <c r="J720" i="2"/>
  <c r="L720" i="2"/>
  <c r="H720" i="2"/>
  <c r="I720" i="2" s="1"/>
  <c r="J618" i="2"/>
  <c r="L618" i="2"/>
  <c r="H618" i="2"/>
  <c r="I618" i="2" s="1"/>
  <c r="J632" i="2"/>
  <c r="L632" i="2"/>
  <c r="H632" i="2"/>
  <c r="I632" i="2" s="1"/>
  <c r="J645" i="2"/>
  <c r="L645" i="2"/>
  <c r="H645" i="2"/>
  <c r="I645" i="2" s="1"/>
  <c r="J545" i="2"/>
  <c r="L545" i="2"/>
  <c r="H545" i="2"/>
  <c r="I545" i="2" s="1"/>
  <c r="L592" i="2"/>
  <c r="J592" i="2"/>
  <c r="H592" i="2"/>
  <c r="J629" i="2"/>
  <c r="L629" i="2"/>
  <c r="H629" i="2"/>
  <c r="I629" i="2" s="1"/>
  <c r="J742" i="2"/>
  <c r="L742" i="2"/>
  <c r="H742" i="2"/>
  <c r="L553" i="2"/>
  <c r="J553" i="2"/>
  <c r="H553" i="2"/>
  <c r="I553" i="2" s="1"/>
  <c r="J657" i="2"/>
  <c r="L657" i="2"/>
  <c r="H657" i="2"/>
  <c r="L589" i="2"/>
  <c r="J589" i="2"/>
  <c r="H589" i="2"/>
  <c r="I589" i="2" s="1"/>
  <c r="J738" i="2"/>
  <c r="L738" i="2"/>
  <c r="H738" i="2"/>
  <c r="J677" i="2"/>
  <c r="L677" i="2"/>
  <c r="H677" i="2"/>
  <c r="I677" i="2" s="1"/>
  <c r="L761" i="2"/>
  <c r="J761" i="2"/>
  <c r="H761" i="2"/>
  <c r="I761" i="2" s="1"/>
  <c r="J492" i="2"/>
  <c r="L492" i="2"/>
  <c r="H492" i="2"/>
  <c r="I492" i="2" s="1"/>
  <c r="J556" i="2"/>
  <c r="L556" i="2"/>
  <c r="H556" i="2"/>
  <c r="J620" i="2"/>
  <c r="L620" i="2"/>
  <c r="H620" i="2"/>
  <c r="L689" i="2"/>
  <c r="J689" i="2"/>
  <c r="H689" i="2"/>
  <c r="I689" i="2" s="1"/>
  <c r="J780" i="2"/>
  <c r="L780" i="2"/>
  <c r="H780" i="2"/>
  <c r="I780" i="2" s="1"/>
  <c r="J559" i="2"/>
  <c r="L559" i="2"/>
  <c r="H559" i="2"/>
  <c r="I559" i="2" s="1"/>
  <c r="L623" i="2"/>
  <c r="J623" i="2"/>
  <c r="H623" i="2"/>
  <c r="I623" i="2" s="1"/>
  <c r="J767" i="2"/>
  <c r="L767" i="2"/>
  <c r="H767" i="2"/>
  <c r="L692" i="2"/>
  <c r="J692" i="2"/>
  <c r="H692" i="2"/>
  <c r="L762" i="2"/>
  <c r="J762" i="2"/>
  <c r="H762" i="2"/>
  <c r="L952" i="2"/>
  <c r="J952" i="2"/>
  <c r="H952" i="2"/>
  <c r="J731" i="2"/>
  <c r="L731" i="2"/>
  <c r="H731" i="2"/>
  <c r="I731" i="2" s="1"/>
  <c r="L825" i="2"/>
  <c r="J825" i="2"/>
  <c r="H825" i="2"/>
  <c r="I825" i="2" s="1"/>
  <c r="L646" i="2"/>
  <c r="J646" i="2"/>
  <c r="H646" i="2"/>
  <c r="I646" i="2" s="1"/>
  <c r="J710" i="2"/>
  <c r="L710" i="2"/>
  <c r="H710" i="2"/>
  <c r="L844" i="2"/>
  <c r="J844" i="2"/>
  <c r="H844" i="2"/>
  <c r="L803" i="2"/>
  <c r="J803" i="2"/>
  <c r="H803" i="2"/>
  <c r="L916" i="2"/>
  <c r="J916" i="2"/>
  <c r="H916" i="2"/>
  <c r="I916" i="2" s="1"/>
  <c r="J809" i="2"/>
  <c r="L809" i="2"/>
  <c r="H809" i="2"/>
  <c r="L1000" i="2"/>
  <c r="J1000" i="2"/>
  <c r="H1000" i="2"/>
  <c r="I1000" i="2" s="1"/>
  <c r="J771" i="2"/>
  <c r="L771" i="2"/>
  <c r="H771" i="2"/>
  <c r="J858" i="2"/>
  <c r="L858" i="2"/>
  <c r="H858" i="2"/>
  <c r="J973" i="2"/>
  <c r="L973" i="2"/>
  <c r="H973" i="2"/>
  <c r="I973" i="2" s="1"/>
  <c r="L836" i="2"/>
  <c r="J836" i="2"/>
  <c r="H836" i="2"/>
  <c r="J773" i="2"/>
  <c r="L773" i="2"/>
  <c r="H773" i="2"/>
  <c r="L860" i="2"/>
  <c r="J860" i="2"/>
  <c r="H860" i="2"/>
  <c r="L833" i="2"/>
  <c r="J833" i="2"/>
  <c r="H833" i="2"/>
  <c r="I833" i="2" s="1"/>
  <c r="J906" i="2"/>
  <c r="L906" i="2"/>
  <c r="H906" i="2"/>
  <c r="I906" i="2" s="1"/>
  <c r="L992" i="2"/>
  <c r="J992" i="2"/>
  <c r="H992" i="2"/>
  <c r="I992" i="2" s="1"/>
  <c r="J856" i="2"/>
  <c r="L856" i="2"/>
  <c r="H856" i="2"/>
  <c r="I856" i="2" s="1"/>
  <c r="L835" i="2"/>
  <c r="J835" i="2"/>
  <c r="H835" i="2"/>
  <c r="I835" i="2" s="1"/>
  <c r="J901" i="2"/>
  <c r="L901" i="2"/>
  <c r="H901" i="2"/>
  <c r="I901" i="2" s="1"/>
  <c r="L969" i="2"/>
  <c r="J969" i="2"/>
  <c r="H969" i="2"/>
  <c r="I969" i="2" s="1"/>
  <c r="J948" i="2"/>
  <c r="L948" i="2"/>
  <c r="H948" i="2"/>
  <c r="J1028" i="2"/>
  <c r="L1028" i="2"/>
  <c r="H1028" i="2"/>
  <c r="J939" i="2"/>
  <c r="L939" i="2"/>
  <c r="H939" i="2"/>
  <c r="I939" i="2" s="1"/>
  <c r="J886" i="2"/>
  <c r="L886" i="2"/>
  <c r="H886" i="2"/>
  <c r="J947" i="2"/>
  <c r="L947" i="2"/>
  <c r="H947" i="2"/>
  <c r="I947" i="2" s="1"/>
  <c r="J956" i="2"/>
  <c r="L956" i="2"/>
  <c r="H956" i="2"/>
  <c r="I956" i="2" s="1"/>
  <c r="J1043" i="2"/>
  <c r="L1043" i="2"/>
  <c r="H1043" i="2"/>
  <c r="I1043" i="2" s="1"/>
  <c r="L1015" i="2"/>
  <c r="J1015" i="2"/>
  <c r="H1015" i="2"/>
  <c r="J990" i="2"/>
  <c r="L990" i="2"/>
  <c r="H990" i="2"/>
  <c r="L1026" i="2"/>
  <c r="J1026" i="2"/>
  <c r="H1026" i="2"/>
  <c r="J1037" i="2"/>
  <c r="L1037" i="2"/>
  <c r="H1037" i="2"/>
  <c r="I1037" i="2" s="1"/>
  <c r="J1059" i="2"/>
  <c r="L1059" i="2"/>
  <c r="H1059" i="2"/>
  <c r="L1049" i="2"/>
  <c r="J1049" i="2"/>
  <c r="H1049" i="2"/>
  <c r="F1014" i="1"/>
  <c r="F906" i="1"/>
  <c r="F665" i="1"/>
  <c r="F582" i="1"/>
  <c r="F670" i="1"/>
  <c r="F359" i="1"/>
  <c r="F658" i="1"/>
  <c r="F373" i="1"/>
  <c r="F434" i="1"/>
  <c r="F818" i="1"/>
  <c r="F440" i="1"/>
  <c r="F273" i="1"/>
  <c r="F109" i="1"/>
  <c r="F221" i="1"/>
  <c r="I352" i="1"/>
  <c r="I204" i="1"/>
  <c r="I365" i="1"/>
  <c r="F1052" i="2"/>
  <c r="F820" i="2"/>
  <c r="F842" i="2"/>
  <c r="F835" i="2"/>
  <c r="F772" i="2"/>
  <c r="F783" i="2"/>
  <c r="F762" i="2"/>
  <c r="F699" i="2"/>
  <c r="F636" i="2"/>
  <c r="F755" i="2"/>
  <c r="F467" i="2"/>
  <c r="F664" i="2"/>
  <c r="F421" i="2"/>
  <c r="F306" i="2"/>
  <c r="F311" i="2"/>
  <c r="F252" i="2"/>
  <c r="F261" i="2"/>
  <c r="F98" i="2"/>
  <c r="F283" i="2"/>
  <c r="F807" i="1"/>
  <c r="F916" i="1"/>
  <c r="F921" i="1"/>
  <c r="F928" i="1"/>
  <c r="F596" i="1"/>
  <c r="F891" i="1"/>
  <c r="F593" i="1"/>
  <c r="F961" i="1"/>
  <c r="F571" i="1"/>
  <c r="F301" i="1"/>
  <c r="F296" i="1"/>
  <c r="F260" i="1"/>
  <c r="F321" i="1"/>
  <c r="F286" i="1"/>
  <c r="F449" i="1"/>
  <c r="F522" i="1"/>
  <c r="F207" i="1"/>
  <c r="F213" i="1"/>
  <c r="F88" i="1"/>
  <c r="F313" i="1"/>
  <c r="F821" i="2"/>
  <c r="F352" i="2"/>
  <c r="F897" i="1"/>
  <c r="F972" i="1"/>
  <c r="F346" i="1"/>
  <c r="F518" i="1"/>
  <c r="F639" i="1"/>
  <c r="F560" i="2"/>
  <c r="F749" i="2"/>
  <c r="F594" i="2"/>
  <c r="F569" i="2"/>
  <c r="F399" i="2"/>
  <c r="F132" i="2"/>
  <c r="F281" i="2"/>
  <c r="F561" i="1"/>
  <c r="F676" i="1"/>
  <c r="F277" i="1"/>
  <c r="F640" i="1"/>
  <c r="F209" i="1"/>
  <c r="F463" i="1"/>
  <c r="I974" i="1"/>
  <c r="I855" i="1"/>
  <c r="I671" i="1"/>
  <c r="I504" i="1"/>
  <c r="I517" i="1"/>
  <c r="I430" i="1"/>
  <c r="I505" i="1"/>
  <c r="I835" i="1"/>
  <c r="I853" i="1"/>
  <c r="I924" i="1"/>
  <c r="I661" i="1"/>
  <c r="I495" i="1"/>
  <c r="I513" i="1"/>
  <c r="I480" i="1"/>
  <c r="I865" i="1"/>
  <c r="I900" i="1"/>
  <c r="I715" i="1"/>
  <c r="I688" i="1"/>
  <c r="F1028" i="2"/>
  <c r="F1001" i="2"/>
  <c r="F859" i="2"/>
  <c r="F934" i="2"/>
  <c r="F946" i="2"/>
  <c r="F750" i="2"/>
  <c r="F676" i="2"/>
  <c r="F644" i="2"/>
  <c r="F545" i="2"/>
  <c r="F735" i="2"/>
  <c r="F665" i="2"/>
  <c r="F459" i="2"/>
  <c r="F540" i="2"/>
  <c r="F298" i="2"/>
  <c r="F253" i="2"/>
  <c r="F423" i="2"/>
  <c r="F326" i="2"/>
  <c r="F173" i="2"/>
  <c r="F119" i="2"/>
  <c r="F77" i="2"/>
  <c r="F112" i="2"/>
  <c r="F1050" i="1"/>
  <c r="F991" i="1"/>
  <c r="F756" i="1"/>
  <c r="F524" i="1"/>
  <c r="F826" i="1"/>
  <c r="F980" i="1"/>
  <c r="F853" i="1"/>
  <c r="F437" i="1"/>
  <c r="F885" i="1"/>
  <c r="F356" i="1"/>
  <c r="F902" i="1"/>
  <c r="F474" i="1"/>
  <c r="F667" i="1"/>
  <c r="F161" i="1"/>
  <c r="F789" i="1"/>
  <c r="F693" i="1"/>
  <c r="F833" i="1"/>
  <c r="F135" i="1"/>
  <c r="F216" i="1"/>
  <c r="F173" i="1"/>
  <c r="F114" i="1"/>
  <c r="F1061" i="2"/>
  <c r="F932" i="2"/>
  <c r="F999" i="2"/>
  <c r="F986" i="2"/>
  <c r="F803" i="2"/>
  <c r="F950" i="2"/>
  <c r="F509" i="2"/>
  <c r="F452" i="2"/>
  <c r="F140" i="2"/>
  <c r="F85" i="2"/>
  <c r="F206" i="2"/>
  <c r="F1052" i="1"/>
  <c r="F1017" i="1"/>
  <c r="F508" i="1"/>
  <c r="F602" i="1"/>
  <c r="F115" i="1"/>
  <c r="F568" i="1"/>
  <c r="F1062" i="2"/>
  <c r="F356" i="2"/>
  <c r="F343" i="2"/>
  <c r="F199" i="2"/>
  <c r="F192" i="2"/>
  <c r="F1026" i="1"/>
  <c r="F775" i="1"/>
  <c r="F827" i="1"/>
  <c r="F809" i="1"/>
  <c r="F606" i="1"/>
  <c r="F338" i="1"/>
  <c r="F819" i="1"/>
  <c r="F565" i="1"/>
  <c r="F297" i="1"/>
  <c r="F371" i="1"/>
  <c r="F781" i="1"/>
  <c r="F111" i="1"/>
  <c r="F513" i="1"/>
  <c r="F144" i="1"/>
  <c r="I950" i="1"/>
  <c r="I827" i="1"/>
  <c r="I841" i="1"/>
  <c r="I917" i="1"/>
  <c r="I653" i="1"/>
  <c r="I490" i="1"/>
  <c r="I508" i="1"/>
  <c r="I471" i="1"/>
  <c r="I609" i="1"/>
  <c r="I176" i="1"/>
  <c r="I226" i="1"/>
  <c r="I174" i="1"/>
  <c r="F1064" i="2"/>
  <c r="F1003" i="2"/>
  <c r="F1012" i="2"/>
  <c r="F992" i="2"/>
  <c r="F905" i="2"/>
  <c r="F814" i="2"/>
  <c r="F902" i="2"/>
  <c r="F936" i="2"/>
  <c r="F741" i="2"/>
  <c r="F576" i="2"/>
  <c r="F683" i="2"/>
  <c r="F610" i="2"/>
  <c r="F461" i="2"/>
  <c r="F300" i="2"/>
  <c r="F254" i="2"/>
  <c r="F81" i="2"/>
  <c r="F644" i="1"/>
  <c r="F414" i="1"/>
  <c r="F335" i="1"/>
  <c r="F944" i="1"/>
  <c r="F349" i="1"/>
  <c r="F92" i="1"/>
  <c r="F398" i="1"/>
  <c r="F535" i="1"/>
  <c r="F563" i="1"/>
  <c r="F154" i="1"/>
  <c r="F291" i="1"/>
  <c r="I1026" i="1"/>
  <c r="I883" i="1"/>
  <c r="I903" i="1"/>
  <c r="I712" i="1"/>
  <c r="I575" i="1"/>
  <c r="I561" i="1"/>
  <c r="I532" i="1"/>
  <c r="I724" i="1"/>
  <c r="I250" i="1"/>
  <c r="I236" i="1"/>
  <c r="I833" i="1"/>
  <c r="I400" i="1"/>
  <c r="I116" i="1"/>
  <c r="I934" i="1"/>
  <c r="I811" i="1"/>
  <c r="I837" i="1"/>
  <c r="I472" i="1"/>
  <c r="I481" i="1"/>
  <c r="I462" i="1"/>
  <c r="I586" i="1"/>
  <c r="I160" i="1"/>
  <c r="I197" i="1"/>
  <c r="I158" i="1"/>
  <c r="I185" i="1"/>
  <c r="I247" i="1"/>
  <c r="I986" i="1"/>
  <c r="I937" i="1"/>
  <c r="I515" i="1"/>
  <c r="I850" i="1"/>
  <c r="I719" i="1"/>
  <c r="I799" i="1"/>
  <c r="I696" i="1"/>
  <c r="I960" i="1"/>
  <c r="I418" i="1"/>
  <c r="I428" i="1"/>
  <c r="I502" i="1"/>
  <c r="I164" i="1"/>
  <c r="I68" i="1"/>
  <c r="I977" i="1"/>
  <c r="I1039" i="1"/>
  <c r="I547" i="1"/>
  <c r="I760" i="1"/>
  <c r="I762" i="1"/>
  <c r="I982" i="1"/>
  <c r="I118" i="1"/>
  <c r="F431" i="2"/>
  <c r="I326" i="1"/>
  <c r="I262" i="1"/>
  <c r="I929" i="1"/>
  <c r="I507" i="1"/>
  <c r="I707" i="1"/>
  <c r="I781" i="1"/>
  <c r="I906" i="1"/>
  <c r="I408" i="1"/>
  <c r="I580" i="1"/>
  <c r="I489" i="1"/>
  <c r="I296" i="1"/>
  <c r="F846" i="2"/>
  <c r="F781" i="2"/>
  <c r="F747" i="2"/>
  <c r="F730" i="2"/>
  <c r="F754" i="2"/>
  <c r="F612" i="2"/>
  <c r="F674" i="2"/>
  <c r="F555" i="2"/>
  <c r="F722" i="2"/>
  <c r="F498" i="2"/>
  <c r="F187" i="2"/>
  <c r="F380" i="2"/>
  <c r="F257" i="2"/>
  <c r="F131" i="2"/>
  <c r="F887" i="1"/>
  <c r="F1025" i="1"/>
  <c r="F914" i="1"/>
  <c r="F420" i="1"/>
  <c r="I1057" i="1"/>
  <c r="I718" i="1"/>
  <c r="I627" i="1"/>
  <c r="I864" i="1"/>
  <c r="I257" i="1"/>
  <c r="I914" i="1"/>
  <c r="I933" i="1"/>
  <c r="I292" i="1"/>
  <c r="I106" i="1"/>
  <c r="I890" i="1"/>
  <c r="F1027" i="2"/>
  <c r="F900" i="2"/>
  <c r="F922" i="2"/>
  <c r="F870" i="2"/>
  <c r="F956" i="2"/>
  <c r="F692" i="2"/>
  <c r="F658" i="2"/>
  <c r="F605" i="2"/>
  <c r="F574" i="2"/>
  <c r="F475" i="2"/>
  <c r="F913" i="2"/>
  <c r="F319" i="2"/>
  <c r="F260" i="2"/>
  <c r="F269" i="2"/>
  <c r="F297" i="2"/>
  <c r="F315" i="2"/>
  <c r="F407" i="2"/>
  <c r="F185" i="2"/>
  <c r="F71" i="2"/>
  <c r="F222" i="2"/>
  <c r="F229" i="2"/>
  <c r="L203" i="2"/>
  <c r="J203" i="2"/>
  <c r="H203" i="2"/>
  <c r="I203" i="2" s="1"/>
  <c r="J166" i="2"/>
  <c r="L166" i="2"/>
  <c r="H166" i="2"/>
  <c r="I166" i="2" s="1"/>
  <c r="L129" i="2"/>
  <c r="J129" i="2"/>
  <c r="H129" i="2"/>
  <c r="I129" i="2" s="1"/>
  <c r="L202" i="2"/>
  <c r="J202" i="2"/>
  <c r="H202" i="2"/>
  <c r="I202" i="2" s="1"/>
  <c r="L210" i="2"/>
  <c r="J210" i="2"/>
  <c r="H210" i="2"/>
  <c r="J154" i="2"/>
  <c r="L154" i="2"/>
  <c r="H154" i="2"/>
  <c r="I154" i="2" s="1"/>
  <c r="L365" i="2"/>
  <c r="J365" i="2"/>
  <c r="H365" i="2"/>
  <c r="I365" i="2" s="1"/>
  <c r="L343" i="2"/>
  <c r="J343" i="2"/>
  <c r="H343" i="2"/>
  <c r="I343" i="2" s="1"/>
  <c r="L227" i="2"/>
  <c r="J227" i="2"/>
  <c r="H227" i="2"/>
  <c r="L145" i="2"/>
  <c r="J145" i="2"/>
  <c r="H145" i="2"/>
  <c r="I145" i="2" s="1"/>
  <c r="J103" i="2"/>
  <c r="L103" i="2"/>
  <c r="H103" i="2"/>
  <c r="I103" i="2" s="1"/>
  <c r="L206" i="2"/>
  <c r="J206" i="2"/>
  <c r="H206" i="2"/>
  <c r="L94" i="2"/>
  <c r="J94" i="2"/>
  <c r="H94" i="2"/>
  <c r="J160" i="2"/>
  <c r="L160" i="2"/>
  <c r="H160" i="2"/>
  <c r="L266" i="2"/>
  <c r="J266" i="2"/>
  <c r="H266" i="2"/>
  <c r="I266" i="2" s="1"/>
  <c r="J77" i="2"/>
  <c r="L77" i="2"/>
  <c r="H77" i="2"/>
  <c r="I77" i="2" s="1"/>
  <c r="J141" i="2"/>
  <c r="L141" i="2"/>
  <c r="H141" i="2"/>
  <c r="I141" i="2" s="1"/>
  <c r="L226" i="2"/>
  <c r="J226" i="2"/>
  <c r="H226" i="2"/>
  <c r="I226" i="2" s="1"/>
  <c r="J72" i="2"/>
  <c r="L72" i="2"/>
  <c r="H72" i="2"/>
  <c r="I72" i="2" s="1"/>
  <c r="J136" i="2"/>
  <c r="L136" i="2"/>
  <c r="H136" i="2"/>
  <c r="I136" i="2" s="1"/>
  <c r="L214" i="2"/>
  <c r="J214" i="2"/>
  <c r="H214" i="2"/>
  <c r="I214" i="2" s="1"/>
  <c r="L352" i="2"/>
  <c r="J352" i="2"/>
  <c r="H352" i="2"/>
  <c r="I352" i="2" s="1"/>
  <c r="L67" i="2"/>
  <c r="J67" i="2"/>
  <c r="H67" i="2"/>
  <c r="I67" i="2" s="1"/>
  <c r="L131" i="2"/>
  <c r="J131" i="2"/>
  <c r="H131" i="2"/>
  <c r="I131" i="2" s="1"/>
  <c r="L218" i="2"/>
  <c r="J218" i="2"/>
  <c r="H218" i="2"/>
  <c r="I218" i="2" s="1"/>
  <c r="J414" i="2"/>
  <c r="L414" i="2"/>
  <c r="H414" i="2"/>
  <c r="I414" i="2" s="1"/>
  <c r="L459" i="2"/>
  <c r="J459" i="2"/>
  <c r="H459" i="2"/>
  <c r="L263" i="2"/>
  <c r="J263" i="2"/>
  <c r="H263" i="2"/>
  <c r="L447" i="2"/>
  <c r="J447" i="2"/>
  <c r="H447" i="2"/>
  <c r="I447" i="2" s="1"/>
  <c r="J398" i="2"/>
  <c r="L398" i="2"/>
  <c r="H398" i="2"/>
  <c r="I398" i="2" s="1"/>
  <c r="J181" i="2"/>
  <c r="L181" i="2"/>
  <c r="H181" i="2"/>
  <c r="I181" i="2" s="1"/>
  <c r="L279" i="2"/>
  <c r="J279" i="2"/>
  <c r="H279" i="2"/>
  <c r="I279" i="2" s="1"/>
  <c r="L477" i="2"/>
  <c r="J477" i="2"/>
  <c r="H477" i="2"/>
  <c r="L268" i="2"/>
  <c r="J268" i="2"/>
  <c r="H268" i="2"/>
  <c r="I268" i="2" s="1"/>
  <c r="L328" i="2"/>
  <c r="J328" i="2"/>
  <c r="H328" i="2"/>
  <c r="I328" i="2" s="1"/>
  <c r="L460" i="2"/>
  <c r="J460" i="2"/>
  <c r="H460" i="2"/>
  <c r="I460" i="2" s="1"/>
  <c r="J275" i="2"/>
  <c r="L275" i="2"/>
  <c r="H275" i="2"/>
  <c r="I275" i="2" s="1"/>
  <c r="J335" i="2"/>
  <c r="L335" i="2"/>
  <c r="H335" i="2"/>
  <c r="J422" i="2"/>
  <c r="L422" i="2"/>
  <c r="H422" i="2"/>
  <c r="I422" i="2" s="1"/>
  <c r="J246" i="2"/>
  <c r="L246" i="2"/>
  <c r="H246" i="2"/>
  <c r="I246" i="2" s="1"/>
  <c r="J310" i="2"/>
  <c r="L310" i="2"/>
  <c r="H310" i="2"/>
  <c r="I310" i="2" s="1"/>
  <c r="J393" i="2"/>
  <c r="L393" i="2"/>
  <c r="H393" i="2"/>
  <c r="I393" i="2" s="1"/>
  <c r="L568" i="2"/>
  <c r="J568" i="2"/>
  <c r="H568" i="2"/>
  <c r="L217" i="2"/>
  <c r="J217" i="2"/>
  <c r="H217" i="2"/>
  <c r="I217" i="2" s="1"/>
  <c r="J281" i="2"/>
  <c r="L281" i="2"/>
  <c r="H281" i="2"/>
  <c r="L350" i="2"/>
  <c r="J350" i="2"/>
  <c r="H350" i="2"/>
  <c r="I350" i="2" s="1"/>
  <c r="L469" i="2"/>
  <c r="J469" i="2"/>
  <c r="H469" i="2"/>
  <c r="I469" i="2" s="1"/>
  <c r="L392" i="2"/>
  <c r="J392" i="2"/>
  <c r="H392" i="2"/>
  <c r="I392" i="2" s="1"/>
  <c r="L455" i="2"/>
  <c r="J455" i="2"/>
  <c r="H455" i="2"/>
  <c r="I455" i="2" s="1"/>
  <c r="J388" i="2"/>
  <c r="L388" i="2"/>
  <c r="H388" i="2"/>
  <c r="I388" i="2" s="1"/>
  <c r="L453" i="2"/>
  <c r="J453" i="2"/>
  <c r="H453" i="2"/>
  <c r="I453" i="2" s="1"/>
  <c r="J537" i="2"/>
  <c r="L537" i="2"/>
  <c r="H537" i="2"/>
  <c r="I537" i="2" s="1"/>
  <c r="J399" i="2"/>
  <c r="L399" i="2"/>
  <c r="H399" i="2"/>
  <c r="J531" i="2"/>
  <c r="L531" i="2"/>
  <c r="H531" i="2"/>
  <c r="I531" i="2" s="1"/>
  <c r="J362" i="2"/>
  <c r="L362" i="2"/>
  <c r="H362" i="2"/>
  <c r="I362" i="2" s="1"/>
  <c r="J426" i="2"/>
  <c r="L426" i="2"/>
  <c r="H426" i="2"/>
  <c r="L487" i="2"/>
  <c r="J487" i="2"/>
  <c r="H487" i="2"/>
  <c r="I487" i="2" s="1"/>
  <c r="L577" i="2"/>
  <c r="J577" i="2"/>
  <c r="H577" i="2"/>
  <c r="I577" i="2" s="1"/>
  <c r="J482" i="2"/>
  <c r="L482" i="2"/>
  <c r="H482" i="2"/>
  <c r="J614" i="2"/>
  <c r="L614" i="2"/>
  <c r="H614" i="2"/>
  <c r="I614" i="2" s="1"/>
  <c r="L506" i="2"/>
  <c r="J506" i="2"/>
  <c r="H506" i="2"/>
  <c r="L727" i="2"/>
  <c r="J727" i="2"/>
  <c r="H727" i="2"/>
  <c r="I727" i="2" s="1"/>
  <c r="L525" i="2"/>
  <c r="J525" i="2"/>
  <c r="H525" i="2"/>
  <c r="I525" i="2" s="1"/>
  <c r="L625" i="2"/>
  <c r="J625" i="2"/>
  <c r="H625" i="2"/>
  <c r="I625" i="2" s="1"/>
  <c r="L896" i="2"/>
  <c r="J896" i="2"/>
  <c r="H896" i="2"/>
  <c r="I896" i="2" s="1"/>
  <c r="L776" i="2"/>
  <c r="J776" i="2"/>
  <c r="H776" i="2"/>
  <c r="I776" i="2" s="1"/>
  <c r="J628" i="2"/>
  <c r="L628" i="2"/>
  <c r="H628" i="2"/>
  <c r="J643" i="2"/>
  <c r="L643" i="2"/>
  <c r="H643" i="2"/>
  <c r="J650" i="2"/>
  <c r="L650" i="2"/>
  <c r="H650" i="2"/>
  <c r="J558" i="2"/>
  <c r="L558" i="2"/>
  <c r="H558" i="2"/>
  <c r="I558" i="2" s="1"/>
  <c r="L594" i="2"/>
  <c r="J594" i="2"/>
  <c r="H594" i="2"/>
  <c r="I594" i="2" s="1"/>
  <c r="L649" i="2"/>
  <c r="J649" i="2"/>
  <c r="H649" i="2"/>
  <c r="I649" i="2" s="1"/>
  <c r="J751" i="2"/>
  <c r="L751" i="2"/>
  <c r="H751" i="2"/>
  <c r="I751" i="2" s="1"/>
  <c r="L569" i="2"/>
  <c r="J569" i="2"/>
  <c r="H569" i="2"/>
  <c r="I569" i="2" s="1"/>
  <c r="J664" i="2"/>
  <c r="L664" i="2"/>
  <c r="H664" i="2"/>
  <c r="I664" i="2" s="1"/>
  <c r="J603" i="2"/>
  <c r="L603" i="2"/>
  <c r="H603" i="2"/>
  <c r="I603" i="2" s="1"/>
  <c r="L740" i="2"/>
  <c r="J740" i="2"/>
  <c r="H740" i="2"/>
  <c r="I740" i="2" s="1"/>
  <c r="L679" i="2"/>
  <c r="J679" i="2"/>
  <c r="H679" i="2"/>
  <c r="L766" i="2"/>
  <c r="J766" i="2"/>
  <c r="H766" i="2"/>
  <c r="I766" i="2" s="1"/>
  <c r="J500" i="2"/>
  <c r="L500" i="2"/>
  <c r="H500" i="2"/>
  <c r="L564" i="2"/>
  <c r="J564" i="2"/>
  <c r="H564" i="2"/>
  <c r="I564" i="2" s="1"/>
  <c r="J633" i="2"/>
  <c r="L633" i="2"/>
  <c r="H633" i="2"/>
  <c r="I633" i="2" s="1"/>
  <c r="J690" i="2"/>
  <c r="L690" i="2"/>
  <c r="H690" i="2"/>
  <c r="J816" i="2"/>
  <c r="L816" i="2"/>
  <c r="H816" i="2"/>
  <c r="I816" i="2" s="1"/>
  <c r="L567" i="2"/>
  <c r="J567" i="2"/>
  <c r="H567" i="2"/>
  <c r="L647" i="2"/>
  <c r="J647" i="2"/>
  <c r="H647" i="2"/>
  <c r="L770" i="2"/>
  <c r="J770" i="2"/>
  <c r="H770" i="2"/>
  <c r="I770" i="2" s="1"/>
  <c r="L700" i="2"/>
  <c r="J700" i="2"/>
  <c r="H700" i="2"/>
  <c r="I700" i="2" s="1"/>
  <c r="J778" i="2"/>
  <c r="L778" i="2"/>
  <c r="H778" i="2"/>
  <c r="J675" i="2"/>
  <c r="L675" i="2"/>
  <c r="H675" i="2"/>
  <c r="I675" i="2" s="1"/>
  <c r="J739" i="2"/>
  <c r="L739" i="2"/>
  <c r="H739" i="2"/>
  <c r="J838" i="2"/>
  <c r="L838" i="2"/>
  <c r="H838" i="2"/>
  <c r="J654" i="2"/>
  <c r="L654" i="2"/>
  <c r="H654" i="2"/>
  <c r="I654" i="2" s="1"/>
  <c r="J718" i="2"/>
  <c r="L718" i="2"/>
  <c r="H718" i="2"/>
  <c r="I718" i="2" s="1"/>
  <c r="J897" i="2"/>
  <c r="L897" i="2"/>
  <c r="H897" i="2"/>
  <c r="I897" i="2" s="1"/>
  <c r="J817" i="2"/>
  <c r="L817" i="2"/>
  <c r="H817" i="2"/>
  <c r="I817" i="2" s="1"/>
  <c r="J1007" i="2"/>
  <c r="L1007" i="2"/>
  <c r="H1007" i="2"/>
  <c r="L811" i="2"/>
  <c r="J811" i="2"/>
  <c r="H811" i="2"/>
  <c r="I811" i="2" s="1"/>
  <c r="L1005" i="2"/>
  <c r="J1005" i="2"/>
  <c r="H1005" i="2"/>
  <c r="L775" i="2"/>
  <c r="J775" i="2"/>
  <c r="H775" i="2"/>
  <c r="I775" i="2" s="1"/>
  <c r="L868" i="2"/>
  <c r="J868" i="2"/>
  <c r="H868" i="2"/>
  <c r="L1004" i="2"/>
  <c r="J1004" i="2"/>
  <c r="H1004" i="2"/>
  <c r="J837" i="2"/>
  <c r="L837" i="2"/>
  <c r="H837" i="2"/>
  <c r="I837" i="2" s="1"/>
  <c r="L781" i="2"/>
  <c r="J781" i="2"/>
  <c r="H781" i="2"/>
  <c r="I781" i="2" s="1"/>
  <c r="J861" i="2"/>
  <c r="L861" i="2"/>
  <c r="H861" i="2"/>
  <c r="I861" i="2" s="1"/>
  <c r="L841" i="2"/>
  <c r="J841" i="2"/>
  <c r="H841" i="2"/>
  <c r="I841" i="2" s="1"/>
  <c r="L908" i="2"/>
  <c r="J908" i="2"/>
  <c r="H908" i="2"/>
  <c r="L996" i="2"/>
  <c r="J996" i="2"/>
  <c r="H996" i="2"/>
  <c r="I996" i="2" s="1"/>
  <c r="J864" i="2"/>
  <c r="L864" i="2"/>
  <c r="H864" i="2"/>
  <c r="I864" i="2" s="1"/>
  <c r="L843" i="2"/>
  <c r="J843" i="2"/>
  <c r="H843" i="2"/>
  <c r="I843" i="2" s="1"/>
  <c r="L903" i="2"/>
  <c r="J903" i="2"/>
  <c r="H903" i="2"/>
  <c r="I903" i="2" s="1"/>
  <c r="L975" i="2"/>
  <c r="J975" i="2"/>
  <c r="H975" i="2"/>
  <c r="I975" i="2" s="1"/>
  <c r="J958" i="2"/>
  <c r="L958" i="2"/>
  <c r="H958" i="2"/>
  <c r="I958" i="2" s="1"/>
  <c r="L1039" i="2"/>
  <c r="J1039" i="2"/>
  <c r="H1039" i="2"/>
  <c r="I1039" i="2" s="1"/>
  <c r="J953" i="2"/>
  <c r="L953" i="2"/>
  <c r="H953" i="2"/>
  <c r="L894" i="2"/>
  <c r="J894" i="2"/>
  <c r="H894" i="2"/>
  <c r="I894" i="2" s="1"/>
  <c r="J955" i="2"/>
  <c r="L955" i="2"/>
  <c r="H955" i="2"/>
  <c r="L962" i="2"/>
  <c r="J962" i="2"/>
  <c r="H962" i="2"/>
  <c r="I962" i="2" s="1"/>
  <c r="J943" i="2"/>
  <c r="L943" i="2"/>
  <c r="H943" i="2"/>
  <c r="I943" i="2" s="1"/>
  <c r="L1003" i="2"/>
  <c r="J1003" i="2"/>
  <c r="H1003" i="2"/>
  <c r="I1003" i="2" s="1"/>
  <c r="L999" i="2"/>
  <c r="J999" i="2"/>
  <c r="H999" i="2"/>
  <c r="I999" i="2" s="1"/>
  <c r="L1034" i="2"/>
  <c r="J1034" i="2"/>
  <c r="H1034" i="2"/>
  <c r="I1034" i="2" s="1"/>
  <c r="L1045" i="2"/>
  <c r="J1045" i="2"/>
  <c r="H1045" i="2"/>
  <c r="I1045" i="2" s="1"/>
  <c r="L1014" i="2"/>
  <c r="J1014" i="2"/>
  <c r="H1014" i="2"/>
  <c r="I1014" i="2" s="1"/>
  <c r="L1057" i="2"/>
  <c r="J1057" i="2"/>
  <c r="H1057" i="2"/>
  <c r="I1057" i="2" s="1"/>
  <c r="I383" i="1"/>
  <c r="I254" i="1"/>
  <c r="I747" i="1"/>
  <c r="I252" i="1"/>
  <c r="I774" i="1"/>
  <c r="I616" i="1"/>
  <c r="I869" i="1"/>
  <c r="I67" i="1"/>
  <c r="I912" i="1"/>
  <c r="I672" i="1"/>
  <c r="I305" i="1"/>
  <c r="I302" i="1"/>
  <c r="I283" i="1"/>
  <c r="I340" i="1"/>
  <c r="I362" i="1"/>
  <c r="I349" i="1"/>
  <c r="I84" i="1"/>
  <c r="I360" i="1"/>
  <c r="F879" i="2"/>
  <c r="F492" i="2"/>
  <c r="F455" i="2"/>
  <c r="F396" i="2"/>
  <c r="F386" i="2"/>
  <c r="F299" i="2"/>
  <c r="F304" i="2"/>
  <c r="F106" i="2"/>
  <c r="F144" i="2"/>
  <c r="F109" i="2"/>
  <c r="F977" i="1"/>
  <c r="F727" i="1"/>
  <c r="F836" i="1"/>
  <c r="F1031" i="1"/>
  <c r="F747" i="1"/>
  <c r="F641" i="1"/>
  <c r="F622" i="1"/>
  <c r="F354" i="1"/>
  <c r="F413" i="1"/>
  <c r="F515" i="1"/>
  <c r="F280" i="1"/>
  <c r="F228" i="1"/>
  <c r="F494" i="1"/>
  <c r="F744" i="1"/>
  <c r="F191" i="1"/>
  <c r="F202" i="1"/>
  <c r="I758" i="1"/>
  <c r="I668" i="1"/>
  <c r="I922" i="1"/>
  <c r="I297" i="1"/>
  <c r="I275" i="1"/>
  <c r="I842" i="1"/>
  <c r="I216" i="1"/>
  <c r="I202" i="1"/>
  <c r="I238" i="1"/>
  <c r="F898" i="2"/>
  <c r="F724" i="2"/>
  <c r="F839" i="2"/>
  <c r="F595" i="2"/>
  <c r="F365" i="2"/>
  <c r="F301" i="2"/>
  <c r="F243" i="2"/>
  <c r="F169" i="2"/>
  <c r="F970" i="1"/>
  <c r="F572" i="1"/>
  <c r="F840" i="1"/>
  <c r="F410" i="1"/>
  <c r="F784" i="1"/>
  <c r="F329" i="1"/>
  <c r="F94" i="1"/>
  <c r="F489" i="1"/>
  <c r="F426" i="1"/>
  <c r="F178" i="1"/>
  <c r="F966" i="2"/>
  <c r="F856" i="2"/>
  <c r="F818" i="2"/>
  <c r="F796" i="2"/>
  <c r="F666" i="2"/>
  <c r="F480" i="2"/>
  <c r="F384" i="2"/>
  <c r="F598" i="2"/>
  <c r="F264" i="2"/>
  <c r="F165" i="2"/>
  <c r="F183" i="2"/>
  <c r="F249" i="1"/>
  <c r="I957" i="1"/>
  <c r="I736" i="1"/>
  <c r="I656" i="1"/>
  <c r="I1046" i="1"/>
  <c r="I353" i="1"/>
  <c r="I350" i="1"/>
  <c r="I331" i="1"/>
  <c r="I354" i="1"/>
  <c r="I101" i="1"/>
  <c r="I543" i="1"/>
  <c r="I437" i="1"/>
  <c r="I378" i="1"/>
  <c r="I742" i="1"/>
  <c r="I888" i="1"/>
  <c r="I651" i="1"/>
  <c r="I584" i="1"/>
  <c r="I901" i="1"/>
  <c r="I1016" i="1"/>
  <c r="I316" i="1"/>
  <c r="I752" i="1"/>
  <c r="I271" i="1"/>
  <c r="I154" i="1"/>
  <c r="I815" i="1"/>
  <c r="I162" i="1"/>
  <c r="I81" i="1"/>
  <c r="F964" i="2"/>
  <c r="F984" i="2"/>
  <c r="F852" i="2"/>
  <c r="F848" i="2"/>
  <c r="F389" i="2"/>
  <c r="F757" i="1"/>
  <c r="I926" i="1"/>
  <c r="I803" i="1"/>
  <c r="I825" i="1"/>
  <c r="I763" i="1"/>
  <c r="I463" i="1"/>
  <c r="I476" i="1"/>
  <c r="I448" i="1"/>
  <c r="I558" i="1"/>
  <c r="I155" i="1"/>
  <c r="I189" i="1"/>
  <c r="I785" i="1"/>
  <c r="I150" i="1"/>
  <c r="I183" i="1"/>
  <c r="F1045" i="2"/>
  <c r="F1016" i="2"/>
  <c r="F961" i="2"/>
  <c r="F941" i="2"/>
  <c r="F873" i="2"/>
  <c r="F790" i="2"/>
  <c r="F969" i="2"/>
  <c r="F862" i="2"/>
  <c r="F824" i="2"/>
  <c r="F616" i="2"/>
  <c r="F557" i="2"/>
  <c r="F718" i="2"/>
  <c r="F649" i="2"/>
  <c r="F690" i="2"/>
  <c r="F523" i="2"/>
  <c r="F765" i="2"/>
  <c r="F510" i="2"/>
  <c r="F381" i="2"/>
  <c r="F266" i="2"/>
  <c r="F271" i="2"/>
  <c r="F572" i="2"/>
  <c r="F468" i="2"/>
  <c r="F214" i="2"/>
  <c r="F249" i="2"/>
  <c r="F78" i="2"/>
  <c r="F171" i="2"/>
  <c r="F120" i="2"/>
  <c r="F180" i="2"/>
  <c r="F1018" i="1"/>
  <c r="F703" i="1"/>
  <c r="F812" i="1"/>
  <c r="F1004" i="1"/>
  <c r="F733" i="1"/>
  <c r="F492" i="1"/>
  <c r="F794" i="1"/>
  <c r="F942" i="1"/>
  <c r="F662" i="1"/>
  <c r="F849" i="1"/>
  <c r="F394" i="1"/>
  <c r="F766" i="1"/>
  <c r="F432" i="1"/>
  <c r="F749" i="1"/>
  <c r="F324" i="1"/>
  <c r="F801" i="1"/>
  <c r="F447" i="1"/>
  <c r="F526" i="1"/>
  <c r="F196" i="1"/>
  <c r="F684" i="1"/>
  <c r="F129" i="1"/>
  <c r="F680" i="1"/>
  <c r="F214" i="1"/>
  <c r="F864" i="1"/>
  <c r="F618" i="1"/>
  <c r="F632" i="1"/>
  <c r="F103" i="1"/>
  <c r="F90" i="1"/>
  <c r="F262" i="1"/>
  <c r="F162" i="1"/>
  <c r="F609" i="1"/>
  <c r="F709" i="1"/>
  <c r="F883" i="1"/>
  <c r="F386" i="1"/>
  <c r="F624" i="1"/>
  <c r="F303" i="1"/>
  <c r="F380" i="1"/>
  <c r="F956" i="1"/>
  <c r="F442" i="1"/>
  <c r="F247" i="1"/>
  <c r="F352" i="1"/>
  <c r="F616" i="1"/>
  <c r="F244" i="1"/>
  <c r="F847" i="1"/>
  <c r="F533" i="1"/>
  <c r="F210" i="2"/>
  <c r="F350" i="2"/>
  <c r="F225" i="2"/>
  <c r="F911" i="2"/>
  <c r="F955" i="2"/>
  <c r="F679" i="2"/>
  <c r="F759" i="2"/>
  <c r="F383" i="2"/>
  <c r="F436" i="2"/>
  <c r="F290" i="1"/>
  <c r="F874" i="1"/>
  <c r="F721" i="1"/>
  <c r="F237" i="1"/>
  <c r="F337" i="1"/>
  <c r="F72" i="1"/>
  <c r="I954" i="1"/>
  <c r="I531" i="1"/>
  <c r="I874" i="1"/>
  <c r="I741" i="1"/>
  <c r="I755" i="1"/>
  <c r="I1029" i="1"/>
  <c r="I623" i="1"/>
  <c r="I166" i="1"/>
  <c r="I191" i="1"/>
  <c r="F1049" i="2"/>
  <c r="F511" i="1"/>
  <c r="F294" i="1"/>
  <c r="I939" i="1"/>
  <c r="I459" i="1"/>
  <c r="I788" i="1"/>
  <c r="I831" i="1"/>
  <c r="I319" i="1"/>
  <c r="I312" i="1"/>
  <c r="I765" i="1"/>
  <c r="I121" i="1"/>
  <c r="I224" i="1"/>
  <c r="I734" i="1"/>
  <c r="I880" i="1"/>
  <c r="I643" i="1"/>
  <c r="I576" i="1"/>
  <c r="I884" i="1"/>
  <c r="I273" i="1"/>
  <c r="I967" i="1"/>
  <c r="I979" i="1"/>
  <c r="I308" i="1"/>
  <c r="I737" i="1"/>
  <c r="I194" i="1"/>
  <c r="I146" i="1"/>
  <c r="I796" i="1"/>
  <c r="I114" i="1"/>
  <c r="I79" i="1"/>
  <c r="F463" i="2"/>
  <c r="F447" i="2"/>
  <c r="F195" i="2"/>
  <c r="F1003" i="1"/>
  <c r="F872" i="1"/>
  <c r="F345" i="1"/>
  <c r="F218" i="2"/>
  <c r="F692" i="1"/>
  <c r="F805" i="1"/>
  <c r="F648" i="2"/>
  <c r="F713" i="2"/>
  <c r="F274" i="2"/>
  <c r="F74" i="2"/>
  <c r="F436" i="1"/>
  <c r="F204" i="1"/>
  <c r="F279" i="1"/>
  <c r="F909" i="1"/>
  <c r="I973" i="1"/>
  <c r="F1034" i="2"/>
  <c r="F122" i="1"/>
  <c r="I483" i="1"/>
  <c r="I701" i="1"/>
  <c r="I860" i="1"/>
  <c r="I357" i="1"/>
  <c r="I132" i="1"/>
  <c r="F919" i="2"/>
  <c r="F971" i="2"/>
  <c r="F841" i="2"/>
  <c r="F618" i="2"/>
  <c r="F444" i="2"/>
  <c r="F354" i="2"/>
  <c r="F153" i="2"/>
  <c r="F372" i="2"/>
  <c r="F248" i="2"/>
  <c r="F986" i="1"/>
  <c r="F780" i="1"/>
  <c r="F706" i="1"/>
  <c r="F760" i="1"/>
  <c r="F856" i="1"/>
  <c r="F798" i="1"/>
  <c r="F725" i="1"/>
  <c r="F407" i="1"/>
  <c r="F740" i="1"/>
  <c r="F480" i="1"/>
  <c r="F575" i="1"/>
  <c r="F507" i="1"/>
  <c r="F190" i="1"/>
  <c r="F752" i="1"/>
  <c r="F549" i="1"/>
  <c r="F581" i="1"/>
  <c r="F181" i="1"/>
  <c r="F1042" i="2"/>
  <c r="F976" i="2"/>
  <c r="F154" i="2"/>
  <c r="F1021" i="1"/>
  <c r="F1024" i="1"/>
  <c r="F1035" i="1"/>
  <c r="F184" i="1"/>
  <c r="F158" i="2"/>
  <c r="F787" i="1"/>
  <c r="F137" i="1"/>
  <c r="F223" i="1"/>
  <c r="F408" i="1"/>
  <c r="F170" i="1"/>
  <c r="F848" i="1"/>
  <c r="I682" i="1"/>
  <c r="I344" i="1"/>
  <c r="I497" i="1"/>
  <c r="F235" i="1"/>
  <c r="I726" i="1"/>
  <c r="I872" i="1"/>
  <c r="I635" i="1"/>
  <c r="I568" i="1"/>
  <c r="I873" i="1"/>
  <c r="I265" i="1"/>
  <c r="I300" i="1"/>
  <c r="I138" i="1"/>
  <c r="I98" i="1"/>
  <c r="I301" i="1"/>
  <c r="F1035" i="2"/>
  <c r="F968" i="2"/>
  <c r="F908" i="2"/>
  <c r="F928" i="2"/>
  <c r="F885" i="2"/>
  <c r="F997" i="2"/>
  <c r="F613" i="2"/>
  <c r="F530" i="2"/>
  <c r="F486" i="2"/>
  <c r="F323" i="2"/>
  <c r="F437" i="2"/>
  <c r="F324" i="2"/>
  <c r="F318" i="2"/>
  <c r="F335" i="2"/>
  <c r="F449" i="2"/>
  <c r="F80" i="2"/>
  <c r="F96" i="2"/>
  <c r="F932" i="1"/>
  <c r="F937" i="1"/>
  <c r="F969" i="1"/>
  <c r="F612" i="1"/>
  <c r="F188" i="1"/>
  <c r="I846" i="1"/>
  <c r="I685" i="1"/>
  <c r="I549" i="1"/>
  <c r="I385" i="1"/>
  <c r="I382" i="1"/>
  <c r="I436" i="1"/>
  <c r="I75" i="1"/>
  <c r="I72" i="1"/>
  <c r="I70" i="1"/>
  <c r="I145" i="1"/>
  <c r="F991" i="2"/>
  <c r="F774" i="2"/>
  <c r="F949" i="2"/>
  <c r="F827" i="2"/>
  <c r="F703" i="2"/>
  <c r="F600" i="2"/>
  <c r="F706" i="2"/>
  <c r="F515" i="2"/>
  <c r="F627" i="2"/>
  <c r="F669" i="2"/>
  <c r="F519" i="2"/>
  <c r="F601" i="2"/>
  <c r="F575" i="2"/>
  <c r="F471" i="2"/>
  <c r="F426" i="2"/>
  <c r="F238" i="2"/>
  <c r="F175" i="2"/>
  <c r="F138" i="2"/>
  <c r="L84" i="2"/>
  <c r="J84" i="2"/>
  <c r="H84" i="2"/>
  <c r="I84" i="2" s="1"/>
  <c r="L211" i="2"/>
  <c r="J211" i="2"/>
  <c r="H211" i="2"/>
  <c r="I211" i="2" s="1"/>
  <c r="J106" i="2"/>
  <c r="L106" i="2"/>
  <c r="H106" i="2"/>
  <c r="I106" i="2" s="1"/>
  <c r="L188" i="2"/>
  <c r="J188" i="2"/>
  <c r="H188" i="2"/>
  <c r="I188" i="2" s="1"/>
  <c r="L76" i="2"/>
  <c r="J76" i="2"/>
  <c r="H76" i="2"/>
  <c r="I76" i="2" s="1"/>
  <c r="L205" i="2"/>
  <c r="J205" i="2"/>
  <c r="H205" i="2"/>
  <c r="I205" i="2" s="1"/>
  <c r="L239" i="2"/>
  <c r="J239" i="2"/>
  <c r="H239" i="2"/>
  <c r="I239" i="2" s="1"/>
  <c r="J494" i="2"/>
  <c r="L494" i="2"/>
  <c r="H494" i="2"/>
  <c r="I494" i="2" s="1"/>
  <c r="L73" i="2"/>
  <c r="J73" i="2"/>
  <c r="H73" i="2"/>
  <c r="I73" i="2" s="1"/>
  <c r="J309" i="2"/>
  <c r="L309" i="2"/>
  <c r="H309" i="2"/>
  <c r="I309" i="2" s="1"/>
  <c r="J200" i="2"/>
  <c r="L200" i="2"/>
  <c r="H200" i="2"/>
  <c r="I200" i="2" s="1"/>
  <c r="J146" i="2"/>
  <c r="L146" i="2"/>
  <c r="H146" i="2"/>
  <c r="J317" i="2"/>
  <c r="L317" i="2"/>
  <c r="H317" i="2"/>
  <c r="I317" i="2" s="1"/>
  <c r="L110" i="2"/>
  <c r="H110" i="2"/>
  <c r="I110" i="2" s="1"/>
  <c r="J110" i="2"/>
  <c r="J175" i="2"/>
  <c r="L175" i="2"/>
  <c r="H175" i="2"/>
  <c r="I175" i="2" s="1"/>
  <c r="J304" i="2"/>
  <c r="L304" i="2"/>
  <c r="H304" i="2"/>
  <c r="I304" i="2" s="1"/>
  <c r="J93" i="2"/>
  <c r="L93" i="2"/>
  <c r="H93" i="2"/>
  <c r="I93" i="2" s="1"/>
  <c r="J158" i="2"/>
  <c r="L158" i="2"/>
  <c r="H158" i="2"/>
  <c r="I158" i="2" s="1"/>
  <c r="J280" i="2"/>
  <c r="L280" i="2"/>
  <c r="H280" i="2"/>
  <c r="I280" i="2" s="1"/>
  <c r="L88" i="2"/>
  <c r="J88" i="2"/>
  <c r="H88" i="2"/>
  <c r="L152" i="2"/>
  <c r="J152" i="2"/>
  <c r="H152" i="2"/>
  <c r="L247" i="2"/>
  <c r="J247" i="2"/>
  <c r="H247" i="2"/>
  <c r="I247" i="2" s="1"/>
  <c r="J375" i="2"/>
  <c r="L375" i="2"/>
  <c r="H375" i="2"/>
  <c r="I375" i="2" s="1"/>
  <c r="L83" i="2"/>
  <c r="J83" i="2"/>
  <c r="H83" i="2"/>
  <c r="I83" i="2" s="1"/>
  <c r="L147" i="2"/>
  <c r="J147" i="2"/>
  <c r="H147" i="2"/>
  <c r="I147" i="2" s="1"/>
  <c r="L231" i="2"/>
  <c r="J231" i="2"/>
  <c r="H231" i="2"/>
  <c r="I231" i="2" s="1"/>
  <c r="L481" i="2"/>
  <c r="J481" i="2"/>
  <c r="H481" i="2"/>
  <c r="I481" i="2" s="1"/>
  <c r="J799" i="2"/>
  <c r="L799" i="2"/>
  <c r="H799" i="2"/>
  <c r="I799" i="2" s="1"/>
  <c r="L298" i="2"/>
  <c r="J298" i="2"/>
  <c r="H298" i="2"/>
  <c r="L242" i="2"/>
  <c r="J242" i="2"/>
  <c r="H242" i="2"/>
  <c r="I242" i="2" s="1"/>
  <c r="L419" i="2"/>
  <c r="J419" i="2"/>
  <c r="H419" i="2"/>
  <c r="I419" i="2" s="1"/>
  <c r="J204" i="2"/>
  <c r="L204" i="2"/>
  <c r="H204" i="2"/>
  <c r="I204" i="2" s="1"/>
  <c r="L314" i="2"/>
  <c r="J314" i="2"/>
  <c r="H314" i="2"/>
  <c r="I314" i="2" s="1"/>
  <c r="L522" i="2"/>
  <c r="J522" i="2"/>
  <c r="H522" i="2"/>
  <c r="I522" i="2" s="1"/>
  <c r="L284" i="2"/>
  <c r="J284" i="2"/>
  <c r="H284" i="2"/>
  <c r="I284" i="2" s="1"/>
  <c r="L355" i="2"/>
  <c r="J355" i="2"/>
  <c r="H355" i="2"/>
  <c r="I355" i="2" s="1"/>
  <c r="L510" i="2"/>
  <c r="J510" i="2"/>
  <c r="H510" i="2"/>
  <c r="I510" i="2" s="1"/>
  <c r="J291" i="2"/>
  <c r="L291" i="2"/>
  <c r="H291" i="2"/>
  <c r="I291" i="2" s="1"/>
  <c r="J353" i="2"/>
  <c r="L353" i="2"/>
  <c r="H353" i="2"/>
  <c r="I353" i="2" s="1"/>
  <c r="L472" i="2"/>
  <c r="J472" i="2"/>
  <c r="H472" i="2"/>
  <c r="I472" i="2" s="1"/>
  <c r="J262" i="2"/>
  <c r="L262" i="2"/>
  <c r="H262" i="2"/>
  <c r="I262" i="2" s="1"/>
  <c r="L331" i="2"/>
  <c r="J331" i="2"/>
  <c r="H331" i="2"/>
  <c r="I331" i="2" s="1"/>
  <c r="L421" i="2"/>
  <c r="J421" i="2"/>
  <c r="H421" i="2"/>
  <c r="I421" i="2" s="1"/>
  <c r="L169" i="2"/>
  <c r="J169" i="2"/>
  <c r="H169" i="2"/>
  <c r="I169" i="2" s="1"/>
  <c r="J233" i="2"/>
  <c r="L233" i="2"/>
  <c r="H233" i="2"/>
  <c r="I233" i="2" s="1"/>
  <c r="J297" i="2"/>
  <c r="L297" i="2"/>
  <c r="H297" i="2"/>
  <c r="I297" i="2" s="1"/>
  <c r="J373" i="2"/>
  <c r="L373" i="2"/>
  <c r="H373" i="2"/>
  <c r="I373" i="2" s="1"/>
  <c r="L496" i="2"/>
  <c r="J496" i="2"/>
  <c r="H496" i="2"/>
  <c r="I496" i="2" s="1"/>
  <c r="L408" i="2"/>
  <c r="J408" i="2"/>
  <c r="H408" i="2"/>
  <c r="I408" i="2" s="1"/>
  <c r="J520" i="2"/>
  <c r="L520" i="2"/>
  <c r="H520" i="2"/>
  <c r="I520" i="2" s="1"/>
  <c r="J404" i="2"/>
  <c r="L404" i="2"/>
  <c r="H404" i="2"/>
  <c r="I404" i="2" s="1"/>
  <c r="J462" i="2"/>
  <c r="L462" i="2"/>
  <c r="H462" i="2"/>
  <c r="I462" i="2" s="1"/>
  <c r="J566" i="2"/>
  <c r="L566" i="2"/>
  <c r="H566" i="2"/>
  <c r="I566" i="2" s="1"/>
  <c r="J415" i="2"/>
  <c r="L415" i="2"/>
  <c r="H415" i="2"/>
  <c r="I415" i="2" s="1"/>
  <c r="J823" i="2"/>
  <c r="L823" i="2"/>
  <c r="H823" i="2"/>
  <c r="I823" i="2" s="1"/>
  <c r="L378" i="2"/>
  <c r="J378" i="2"/>
  <c r="H378" i="2"/>
  <c r="I378" i="2" s="1"/>
  <c r="J442" i="2"/>
  <c r="L442" i="2"/>
  <c r="H442" i="2"/>
  <c r="I442" i="2" s="1"/>
  <c r="J554" i="2"/>
  <c r="L554" i="2"/>
  <c r="H554" i="2"/>
  <c r="I554" i="2" s="1"/>
  <c r="L729" i="2"/>
  <c r="J729" i="2"/>
  <c r="H729" i="2"/>
  <c r="L502" i="2"/>
  <c r="J502" i="2"/>
  <c r="H502" i="2"/>
  <c r="I502" i="2" s="1"/>
  <c r="J463" i="2"/>
  <c r="L463" i="2"/>
  <c r="H463" i="2"/>
  <c r="I463" i="2" s="1"/>
  <c r="L527" i="2"/>
  <c r="J527" i="2"/>
  <c r="H527" i="2"/>
  <c r="I527" i="2" s="1"/>
  <c r="J458" i="2"/>
  <c r="L458" i="2"/>
  <c r="H458" i="2"/>
  <c r="I458" i="2" s="1"/>
  <c r="J539" i="2"/>
  <c r="L539" i="2"/>
  <c r="H539" i="2"/>
  <c r="I539" i="2" s="1"/>
  <c r="J807" i="2"/>
  <c r="L807" i="2"/>
  <c r="H807" i="2"/>
  <c r="I807" i="2" s="1"/>
  <c r="L991" i="2"/>
  <c r="J991" i="2"/>
  <c r="H991" i="2"/>
  <c r="I991" i="2" s="1"/>
  <c r="J808" i="2"/>
  <c r="L808" i="2"/>
  <c r="H808" i="2"/>
  <c r="J713" i="2"/>
  <c r="L713" i="2"/>
  <c r="H713" i="2"/>
  <c r="J542" i="2"/>
  <c r="L542" i="2"/>
  <c r="H542" i="2"/>
  <c r="J728" i="2"/>
  <c r="L728" i="2"/>
  <c r="H728" i="2"/>
  <c r="I728" i="2" s="1"/>
  <c r="L562" i="2"/>
  <c r="J562" i="2"/>
  <c r="H562" i="2"/>
  <c r="I562" i="2" s="1"/>
  <c r="L608" i="2"/>
  <c r="J608" i="2"/>
  <c r="H608" i="2"/>
  <c r="I608" i="2" s="1"/>
  <c r="L672" i="2"/>
  <c r="J672" i="2"/>
  <c r="H672" i="2"/>
  <c r="I672" i="2" s="1"/>
  <c r="L486" i="2"/>
  <c r="J486" i="2"/>
  <c r="H486" i="2"/>
  <c r="I486" i="2" s="1"/>
  <c r="J601" i="2"/>
  <c r="L601" i="2"/>
  <c r="H601" i="2"/>
  <c r="I601" i="2" s="1"/>
  <c r="J680" i="2"/>
  <c r="L680" i="2"/>
  <c r="H680" i="2"/>
  <c r="I680" i="2" s="1"/>
  <c r="J619" i="2"/>
  <c r="L619" i="2"/>
  <c r="H619" i="2"/>
  <c r="J945" i="2"/>
  <c r="L945" i="2"/>
  <c r="H945" i="2"/>
  <c r="I945" i="2" s="1"/>
  <c r="J709" i="2"/>
  <c r="L709" i="2"/>
  <c r="H709" i="2"/>
  <c r="I709" i="2" s="1"/>
  <c r="J822" i="2"/>
  <c r="L822" i="2"/>
  <c r="H822" i="2"/>
  <c r="I822" i="2" s="1"/>
  <c r="J516" i="2"/>
  <c r="L516" i="2"/>
  <c r="H516" i="2"/>
  <c r="I516" i="2" s="1"/>
  <c r="L580" i="2"/>
  <c r="J580" i="2"/>
  <c r="H580" i="2"/>
  <c r="J642" i="2"/>
  <c r="L642" i="2"/>
  <c r="H642" i="2"/>
  <c r="I642" i="2" s="1"/>
  <c r="J712" i="2"/>
  <c r="L712" i="2"/>
  <c r="H712" i="2"/>
  <c r="I712" i="2" s="1"/>
  <c r="J884" i="2"/>
  <c r="L884" i="2"/>
  <c r="H884" i="2"/>
  <c r="I884" i="2" s="1"/>
  <c r="J583" i="2"/>
  <c r="L583" i="2"/>
  <c r="H583" i="2"/>
  <c r="I583" i="2" s="1"/>
  <c r="J656" i="2"/>
  <c r="L656" i="2"/>
  <c r="H656" i="2"/>
  <c r="I656" i="2" s="1"/>
  <c r="L814" i="2"/>
  <c r="J814" i="2"/>
  <c r="H814" i="2"/>
  <c r="I814" i="2" s="1"/>
  <c r="L716" i="2"/>
  <c r="J716" i="2"/>
  <c r="H716" i="2"/>
  <c r="I716" i="2" s="1"/>
  <c r="J788" i="2"/>
  <c r="L788" i="2"/>
  <c r="H788" i="2"/>
  <c r="I788" i="2" s="1"/>
  <c r="J691" i="2"/>
  <c r="L691" i="2"/>
  <c r="H691" i="2"/>
  <c r="I691" i="2" s="1"/>
  <c r="J748" i="2"/>
  <c r="L748" i="2"/>
  <c r="H748" i="2"/>
  <c r="I748" i="2" s="1"/>
  <c r="J904" i="2"/>
  <c r="L904" i="2"/>
  <c r="H904" i="2"/>
  <c r="L670" i="2"/>
  <c r="J670" i="2"/>
  <c r="H670" i="2"/>
  <c r="I670" i="2" s="1"/>
  <c r="J763" i="2"/>
  <c r="L763" i="2"/>
  <c r="H763" i="2"/>
  <c r="I763" i="2" s="1"/>
  <c r="J772" i="2"/>
  <c r="L772" i="2"/>
  <c r="H772" i="2"/>
  <c r="I772" i="2" s="1"/>
  <c r="J839" i="2"/>
  <c r="L839" i="2"/>
  <c r="H839" i="2"/>
  <c r="I839" i="2" s="1"/>
  <c r="L757" i="2"/>
  <c r="J757" i="2"/>
  <c r="H757" i="2"/>
  <c r="I757" i="2" s="1"/>
  <c r="L876" i="2"/>
  <c r="J876" i="2"/>
  <c r="H876" i="2"/>
  <c r="I876" i="2" s="1"/>
  <c r="L736" i="2"/>
  <c r="J736" i="2"/>
  <c r="H736" i="2"/>
  <c r="I736" i="2" s="1"/>
  <c r="J862" i="2"/>
  <c r="L862" i="2"/>
  <c r="H862" i="2"/>
  <c r="L878" i="2"/>
  <c r="J878" i="2"/>
  <c r="H878" i="2"/>
  <c r="I878" i="2" s="1"/>
  <c r="L794" i="2"/>
  <c r="J794" i="2"/>
  <c r="H794" i="2"/>
  <c r="I794" i="2" s="1"/>
  <c r="L911" i="2"/>
  <c r="J911" i="2"/>
  <c r="H911" i="2"/>
  <c r="I911" i="2" s="1"/>
  <c r="J797" i="2"/>
  <c r="L797" i="2"/>
  <c r="H797" i="2"/>
  <c r="I797" i="2" s="1"/>
  <c r="J893" i="2"/>
  <c r="L893" i="2"/>
  <c r="H893" i="2"/>
  <c r="I893" i="2" s="1"/>
  <c r="L857" i="2"/>
  <c r="J857" i="2"/>
  <c r="H857" i="2"/>
  <c r="I857" i="2" s="1"/>
  <c r="L924" i="2"/>
  <c r="J924" i="2"/>
  <c r="H924" i="2"/>
  <c r="L1027" i="2"/>
  <c r="J1027" i="2"/>
  <c r="H1027" i="2"/>
  <c r="I1027" i="2" s="1"/>
  <c r="J881" i="2"/>
  <c r="L881" i="2"/>
  <c r="H881" i="2"/>
  <c r="I881" i="2" s="1"/>
  <c r="J859" i="2"/>
  <c r="L859" i="2"/>
  <c r="H859" i="2"/>
  <c r="I859" i="2" s="1"/>
  <c r="J917" i="2"/>
  <c r="L917" i="2"/>
  <c r="H917" i="2"/>
  <c r="I917" i="2" s="1"/>
  <c r="J979" i="2"/>
  <c r="L979" i="2"/>
  <c r="H979" i="2"/>
  <c r="I979" i="2" s="1"/>
  <c r="J961" i="2"/>
  <c r="L961" i="2"/>
  <c r="H961" i="2"/>
  <c r="I961" i="2" s="1"/>
  <c r="J899" i="2"/>
  <c r="L899" i="2"/>
  <c r="H899" i="2"/>
  <c r="I899" i="2" s="1"/>
  <c r="J986" i="2"/>
  <c r="L986" i="2"/>
  <c r="H986" i="2"/>
  <c r="L910" i="2"/>
  <c r="J910" i="2"/>
  <c r="H910" i="2"/>
  <c r="I910" i="2" s="1"/>
  <c r="J963" i="2"/>
  <c r="L963" i="2"/>
  <c r="H963" i="2"/>
  <c r="I963" i="2" s="1"/>
  <c r="J985" i="2"/>
  <c r="L985" i="2"/>
  <c r="H985" i="2"/>
  <c r="I985" i="2" s="1"/>
  <c r="J959" i="2"/>
  <c r="L959" i="2"/>
  <c r="H959" i="2"/>
  <c r="I959" i="2" s="1"/>
  <c r="L1032" i="2"/>
  <c r="J1032" i="2"/>
  <c r="H1032" i="2"/>
  <c r="I1032" i="2" s="1"/>
  <c r="J1020" i="2"/>
  <c r="L1020" i="2"/>
  <c r="H1020" i="2"/>
  <c r="L1050" i="2"/>
  <c r="J1050" i="2"/>
  <c r="H1050" i="2"/>
  <c r="I1050" i="2" s="1"/>
  <c r="L1061" i="2"/>
  <c r="J1061" i="2"/>
  <c r="H1061" i="2"/>
  <c r="L1030" i="2"/>
  <c r="J1030" i="2"/>
  <c r="H1030" i="2"/>
  <c r="I1030" i="2" s="1"/>
  <c r="L1052" i="2"/>
  <c r="J1052" i="2"/>
  <c r="H1052" i="2"/>
  <c r="I1052" i="2" s="1"/>
  <c r="I348" i="1"/>
  <c r="I542" i="1"/>
  <c r="I641" i="1"/>
  <c r="I260" i="1"/>
  <c r="I397" i="1"/>
  <c r="I809" i="1"/>
  <c r="I745" i="1"/>
  <c r="I440" i="1"/>
  <c r="I444" i="1"/>
  <c r="I413" i="1"/>
  <c r="I894" i="1"/>
  <c r="I771" i="1"/>
  <c r="I807" i="1"/>
  <c r="I731" i="1"/>
  <c r="I597" i="1"/>
  <c r="I431" i="1"/>
  <c r="I421" i="1"/>
  <c r="I416" i="1"/>
  <c r="I500" i="1"/>
  <c r="I123" i="1"/>
  <c r="I617" i="1"/>
  <c r="I633" i="1"/>
  <c r="I461" i="1"/>
  <c r="I193" i="1"/>
  <c r="I447" i="1"/>
  <c r="F855" i="2"/>
  <c r="F661" i="2"/>
  <c r="F587" i="2"/>
  <c r="F534" i="2"/>
  <c r="F516" i="2"/>
  <c r="F226" i="2"/>
  <c r="F236" i="2"/>
  <c r="F148" i="2"/>
  <c r="F179" i="2"/>
  <c r="F104" i="2"/>
  <c r="F1042" i="1"/>
  <c r="F919" i="1"/>
  <c r="F1054" i="1"/>
  <c r="F701" i="1"/>
  <c r="F1036" i="1"/>
  <c r="F974" i="1"/>
  <c r="F925" i="1"/>
  <c r="F226" i="1"/>
  <c r="F156" i="1"/>
  <c r="F89" i="1"/>
  <c r="F307" i="1"/>
  <c r="F878" i="1"/>
  <c r="F139" i="1"/>
  <c r="I886" i="1"/>
  <c r="I1063" i="1"/>
  <c r="I805" i="1"/>
  <c r="I722" i="1"/>
  <c r="I589" i="1"/>
  <c r="I426" i="1"/>
  <c r="I417" i="1"/>
  <c r="I112" i="1"/>
  <c r="I149" i="1"/>
  <c r="I716" i="1"/>
  <c r="I110" i="1"/>
  <c r="I129" i="1"/>
  <c r="F917" i="2"/>
  <c r="F717" i="2"/>
  <c r="F634" i="2"/>
  <c r="F550" i="2"/>
  <c r="F411" i="2"/>
  <c r="F489" i="2"/>
  <c r="F232" i="2"/>
  <c r="F302" i="2"/>
  <c r="F418" i="2"/>
  <c r="F828" i="1"/>
  <c r="F983" i="1"/>
  <c r="F677" i="1"/>
  <c r="F340" i="1"/>
  <c r="F457" i="1"/>
  <c r="F81" i="1"/>
  <c r="F875" i="1"/>
  <c r="F305" i="1"/>
  <c r="F141" i="1"/>
  <c r="F120" i="1"/>
  <c r="F974" i="2"/>
  <c r="F727" i="2"/>
  <c r="F625" i="2"/>
  <c r="F744" i="2"/>
  <c r="F843" i="2"/>
  <c r="F377" i="2"/>
  <c r="F293" i="2"/>
  <c r="F68" i="2"/>
  <c r="F72" i="2"/>
  <c r="F962" i="1"/>
  <c r="F240" i="1"/>
  <c r="I819" i="1"/>
  <c r="I839" i="1"/>
  <c r="I892" i="1"/>
  <c r="I645" i="1"/>
  <c r="I485" i="1"/>
  <c r="I466" i="1"/>
  <c r="I599" i="1"/>
  <c r="I171" i="1"/>
  <c r="I168" i="1"/>
  <c r="I205" i="1"/>
  <c r="I186" i="1"/>
  <c r="I870" i="1"/>
  <c r="I1059" i="1"/>
  <c r="I791" i="1"/>
  <c r="I713" i="1"/>
  <c r="I573" i="1"/>
  <c r="I409" i="1"/>
  <c r="I406" i="1"/>
  <c r="I387" i="1"/>
  <c r="I468" i="1"/>
  <c r="I99" i="1"/>
  <c r="I96" i="1"/>
  <c r="I133" i="1"/>
  <c r="I691" i="1"/>
  <c r="I94" i="1"/>
  <c r="F1053" i="2"/>
  <c r="F1006" i="2"/>
  <c r="F947" i="2"/>
  <c r="F800" i="2"/>
  <c r="F358" i="2"/>
  <c r="F631" i="1"/>
  <c r="I996" i="1"/>
  <c r="I931" i="1"/>
  <c r="I983" i="1"/>
  <c r="I451" i="1"/>
  <c r="I649" i="1"/>
  <c r="I628" i="1"/>
  <c r="I601" i="1"/>
  <c r="I813" i="1"/>
  <c r="I293" i="1"/>
  <c r="I298" i="1"/>
  <c r="I442" i="1"/>
  <c r="I278" i="1"/>
  <c r="I119" i="1"/>
  <c r="I280" i="1"/>
  <c r="F1023" i="2"/>
  <c r="F1056" i="2"/>
  <c r="F887" i="2"/>
  <c r="F923" i="2"/>
  <c r="F951" i="2"/>
  <c r="F953" i="2"/>
  <c r="F832" i="2"/>
  <c r="F766" i="2"/>
  <c r="F655" i="2"/>
  <c r="F701" i="2"/>
  <c r="F552" i="2"/>
  <c r="F493" i="2"/>
  <c r="F623" i="2"/>
  <c r="F785" i="2"/>
  <c r="F579" i="2"/>
  <c r="F863" i="2"/>
  <c r="F472" i="2"/>
  <c r="F481" i="2"/>
  <c r="F440" i="2"/>
  <c r="F433" i="2"/>
  <c r="F202" i="2"/>
  <c r="F476" i="2"/>
  <c r="F391" i="2"/>
  <c r="F321" i="2"/>
  <c r="F289" i="2"/>
  <c r="F189" i="2"/>
  <c r="F414" i="2"/>
  <c r="F336" i="2"/>
  <c r="F368" i="2"/>
  <c r="F307" i="2"/>
  <c r="F159" i="2"/>
  <c r="F954" i="1"/>
  <c r="F895" i="1"/>
  <c r="F1027" i="1"/>
  <c r="F1039" i="1"/>
  <c r="F922" i="1"/>
  <c r="F678" i="1"/>
  <c r="F428" i="1"/>
  <c r="F696" i="1"/>
  <c r="F824" i="1"/>
  <c r="F598" i="1"/>
  <c r="F688" i="1"/>
  <c r="F330" i="1"/>
  <c r="F637" i="1"/>
  <c r="F375" i="1"/>
  <c r="F613" i="1"/>
  <c r="F1062" i="1"/>
  <c r="F681" i="1"/>
  <c r="F389" i="1"/>
  <c r="F411" i="1"/>
  <c r="F132" i="1"/>
  <c r="F503" i="1"/>
  <c r="F118" i="1"/>
  <c r="F458" i="1"/>
  <c r="F158" i="1"/>
  <c r="F629" i="1"/>
  <c r="F472" i="1"/>
  <c r="F466" i="1"/>
  <c r="F504" i="1"/>
  <c r="F98" i="1"/>
  <c r="F96" i="1"/>
  <c r="F857" i="1"/>
  <c r="F1063" i="1"/>
  <c r="F654" i="1"/>
  <c r="F845" i="1"/>
  <c r="F322" i="1"/>
  <c r="F528" i="1"/>
  <c r="F861" i="1"/>
  <c r="F316" i="1"/>
  <c r="F659" i="1"/>
  <c r="F317" i="1"/>
  <c r="F124" i="1"/>
  <c r="F150" i="1"/>
  <c r="F626" i="1"/>
  <c r="F217" i="1"/>
  <c r="L949" i="2"/>
  <c r="J949" i="2"/>
  <c r="H949" i="2"/>
  <c r="I949" i="2" s="1"/>
  <c r="L678" i="2"/>
  <c r="J678" i="2"/>
  <c r="H678" i="2"/>
  <c r="I678" i="2" s="1"/>
  <c r="J764" i="2"/>
  <c r="L764" i="2"/>
  <c r="H764" i="2"/>
  <c r="I764" i="2" s="1"/>
  <c r="L777" i="2"/>
  <c r="J777" i="2"/>
  <c r="H777" i="2"/>
  <c r="L852" i="2"/>
  <c r="J852" i="2"/>
  <c r="H852" i="2"/>
  <c r="I852" i="2" s="1"/>
  <c r="L765" i="2"/>
  <c r="J765" i="2"/>
  <c r="H765" i="2"/>
  <c r="J888" i="2"/>
  <c r="L888" i="2"/>
  <c r="H888" i="2"/>
  <c r="I888" i="2" s="1"/>
  <c r="J744" i="2"/>
  <c r="L744" i="2"/>
  <c r="H744" i="2"/>
  <c r="I744" i="2" s="1"/>
  <c r="J866" i="2"/>
  <c r="L866" i="2"/>
  <c r="H866" i="2"/>
  <c r="L879" i="2"/>
  <c r="J879" i="2"/>
  <c r="H879" i="2"/>
  <c r="I879" i="2" s="1"/>
  <c r="L802" i="2"/>
  <c r="J802" i="2"/>
  <c r="H802" i="2"/>
  <c r="I802" i="2" s="1"/>
  <c r="J936" i="2"/>
  <c r="L936" i="2"/>
  <c r="H936" i="2"/>
  <c r="I936" i="2" s="1"/>
  <c r="J805" i="2"/>
  <c r="L805" i="2"/>
  <c r="H805" i="2"/>
  <c r="I805" i="2" s="1"/>
  <c r="J925" i="2"/>
  <c r="L925" i="2"/>
  <c r="H925" i="2"/>
  <c r="I925" i="2" s="1"/>
  <c r="L865" i="2"/>
  <c r="J865" i="2"/>
  <c r="H865" i="2"/>
  <c r="I865" i="2" s="1"/>
  <c r="L927" i="2"/>
  <c r="J927" i="2"/>
  <c r="H927" i="2"/>
  <c r="I927" i="2" s="1"/>
  <c r="J824" i="2"/>
  <c r="L824" i="2"/>
  <c r="H824" i="2"/>
  <c r="J885" i="2"/>
  <c r="L885" i="2"/>
  <c r="H885" i="2"/>
  <c r="I885" i="2" s="1"/>
  <c r="L867" i="2"/>
  <c r="J867" i="2"/>
  <c r="H867" i="2"/>
  <c r="I867" i="2" s="1"/>
  <c r="L919" i="2"/>
  <c r="J919" i="2"/>
  <c r="H919" i="2"/>
  <c r="I919" i="2" s="1"/>
  <c r="L997" i="2"/>
  <c r="J997" i="2"/>
  <c r="H997" i="2"/>
  <c r="I997" i="2" s="1"/>
  <c r="L977" i="2"/>
  <c r="J977" i="2"/>
  <c r="H977" i="2"/>
  <c r="I977" i="2" s="1"/>
  <c r="J907" i="2"/>
  <c r="L907" i="2"/>
  <c r="H907" i="2"/>
  <c r="L987" i="2"/>
  <c r="J987" i="2"/>
  <c r="H987" i="2"/>
  <c r="I987" i="2" s="1"/>
  <c r="J918" i="2"/>
  <c r="L918" i="2"/>
  <c r="H918" i="2"/>
  <c r="L1006" i="2"/>
  <c r="J1006" i="2"/>
  <c r="H1006" i="2"/>
  <c r="I1006" i="2" s="1"/>
  <c r="J989" i="2"/>
  <c r="L989" i="2"/>
  <c r="H989" i="2"/>
  <c r="I989" i="2" s="1"/>
  <c r="L967" i="2"/>
  <c r="J967" i="2"/>
  <c r="H967" i="2"/>
  <c r="I967" i="2" s="1"/>
  <c r="L1047" i="2"/>
  <c r="J1047" i="2"/>
  <c r="H1047" i="2"/>
  <c r="I1047" i="2" s="1"/>
  <c r="J1033" i="2"/>
  <c r="L1033" i="2"/>
  <c r="H1033" i="2"/>
  <c r="L1058" i="2"/>
  <c r="J1058" i="2"/>
  <c r="H1058" i="2"/>
  <c r="I1058" i="2" s="1"/>
  <c r="J1048" i="2"/>
  <c r="L1048" i="2"/>
  <c r="H1048" i="2"/>
  <c r="L1038" i="2"/>
  <c r="J1038" i="2"/>
  <c r="H1038" i="2"/>
  <c r="L1060" i="2"/>
  <c r="J1060" i="2"/>
  <c r="H1060" i="2"/>
  <c r="I1060" i="2" s="1"/>
  <c r="F751" i="1"/>
  <c r="F779" i="1"/>
  <c r="F842" i="1"/>
  <c r="F1023" i="1"/>
  <c r="F835" i="1"/>
  <c r="F707" i="1"/>
  <c r="F927" i="2"/>
  <c r="F990" i="2"/>
  <c r="F695" i="2"/>
  <c r="F593" i="2"/>
  <c r="F714" i="2"/>
  <c r="F660" i="2"/>
  <c r="F178" i="2"/>
  <c r="F370" i="2"/>
  <c r="F275" i="2"/>
  <c r="F136" i="2"/>
  <c r="B56" i="2"/>
  <c r="F935" i="1"/>
  <c r="F788" i="1"/>
  <c r="F967" i="1"/>
  <c r="F777" i="1"/>
  <c r="F899" i="1"/>
  <c r="F816" i="1"/>
  <c r="F753" i="1"/>
  <c r="F424" i="1"/>
  <c r="F172" i="1"/>
  <c r="F517" i="1"/>
  <c r="F592" i="1"/>
  <c r="F79" i="1"/>
  <c r="F1059" i="2"/>
  <c r="F686" i="2"/>
  <c r="F287" i="2"/>
  <c r="F550" i="1"/>
  <c r="F450" i="1"/>
  <c r="F709" i="2"/>
  <c r="F501" i="2"/>
  <c r="F837" i="2"/>
  <c r="F342" i="2"/>
  <c r="F376" i="2"/>
  <c r="F139" i="2"/>
  <c r="F869" i="1"/>
  <c r="F668" i="1"/>
  <c r="F402" i="1"/>
  <c r="F76" i="1"/>
  <c r="F83" i="1"/>
  <c r="F867" i="1"/>
  <c r="F175" i="1"/>
  <c r="F110" i="1"/>
  <c r="I1049" i="1"/>
  <c r="I710" i="1"/>
  <c r="I619" i="1"/>
  <c r="I552" i="1"/>
  <c r="I1043" i="1"/>
  <c r="I249" i="1"/>
  <c r="I767" i="1"/>
  <c r="I235" i="1"/>
  <c r="F597" i="2"/>
  <c r="I1041" i="1"/>
  <c r="I702" i="1"/>
  <c r="I1053" i="1"/>
  <c r="I611" i="1"/>
  <c r="I1045" i="1"/>
  <c r="I919" i="1"/>
  <c r="I241" i="1"/>
  <c r="I858" i="1"/>
  <c r="I1030" i="1"/>
  <c r="I778" i="1"/>
  <c r="I245" i="1"/>
  <c r="I231" i="1"/>
  <c r="I856" i="1"/>
  <c r="I182" i="1"/>
  <c r="I201" i="1"/>
  <c r="I327" i="1"/>
  <c r="F1044" i="2"/>
  <c r="F1010" i="2"/>
  <c r="F876" i="2"/>
  <c r="F896" i="2"/>
  <c r="F880" i="2"/>
  <c r="F893" i="2"/>
  <c r="F775" i="2"/>
  <c r="F591" i="2"/>
  <c r="F682" i="2"/>
  <c r="F547" i="2"/>
  <c r="F688" i="2"/>
  <c r="F619" i="2"/>
  <c r="F427" i="2"/>
  <c r="F408" i="2"/>
  <c r="F401" i="2"/>
  <c r="F262" i="2"/>
  <c r="F810" i="2"/>
  <c r="F156" i="2"/>
  <c r="F89" i="2"/>
  <c r="F115" i="2"/>
  <c r="F101" i="2"/>
  <c r="F1037" i="1"/>
  <c r="F863" i="1"/>
  <c r="F988" i="1"/>
  <c r="F1000" i="1"/>
  <c r="F1047" i="1"/>
  <c r="F652" i="1"/>
  <c r="F1038" i="1"/>
  <c r="F792" i="1"/>
  <c r="F566" i="1"/>
  <c r="F648" i="1"/>
  <c r="F298" i="1"/>
  <c r="F343" i="1"/>
  <c r="F586" i="1"/>
  <c r="F1008" i="1"/>
  <c r="F357" i="1"/>
  <c r="F374" i="1"/>
  <c r="F393" i="1"/>
  <c r="F70" i="1"/>
  <c r="F403" i="1"/>
  <c r="F771" i="1"/>
  <c r="F369" i="1"/>
  <c r="F147" i="1"/>
  <c r="F363" i="1"/>
  <c r="F1018" i="2"/>
  <c r="F903" i="2"/>
  <c r="F939" i="2"/>
  <c r="F980" i="2"/>
  <c r="F736" i="2"/>
  <c r="F752" i="2"/>
  <c r="F792" i="2"/>
  <c r="F536" i="2"/>
  <c r="F346" i="2"/>
  <c r="F123" i="2"/>
  <c r="F1055" i="1"/>
  <c r="F783" i="1"/>
  <c r="F892" i="1"/>
  <c r="F843" i="1"/>
  <c r="F569" i="1"/>
  <c r="F541" i="1"/>
  <c r="F327" i="1"/>
  <c r="F698" i="1"/>
  <c r="F84" i="1"/>
  <c r="F481" i="1"/>
  <c r="F200" i="1"/>
  <c r="F403" i="2"/>
  <c r="F279" i="2"/>
  <c r="F223" i="2"/>
  <c r="F291" i="2"/>
  <c r="F125" i="2"/>
  <c r="F964" i="1"/>
  <c r="F889" i="1"/>
  <c r="F500" i="1"/>
  <c r="F838" i="1"/>
  <c r="F699" i="1"/>
  <c r="F559" i="1"/>
  <c r="F451" i="1"/>
  <c r="F140" i="1"/>
  <c r="F656" i="1"/>
  <c r="F453" i="1"/>
  <c r="F185" i="1"/>
  <c r="I694" i="1"/>
  <c r="I1051" i="1"/>
  <c r="I603" i="1"/>
  <c r="I1032" i="1"/>
  <c r="I887" i="1"/>
  <c r="I233" i="1"/>
  <c r="I847" i="1"/>
  <c r="I733" i="1"/>
  <c r="I607" i="1"/>
  <c r="I844" i="1"/>
  <c r="I269" i="1"/>
  <c r="I658" i="1"/>
  <c r="I405" i="1"/>
  <c r="I392" i="1"/>
  <c r="F978" i="2"/>
  <c r="F994" i="2"/>
  <c r="F868" i="2"/>
  <c r="F894" i="2"/>
  <c r="F872" i="2"/>
  <c r="F816" i="2"/>
  <c r="F732" i="2"/>
  <c r="F696" i="2"/>
  <c r="F581" i="2"/>
  <c r="F543" i="2"/>
  <c r="F652" i="2"/>
  <c r="F551" i="2"/>
  <c r="F162" i="2"/>
  <c r="F245" i="2"/>
  <c r="F212" i="2"/>
  <c r="F313" i="2"/>
  <c r="F577" i="1"/>
  <c r="F1060" i="1"/>
  <c r="F712" i="1"/>
  <c r="F538" i="1"/>
  <c r="F607" i="1"/>
  <c r="F360" i="1"/>
  <c r="F361" i="1"/>
  <c r="F102" i="1"/>
  <c r="F722" i="1"/>
  <c r="F127" i="1"/>
  <c r="F270" i="1"/>
  <c r="F165" i="1"/>
  <c r="I493" i="1"/>
  <c r="I750" i="1"/>
  <c r="I896" i="1"/>
  <c r="I659" i="1"/>
  <c r="I592" i="1"/>
  <c r="I908" i="1"/>
  <c r="I289" i="1"/>
  <c r="I286" i="1"/>
  <c r="I267" i="1"/>
  <c r="I324" i="1"/>
  <c r="I824" i="1"/>
  <c r="I455" i="1"/>
  <c r="I178" i="1"/>
  <c r="I306" i="1"/>
  <c r="I124" i="1"/>
  <c r="I242" i="1"/>
  <c r="F630" i="2"/>
  <c r="F889" i="2"/>
  <c r="I1017" i="1"/>
  <c r="I678" i="1"/>
  <c r="I1002" i="1"/>
  <c r="I587" i="1"/>
  <c r="I970" i="1"/>
  <c r="I877" i="1"/>
  <c r="I217" i="1"/>
  <c r="I800" i="1"/>
  <c r="I1005" i="1"/>
  <c r="I636" i="1"/>
  <c r="I582" i="1"/>
  <c r="I816" i="1"/>
  <c r="I941" i="1"/>
  <c r="I620" i="1"/>
  <c r="I239" i="1"/>
  <c r="I210" i="1"/>
  <c r="I862" i="1"/>
  <c r="I1022" i="1"/>
  <c r="I789" i="1"/>
  <c r="I699" i="1"/>
  <c r="I565" i="1"/>
  <c r="I401" i="1"/>
  <c r="I398" i="1"/>
  <c r="I379" i="1"/>
  <c r="I445" i="1"/>
  <c r="I91" i="1"/>
  <c r="I88" i="1"/>
  <c r="I125" i="1"/>
  <c r="I673" i="1"/>
  <c r="I86" i="1"/>
  <c r="I151" i="1"/>
  <c r="I673" i="2" l="1"/>
  <c r="I907" i="2"/>
  <c r="I808" i="2"/>
  <c r="I729" i="2"/>
  <c r="I838" i="2"/>
  <c r="I643" i="2"/>
  <c r="I263" i="2"/>
  <c r="I206" i="2"/>
  <c r="I1015" i="2"/>
  <c r="I773" i="2"/>
  <c r="I803" i="2"/>
  <c r="I692" i="2"/>
  <c r="I384" i="2"/>
  <c r="I795" i="2"/>
  <c r="I612" i="2"/>
  <c r="I658" i="2"/>
  <c r="I696" i="2"/>
  <c r="I627" i="2"/>
  <c r="I445" i="2"/>
  <c r="I416" i="2"/>
  <c r="I895" i="2"/>
  <c r="I1019" i="2"/>
  <c r="I804" i="2"/>
  <c r="I427" i="2"/>
  <c r="I1016" i="2"/>
  <c r="I191" i="2"/>
  <c r="I659" i="2"/>
  <c r="I604" i="2"/>
  <c r="I385" i="2"/>
  <c r="I179" i="2"/>
  <c r="I234" i="2"/>
  <c r="I189" i="2"/>
  <c r="I111" i="2"/>
  <c r="I981" i="2"/>
  <c r="I970" i="2"/>
  <c r="I800" i="2"/>
  <c r="I512" i="2"/>
  <c r="I523" i="2"/>
  <c r="I236" i="2"/>
  <c r="I182" i="2"/>
  <c r="I108" i="2"/>
  <c r="I148" i="2"/>
  <c r="I787" i="2"/>
  <c r="I540" i="2"/>
  <c r="I493" i="2"/>
  <c r="I452" i="2"/>
  <c r="I456" i="2"/>
  <c r="I1049" i="2"/>
  <c r="I858" i="2"/>
  <c r="I738" i="2"/>
  <c r="I505" i="2"/>
  <c r="I391" i="2"/>
  <c r="I273" i="2"/>
  <c r="I267" i="2"/>
  <c r="I889" i="2"/>
  <c r="I826" i="2"/>
  <c r="I590" i="2"/>
  <c r="I517" i="2"/>
  <c r="I346" i="2"/>
  <c r="I591" i="2"/>
  <c r="I639" i="2"/>
  <c r="I877" i="2"/>
  <c r="I423" i="2"/>
  <c r="I305" i="2"/>
  <c r="I299" i="2"/>
  <c r="I264" i="2"/>
  <c r="I68" i="2"/>
  <c r="B58" i="2" s="1"/>
  <c r="I1035" i="2"/>
  <c r="I543" i="2"/>
  <c r="I363" i="2"/>
  <c r="I957" i="2"/>
  <c r="I849" i="2"/>
  <c r="I790" i="2"/>
  <c r="I980" i="2"/>
  <c r="I324" i="2"/>
  <c r="I490" i="2"/>
  <c r="I890" i="2"/>
  <c r="I107" i="2"/>
  <c r="I115" i="2"/>
  <c r="I497" i="2"/>
  <c r="I157" i="2"/>
  <c r="I994" i="2"/>
  <c r="I810" i="2"/>
  <c r="I779" i="2"/>
  <c r="I701" i="2"/>
  <c r="I576" i="2"/>
  <c r="I330" i="2"/>
  <c r="I417" i="2"/>
  <c r="I197" i="2"/>
  <c r="I90" i="2"/>
  <c r="I842" i="2"/>
  <c r="I828" i="2"/>
  <c r="I402" i="2"/>
  <c r="I134" i="2"/>
  <c r="C56" i="2"/>
  <c r="D56" i="2"/>
  <c r="E56" i="2"/>
  <c r="I657" i="2"/>
  <c r="I777" i="2"/>
  <c r="I1007" i="2"/>
  <c r="I778" i="2"/>
  <c r="I477" i="2"/>
  <c r="I227" i="2"/>
  <c r="I1038" i="2"/>
  <c r="I918" i="2"/>
  <c r="I824" i="2"/>
  <c r="I866" i="2"/>
  <c r="I862" i="2"/>
  <c r="I904" i="2"/>
  <c r="I619" i="2"/>
  <c r="I542" i="2"/>
  <c r="I298" i="2"/>
  <c r="I152" i="2"/>
  <c r="I1004" i="2"/>
  <c r="I647" i="2"/>
  <c r="I679" i="2"/>
  <c r="I335" i="2"/>
  <c r="I160" i="2"/>
  <c r="I1026" i="2"/>
  <c r="I1028" i="2"/>
  <c r="I809" i="2"/>
  <c r="I952" i="2"/>
  <c r="I620" i="2"/>
  <c r="I570" i="2"/>
  <c r="I260" i="2"/>
  <c r="I411" i="2"/>
  <c r="I150" i="2"/>
  <c r="I132" i="2"/>
  <c r="I1051" i="2"/>
  <c r="I806" i="2"/>
  <c r="I495" i="2"/>
  <c r="I201" i="2"/>
  <c r="I651" i="2"/>
  <c r="I812" i="2"/>
  <c r="I754" i="2"/>
  <c r="I412" i="2"/>
  <c r="I430" i="2"/>
  <c r="I292" i="2"/>
  <c r="I312" i="2"/>
  <c r="I282" i="2"/>
  <c r="I240" i="2"/>
  <c r="I937" i="2"/>
  <c r="I351" i="2"/>
  <c r="I1044" i="2"/>
  <c r="I978" i="2"/>
  <c r="I1017" i="2"/>
  <c r="I743" i="2"/>
  <c r="I706" i="2"/>
  <c r="I530" i="2"/>
  <c r="I276" i="2"/>
  <c r="I366" i="2"/>
  <c r="I124" i="2"/>
  <c r="I694" i="2"/>
  <c r="I595" i="2"/>
  <c r="I167" i="2"/>
  <c r="I605" i="2"/>
  <c r="I473" i="2"/>
  <c r="I1021" i="2"/>
  <c r="I798" i="2"/>
  <c r="I95" i="2"/>
  <c r="I395" i="2"/>
  <c r="I342" i="2"/>
  <c r="I1056" i="2"/>
  <c r="I988" i="2"/>
  <c r="I928" i="2"/>
  <c r="I752" i="2"/>
  <c r="I758" i="2"/>
  <c r="I722" i="2"/>
  <c r="I534" i="2"/>
  <c r="I515" i="2"/>
  <c r="I467" i="2"/>
  <c r="I185" i="2"/>
  <c r="I364" i="2"/>
  <c r="I216" i="2"/>
  <c r="I104" i="2"/>
  <c r="I119" i="2"/>
  <c r="I946" i="2"/>
  <c r="I734" i="2"/>
  <c r="I785" i="2"/>
  <c r="I221" i="2"/>
  <c r="I165" i="2"/>
  <c r="I1033" i="2"/>
  <c r="I765" i="2"/>
  <c r="I1020" i="2"/>
  <c r="I580" i="2"/>
  <c r="I953" i="2"/>
  <c r="I908" i="2"/>
  <c r="I1005" i="2"/>
  <c r="I739" i="2"/>
  <c r="I690" i="2"/>
  <c r="I628" i="2"/>
  <c r="I482" i="2"/>
  <c r="I568" i="2"/>
  <c r="I459" i="2"/>
  <c r="I836" i="2"/>
  <c r="I844" i="2"/>
  <c r="I767" i="2"/>
  <c r="I592" i="2"/>
  <c r="I354" i="2"/>
  <c r="I451" i="2"/>
  <c r="I176" i="2"/>
  <c r="I982" i="2"/>
  <c r="I940" i="2"/>
  <c r="I850" i="2"/>
  <c r="I882" i="2"/>
  <c r="I750" i="2"/>
  <c r="I548" i="2"/>
  <c r="I685" i="2"/>
  <c r="I821" i="2"/>
  <c r="I830" i="2"/>
  <c r="I610" i="2"/>
  <c r="I552" i="2"/>
  <c r="I386" i="2"/>
  <c r="I507" i="2"/>
  <c r="I501" i="2"/>
  <c r="I208" i="2"/>
  <c r="I91" i="2"/>
  <c r="I369" i="2"/>
  <c r="I602" i="2"/>
  <c r="I478" i="2"/>
  <c r="I70" i="2"/>
  <c r="I1009" i="2"/>
  <c r="I1001" i="2"/>
  <c r="I1011" i="2"/>
  <c r="I782" i="2"/>
  <c r="I660" i="2"/>
  <c r="I318" i="2"/>
  <c r="I406" i="2"/>
  <c r="I248" i="2"/>
  <c r="I224" i="2"/>
  <c r="I932" i="2"/>
  <c r="I518" i="2"/>
  <c r="I379" i="2"/>
  <c r="I1042" i="2"/>
  <c r="I726" i="2"/>
  <c r="I935" i="2"/>
  <c r="I254" i="2"/>
  <c r="I983" i="2"/>
  <c r="I635" i="2"/>
  <c r="I371" i="2"/>
  <c r="I381" i="2"/>
  <c r="I116" i="2"/>
  <c r="I237" i="2"/>
  <c r="I966" i="2"/>
  <c r="I1036" i="2"/>
  <c r="I813" i="2"/>
  <c r="I855" i="2"/>
  <c r="I732" i="2"/>
  <c r="I532" i="2"/>
  <c r="I703" i="2"/>
  <c r="I655" i="2"/>
  <c r="I449" i="2"/>
  <c r="I424" i="2"/>
  <c r="I278" i="2"/>
  <c r="I347" i="2"/>
  <c r="I109" i="2"/>
  <c r="I435" i="2"/>
  <c r="I630" i="2"/>
  <c r="I747" i="2"/>
  <c r="I483" i="2"/>
  <c r="I581" i="2"/>
  <c r="I112" i="2"/>
  <c r="I500" i="2"/>
  <c r="I426" i="2"/>
  <c r="I1059" i="2"/>
  <c r="I886" i="2"/>
  <c r="I771" i="2"/>
  <c r="I256" i="2"/>
  <c r="I584" i="2"/>
  <c r="I827" i="2"/>
  <c r="I615" i="2"/>
  <c r="I671" i="2"/>
  <c r="I529" i="2"/>
  <c r="I693" i="2"/>
  <c r="I488" i="2"/>
  <c r="I471" i="2"/>
  <c r="I923" i="2"/>
  <c r="I964" i="2"/>
  <c r="I711" i="2"/>
  <c r="I697" i="2"/>
  <c r="I818" i="2"/>
  <c r="I960" i="2"/>
  <c r="I637" i="2"/>
  <c r="I586" i="2"/>
  <c r="I998" i="2"/>
  <c r="I195" i="2"/>
  <c r="I120" i="2"/>
  <c r="I92" i="2"/>
  <c r="I1063" i="2"/>
  <c r="I1023" i="2"/>
  <c r="I933" i="2"/>
  <c r="I883" i="2"/>
  <c r="I686" i="2"/>
  <c r="I599" i="2"/>
  <c r="I644" i="2"/>
  <c r="I898" i="2"/>
  <c r="I563" i="2"/>
  <c r="I431" i="2"/>
  <c r="I313" i="2"/>
  <c r="I307" i="2"/>
  <c r="I271" i="2"/>
  <c r="I269" i="2"/>
  <c r="I126" i="2"/>
  <c r="I127" i="2"/>
  <c r="I950" i="2"/>
  <c r="I730" i="2"/>
  <c r="I796" i="2"/>
  <c r="I348" i="2"/>
  <c r="I441" i="2"/>
  <c r="I1048" i="2"/>
  <c r="I1061" i="2"/>
  <c r="I986" i="2"/>
  <c r="I924" i="2"/>
  <c r="I713" i="2"/>
  <c r="I88" i="2"/>
  <c r="I146" i="2"/>
  <c r="B57" i="1"/>
  <c r="I955" i="2"/>
  <c r="I868" i="2"/>
  <c r="I567" i="2"/>
  <c r="I650" i="2"/>
  <c r="I506" i="2"/>
  <c r="I399" i="2"/>
  <c r="I281" i="2"/>
  <c r="I94" i="2"/>
  <c r="I210" i="2"/>
  <c r="I990" i="2"/>
  <c r="I948" i="2"/>
  <c r="I860" i="2"/>
  <c r="I762" i="2"/>
  <c r="I556" i="2"/>
  <c r="I742" i="2"/>
  <c r="I475" i="2"/>
  <c r="I446" i="2"/>
  <c r="I443" i="2"/>
  <c r="I344" i="2"/>
  <c r="I86" i="2"/>
  <c r="I207" i="2"/>
  <c r="I1029" i="2"/>
  <c r="I931" i="2"/>
  <c r="I965" i="2"/>
  <c r="I674" i="2"/>
  <c r="I641" i="2"/>
  <c r="I609" i="2"/>
  <c r="I368" i="2"/>
  <c r="I252" i="2"/>
  <c r="I791" i="2"/>
  <c r="I588" i="2"/>
  <c r="I509" i="2"/>
  <c r="I616" i="2"/>
  <c r="I521" i="2"/>
  <c r="I336" i="2"/>
  <c r="I717" i="2"/>
  <c r="I232" i="2"/>
  <c r="I168" i="2"/>
  <c r="I74" i="2"/>
  <c r="I253" i="2"/>
  <c r="I846" i="2"/>
  <c r="I593" i="2"/>
  <c r="I1053" i="2"/>
  <c r="I905" i="2"/>
  <c r="I853" i="2"/>
  <c r="I783" i="2"/>
  <c r="I681" i="2"/>
  <c r="I698" i="2"/>
  <c r="I293" i="2"/>
  <c r="I229" i="2"/>
  <c r="I102" i="2"/>
  <c r="I1012" i="2"/>
  <c r="I257" i="2"/>
  <c r="I287" i="2"/>
  <c r="I869" i="2"/>
  <c r="I359" i="2"/>
  <c r="I144" i="2"/>
  <c r="I976" i="2"/>
  <c r="I745" i="2"/>
  <c r="I97" i="2"/>
  <c r="I78" i="2"/>
  <c r="I306" i="2"/>
  <c r="I142" i="2"/>
  <c r="I137" i="2"/>
  <c r="I1013" i="2"/>
  <c r="I915" i="2"/>
  <c r="I873" i="2"/>
  <c r="I707" i="2"/>
  <c r="I665" i="2"/>
  <c r="I597" i="2"/>
  <c r="I815" i="2"/>
  <c r="I420" i="2"/>
  <c r="I438" i="2"/>
  <c r="I300" i="2"/>
  <c r="I319" i="2"/>
  <c r="I295" i="2"/>
  <c r="I81" i="2"/>
  <c r="I105" i="2"/>
  <c r="I880" i="2"/>
  <c r="I669" i="2"/>
  <c r="I653" i="2"/>
  <c r="I327" i="2"/>
  <c r="I173" i="2"/>
  <c r="I79" i="2"/>
  <c r="I710" i="2"/>
  <c r="I626" i="2"/>
  <c r="I376" i="2"/>
  <c r="I405" i="2"/>
  <c r="B56" i="1"/>
  <c r="I676" i="2"/>
  <c r="I409" i="2"/>
  <c r="I528" i="2"/>
  <c r="I390" i="2"/>
  <c r="I974" i="2"/>
  <c r="I774" i="2"/>
  <c r="I575" i="2"/>
  <c r="I585" i="2"/>
  <c r="I538" i="2"/>
  <c r="I470" i="2"/>
  <c r="I85" i="2"/>
  <c r="I840" i="2"/>
  <c r="I920" i="2"/>
  <c r="I156" i="2"/>
  <c r="I526" i="2"/>
  <c r="I634" i="2"/>
  <c r="I397" i="2"/>
  <c r="I184" i="2"/>
  <c r="I311" i="2"/>
  <c r="I972" i="2"/>
  <c r="I921" i="2"/>
  <c r="I968" i="2"/>
  <c r="I622" i="2"/>
  <c r="I555" i="2"/>
  <c r="I394" i="2"/>
  <c r="I719" i="2"/>
  <c r="I565" i="2"/>
  <c r="I99" i="2"/>
  <c r="I513" i="2"/>
  <c r="I274" i="2"/>
  <c r="I715" i="2"/>
  <c r="I667" i="2"/>
  <c r="I535" i="2"/>
  <c r="I315" i="2"/>
  <c r="I117" i="2"/>
  <c r="I756" i="2"/>
  <c r="I721" i="2"/>
  <c r="I725" i="2"/>
  <c r="I503" i="2"/>
  <c r="I464" i="2"/>
  <c r="I177" i="2"/>
  <c r="I212" i="2"/>
  <c r="I96" i="2"/>
  <c r="I187" i="2"/>
  <c r="I153" i="2"/>
  <c r="I71" i="2"/>
  <c r="I929" i="2"/>
  <c r="I624" i="2"/>
  <c r="I891" i="2"/>
  <c r="I863" i="2"/>
  <c r="I871" i="2"/>
  <c r="I572" i="2"/>
  <c r="I560" i="2"/>
  <c r="I491" i="2"/>
  <c r="I485" i="2"/>
  <c r="I332" i="2"/>
  <c r="I139" i="2"/>
  <c r="I261" i="2"/>
  <c r="I1054" i="2"/>
  <c r="I944" i="2"/>
  <c r="I338" i="2"/>
  <c r="I356" i="2"/>
  <c r="I872" i="2"/>
  <c r="I792" i="2"/>
  <c r="I561" i="2"/>
  <c r="I433" i="2"/>
  <c r="I760" i="2"/>
  <c r="I219" i="2"/>
  <c r="I125" i="2"/>
  <c r="I192" i="2"/>
  <c r="I461" i="2"/>
  <c r="I1046" i="2"/>
  <c r="I926" i="2"/>
  <c r="I832" i="2"/>
  <c r="I900" i="2"/>
  <c r="I1040" i="2"/>
  <c r="I912" i="2"/>
  <c r="I663" i="2"/>
  <c r="I546" i="2"/>
  <c r="I479" i="2"/>
  <c r="I714" i="2"/>
  <c r="I249" i="2"/>
  <c r="I243" i="2"/>
  <c r="I339" i="2"/>
  <c r="I170" i="2"/>
  <c r="I163" i="2"/>
  <c r="I122" i="2"/>
  <c r="I887" i="2"/>
  <c r="I607" i="2"/>
  <c r="I578" i="2"/>
  <c r="I428" i="2"/>
  <c r="I285" i="2"/>
  <c r="I374" i="2"/>
  <c r="E56" i="1" l="1"/>
  <c r="D56" i="1"/>
  <c r="C56" i="1"/>
  <c r="D57" i="1"/>
  <c r="C57" i="1"/>
  <c r="E57" i="1"/>
  <c r="B57" i="2"/>
  <c r="D57" i="2" l="1"/>
  <c r="C57" i="2"/>
  <c r="C58" i="2" s="1"/>
  <c r="E57" i="2"/>
  <c r="C58" i="1"/>
</calcChain>
</file>

<file path=xl/sharedStrings.xml><?xml version="1.0" encoding="utf-8"?>
<sst xmlns="http://schemas.openxmlformats.org/spreadsheetml/2006/main" count="206" uniqueCount="93">
  <si>
    <t>Example 1 (valid)</t>
  </si>
  <si>
    <t>SL and SB samples from the same normal draws: both K = 3 Metalog fits are valid.</t>
  </si>
  <si>
    <t>Parameters (blue = input)</t>
  </si>
  <si>
    <t>SL</t>
  </si>
  <si>
    <t>SB</t>
  </si>
  <si>
    <t>Role</t>
  </si>
  <si>
    <t>γ (gamma)</t>
  </si>
  <si>
    <t>Johnson shape</t>
  </si>
  <si>
    <t>δ (delta)</t>
  </si>
  <si>
    <t>ξ (xi)</t>
  </si>
  <si>
    <t>Johnson location</t>
  </si>
  <si>
    <t>λ (lambda)</t>
  </si>
  <si>
    <t>Johnson scale</t>
  </si>
  <si>
    <t>N</t>
  </si>
  <si>
    <t>sample size</t>
  </si>
  <si>
    <t>K</t>
  </si>
  <si>
    <t>Metalog terms</t>
  </si>
  <si>
    <t>l</t>
  </si>
  <si>
    <t>lower bound, l = ξ</t>
  </si>
  <si>
    <t>u</t>
  </si>
  <si>
    <t>–</t>
  </si>
  <si>
    <t>upper bound, u = ξ + λ (SB only)</t>
  </si>
  <si>
    <t>Proposition (Appendix A3): Q_U,SB(p) = A + B · Q_U,SL(p)</t>
  </si>
  <si>
    <t>Formula</t>
  </si>
  <si>
    <t>a</t>
  </si>
  <si>
    <t>a_L = ln λ_L − γ_L/δ_L ;   a_B = −γ_B/δ_B</t>
  </si>
  <si>
    <t>b</t>
  </si>
  <si>
    <t>b = 1/δ &gt; 0</t>
  </si>
  <si>
    <t>A straight line with slope B and intercept A: the two fitted</t>
  </si>
  <si>
    <t>B</t>
  </si>
  <si>
    <t>B = b_B / b_L = δ_L / δ_B &gt; 0</t>
  </si>
  <si>
    <t>quantile functions have the same standardized shape.</t>
  </si>
  <si>
    <t>A</t>
  </si>
  <si>
    <t>A = a_B − B · a_L</t>
  </si>
  <si>
    <t>check</t>
  </si>
  <si>
    <t>A − (γ_L − γ_B − δ_L ln λ_L)/δ_B  = 0</t>
  </si>
  <si>
    <t>Step 1. The same standard normal draws pushed through the SL and SB quantile functions</t>
  </si>
  <si>
    <t>i</t>
  </si>
  <si>
    <t>standard normal draw</t>
  </si>
  <si>
    <t>p_i = i/(N+1)</t>
  </si>
  <si>
    <t>z_SL = (draw − γ_L)/δ_L</t>
  </si>
  <si>
    <t>Q_SL = ξ_L + λ_L exp(z_SL)</t>
  </si>
  <si>
    <t>z_SB = (draw − γ_B)/δ_B</t>
  </si>
  <si>
    <t>Q_SB = ξ_B + λ_B / (1 + exp(−z_SB))</t>
  </si>
  <si>
    <t>Draws must be in increasing order (the sorted sample).</t>
  </si>
  <si>
    <t>Step 2. Transformed target quantiles (Appendix A1): the SB values are A + B × the SL values</t>
  </si>
  <si>
    <t>Q_U,SL = ln(Q_SL − l_SL)</t>
  </si>
  <si>
    <t>Q_U,SB = ln((Q_SB − l_SB)/(u_SB − Q_SB))</t>
  </si>
  <si>
    <t>A + B · Q_U,SL</t>
  </si>
  <si>
    <t>Q_U,SB − (A + B · Q_U,SL)</t>
  </si>
  <si>
    <t>Zero up to rounding: the SB targets are a positive affine transformation of the SL targets.</t>
  </si>
  <si>
    <t>Step 3. Metalog basis at the plotting positions (K = 3)</t>
  </si>
  <si>
    <t>B1 = 1</t>
  </si>
  <si>
    <t>B2 = ln(p/(1−p))</t>
  </si>
  <si>
    <t>B3 = (p − 0.5) · B2</t>
  </si>
  <si>
    <t>Step 4. Metalog coefficients: SL fitted, SB fitted, and SB computed from SL without refitting</t>
  </si>
  <si>
    <t>k</t>
  </si>
  <si>
    <t>a_k,SL  (fitted to Q_U,SL)</t>
  </si>
  <si>
    <t>a_k,SB  (fitted to Q_U,SB)</t>
  </si>
  <si>
    <t>a_k,SB from SL</t>
  </si>
  <si>
    <t>fitted − from SL</t>
  </si>
  <si>
    <t>k = 1 (location term):  a_1,SB = A + B · a_1,SL</t>
  </si>
  <si>
    <t>k &gt; 1:  a_k,SB = B · a_k,SL</t>
  </si>
  <si>
    <t>Zero up to rounding: the SB coefficients follow directly from the SL coefficients.</t>
  </si>
  <si>
    <t>B(p_i) a_SL − Q_U,SL</t>
  </si>
  <si>
    <t>B(p_i) a_SB − Q_U,SB</t>
  </si>
  <si>
    <t>Each fit passes exactly through its N = K = 3 targets.</t>
  </si>
  <si>
    <t>Step 5. Validity on the paper's grid p = 0.001, 0.002, ..., 0.999 (grid table below)</t>
  </si>
  <si>
    <t>Grid steps where the fitted quantile does not increase</t>
  </si>
  <si>
    <t>Valid?</t>
  </si>
  <si>
    <t>First p where it stops increasing</t>
  </si>
  <si>
    <t>Last p where it stops increasing</t>
  </si>
  <si>
    <t>p is reported as the upper end of the failing step.</t>
  </si>
  <si>
    <t>Since ΔQ̂_U,SB = B · ΔQ̂_U,SL with B &gt; 0, both fits fail at the same steps or neither does.</t>
  </si>
  <si>
    <t>Same?</t>
  </si>
  <si>
    <t>B58 = grid steps where ΔQ̂_SL and ΔQ̂_SB have different signs.</t>
  </si>
  <si>
    <t>Step 6. Grid table: fitted quantiles on the transformed and original scales, and their step-to-step changes</t>
  </si>
  <si>
    <t>p</t>
  </si>
  <si>
    <t>B2(p)</t>
  </si>
  <si>
    <t>B3(p)</t>
  </si>
  <si>
    <t>Q̂_U,SL = B(p) a_SL</t>
  </si>
  <si>
    <t>Q̂_SL = l_SL + exp(Q̂_U,SL)</t>
  </si>
  <si>
    <t>ΔQ̂_SL</t>
  </si>
  <si>
    <t>Q̂_U,SB = B(p) a_SB</t>
  </si>
  <si>
    <t>Q̂_SB = l_SB + (u_SB − l_SB)/(1 + exp(−Q̂_U,SB))</t>
  </si>
  <si>
    <t>ΔQ̂_SB</t>
  </si>
  <si>
    <t>Q̂_U,SB − (A + B · Q̂_U,SL)</t>
  </si>
  <si>
    <t>ΔQ̂_U,SL</t>
  </si>
  <si>
    <t>ΔQ̂_U,SB</t>
  </si>
  <si>
    <t>Q̂_U,SB uses the directly fitted SB coefficients (column C of Step 4); column J confirms it equals A + B · Q̂_U,SL.</t>
  </si>
  <si>
    <t>Example 2 (invalid)</t>
  </si>
  <si>
    <t>SL and SB samples from the same normal draws: both K = 3 Metalog fits are invalid, at exactly the same grid steps.</t>
  </si>
  <si>
    <t>Appendix A3: the transformed SL and SB quantile functions differ only by location and a positive scale, so the SB coefficients follow from the SL ones and both fits have identical validity.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</si>
</sst>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E+00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i/>
      <sz val="11"/>
      <color rgb="FF40404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vertical="center" wrapText="1"/>
    </xf>
    <xf numFmtId="0" fontId="5" fillId="0" borderId="0" xfId="0" applyFont="1"/>
    <xf numFmtId="0" fontId="6" fillId="0" borderId="1" xfId="0" applyFont="1" applyBorder="1"/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2" fillId="4" borderId="1" xfId="0" applyNumberFormat="1" applyFont="1" applyFill="1" applyBorder="1"/>
    <xf numFmtId="165" fontId="2" fillId="5" borderId="1" xfId="0" applyNumberFormat="1" applyFont="1" applyFill="1" applyBorder="1"/>
    <xf numFmtId="2" fontId="6" fillId="0" borderId="1" xfId="0" applyNumberFormat="1" applyFont="1" applyBorder="1"/>
    <xf numFmtId="166" fontId="2" fillId="0" borderId="0" xfId="0" applyNumberFormat="1" applyFont="1"/>
    <xf numFmtId="164" fontId="2" fillId="4" borderId="0" xfId="0" applyNumberFormat="1" applyFont="1" applyFill="1"/>
    <xf numFmtId="165" fontId="2" fillId="5" borderId="0" xfId="0" applyNumberFormat="1" applyFont="1" applyFill="1"/>
    <xf numFmtId="1" fontId="5" fillId="5" borderId="1" xfId="0" applyNumberFormat="1" applyFont="1" applyFill="1" applyBorder="1"/>
    <xf numFmtId="0" fontId="5" fillId="5" borderId="1" xfId="0" applyFont="1" applyFill="1" applyBorder="1"/>
    <xf numFmtId="166" fontId="5" fillId="5" borderId="1" xfId="0" applyNumberFormat="1" applyFont="1" applyFill="1" applyBorder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00B050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Fitted Q̂_U,SB vs Q̂_U,SL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= 0.001 … 0.999</c:v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'Example 1 (valid)'!$D$66:$D$1064</c:f>
              <c:numCache>
                <c:formatCode>0.000000</c:formatCode>
                <c:ptCount val="999"/>
                <c:pt idx="0">
                  <c:v>0.15877158654999679</c:v>
                </c:pt>
                <c:pt idx="1">
                  <c:v>0.24225470623441669</c:v>
                </c:pt>
                <c:pt idx="2">
                  <c:v>0.28921492020387696</c:v>
                </c:pt>
                <c:pt idx="3">
                  <c:v>0.32136042732348669</c:v>
                </c:pt>
                <c:pt idx="4">
                  <c:v>0.34546197378441379</c:v>
                </c:pt>
                <c:pt idx="5">
                  <c:v>0.36452177024015597</c:v>
                </c:pt>
                <c:pt idx="6">
                  <c:v>0.3801341514893295</c:v>
                </c:pt>
                <c:pt idx="7">
                  <c:v>0.39324657881321601</c:v>
                </c:pt>
                <c:pt idx="8">
                  <c:v>0.40446748253089648</c:v>
                </c:pt>
                <c:pt idx="9">
                  <c:v>0.41421045729646266</c:v>
                </c:pt>
                <c:pt idx="10">
                  <c:v>0.42276919649657851</c:v>
                </c:pt>
                <c:pt idx="11">
                  <c:v>0.43035958949600706</c:v>
                </c:pt>
                <c:pt idx="12">
                  <c:v>0.43714485491102706</c:v>
                </c:pt>
                <c:pt idx="13">
                  <c:v>0.44325129831026122</c:v>
                </c:pt>
                <c:pt idx="14">
                  <c:v>0.4487785975748062</c:v>
                </c:pt>
                <c:pt idx="15">
                  <c:v>0.45380674669223064</c:v>
                </c:pt>
                <c:pt idx="16">
                  <c:v>0.45840088009284252</c:v>
                </c:pt>
                <c:pt idx="17">
                  <c:v>0.4626147083512111</c:v>
                </c:pt>
                <c:pt idx="18">
                  <c:v>0.46649301820249467</c:v>
                </c:pt>
                <c:pt idx="19">
                  <c:v>0.47007352644596101</c:v>
                </c:pt>
                <c:pt idx="20">
                  <c:v>0.47338827795785776</c:v>
                </c:pt>
                <c:pt idx="21">
                  <c:v>0.47646471580668504</c:v>
                </c:pt>
                <c:pt idx="22">
                  <c:v>0.47932651145169314</c:v>
                </c:pt>
                <c:pt idx="23">
                  <c:v>0.48199421667019982</c:v>
                </c:pt>
                <c:pt idx="24">
                  <c:v>0.48448578115861585</c:v>
                </c:pt>
                <c:pt idx="25">
                  <c:v>0.48681696762750315</c:v>
                </c:pt>
                <c:pt idx="26">
                  <c:v>0.48900168776194852</c:v>
                </c:pt>
                <c:pt idx="27">
                  <c:v>0.49105227643780314</c:v>
                </c:pt>
                <c:pt idx="28">
                  <c:v>0.49297971728965884</c:v>
                </c:pt>
                <c:pt idx="29">
                  <c:v>0.49479382960148488</c:v>
                </c:pt>
                <c:pt idx="30">
                  <c:v>0.49650342418927051</c:v>
                </c:pt>
                <c:pt idx="31">
                  <c:v>0.49811643423060348</c:v>
                </c:pt>
                <c:pt idx="32">
                  <c:v>0.49964002570570365</c:v>
                </c:pt>
                <c:pt idx="33">
                  <c:v>0.50108069113364406</c:v>
                </c:pt>
                <c:pt idx="34">
                  <c:v>0.50244432953525564</c:v>
                </c:pt>
                <c:pt idx="35">
                  <c:v>0.5037363149723344</c:v>
                </c:pt>
                <c:pt idx="36">
                  <c:v>0.50496155555908628</c:v>
                </c:pt>
                <c:pt idx="37">
                  <c:v>0.50612454448536925</c:v>
                </c:pt>
                <c:pt idx="38">
                  <c:v>0.50722940430933972</c:v>
                </c:pt>
                <c:pt idx="39">
                  <c:v>0.50827992555261914</c:v>
                </c:pt>
                <c:pt idx="40">
                  <c:v>0.50927960045115372</c:v>
                </c:pt>
                <c:pt idx="41">
                  <c:v>0.5102316525699353</c:v>
                </c:pt>
                <c:pt idx="42">
                  <c:v>0.51113906287215172</c:v>
                </c:pt>
                <c:pt idx="43">
                  <c:v>0.51200459273755428</c:v>
                </c:pt>
                <c:pt idx="44">
                  <c:v>0.51283080434631145</c:v>
                </c:pt>
                <c:pt idx="45">
                  <c:v>0.51362007878005089</c:v>
                </c:pt>
                <c:pt idx="46">
                  <c:v>0.51437463213836176</c:v>
                </c:pt>
                <c:pt idx="47">
                  <c:v>0.51509652992469035</c:v>
                </c:pt>
                <c:pt idx="48">
                  <c:v>0.51578769991856088</c:v>
                </c:pt>
                <c:pt idx="49">
                  <c:v>0.51644994372009245</c:v>
                </c:pt>
                <c:pt idx="50">
                  <c:v>0.51708494712675557</c:v>
                </c:pt>
                <c:pt idx="51">
                  <c:v>0.51769428948035245</c:v>
                </c:pt>
                <c:pt idx="52">
                  <c:v>0.51827945210362336</c:v>
                </c:pt>
                <c:pt idx="53">
                  <c:v>0.51884182593009731</c:v>
                </c:pt>
                <c:pt idx="54">
                  <c:v>0.51938271841735517</c:v>
                </c:pt>
                <c:pt idx="55">
                  <c:v>0.51990335982237901</c:v>
                </c:pt>
                <c:pt idx="56">
                  <c:v>0.52040490890780422</c:v>
                </c:pt>
                <c:pt idx="57">
                  <c:v>0.52088845813942175</c:v>
                </c:pt>
                <c:pt idx="58">
                  <c:v>0.52135503842797437</c:v>
                </c:pt>
                <c:pt idx="59">
                  <c:v>0.5218056234619739</c:v>
                </c:pt>
                <c:pt idx="60">
                  <c:v>0.52224113367279945</c:v>
                </c:pt>
                <c:pt idx="61">
                  <c:v>0.52266243986857819</c:v>
                </c:pt>
                <c:pt idx="62">
                  <c:v>0.52307036656922001</c:v>
                </c:pt>
                <c:pt idx="63">
                  <c:v>0.52346569507135476</c:v>
                </c:pt>
                <c:pt idx="64">
                  <c:v>0.52384916626876166</c:v>
                </c:pt>
                <c:pt idx="65">
                  <c:v>0.52422148325112095</c:v>
                </c:pt>
                <c:pt idx="66">
                  <c:v>0.52458331370146372</c:v>
                </c:pt>
                <c:pt idx="67">
                  <c:v>0.52493529211057477</c:v>
                </c:pt>
                <c:pt idx="68">
                  <c:v>0.52527802182469441</c:v>
                </c:pt>
                <c:pt idx="69">
                  <c:v>0.5256120769412056</c:v>
                </c:pt>
                <c:pt idx="70">
                  <c:v>0.52593800406551439</c:v>
                </c:pt>
                <c:pt idx="71">
                  <c:v>0.52625632394101185</c:v>
                </c:pt>
                <c:pt idx="72">
                  <c:v>0.52656753296284808</c:v>
                </c:pt>
                <c:pt idx="73">
                  <c:v>0.52687210458521228</c:v>
                </c:pt>
                <c:pt idx="74">
                  <c:v>0.52717049063087762</c:v>
                </c:pt>
                <c:pt idx="75">
                  <c:v>0.52746312251096206</c:v>
                </c:pt>
                <c:pt idx="76">
                  <c:v>0.52775041236209819</c:v>
                </c:pt>
                <c:pt idx="77">
                  <c:v>0.52803275410756334</c:v>
                </c:pt>
                <c:pt idx="78">
                  <c:v>0.5283105244483115</c:v>
                </c:pt>
                <c:pt idx="79">
                  <c:v>0.52858408378932942</c:v>
                </c:pt>
                <c:pt idx="80">
                  <c:v>0.52885377710625159</c:v>
                </c:pt>
                <c:pt idx="81">
                  <c:v>0.52911993475674146</c:v>
                </c:pt>
                <c:pt idx="82">
                  <c:v>0.52938287324075706</c:v>
                </c:pt>
                <c:pt idx="83">
                  <c:v>0.52964289591346758</c:v>
                </c:pt>
                <c:pt idx="84">
                  <c:v>0.5299002936542665</c:v>
                </c:pt>
                <c:pt idx="85">
                  <c:v>0.53015534549504917</c:v>
                </c:pt>
                <c:pt idx="86">
                  <c:v>0.53040831921064746</c:v>
                </c:pt>
                <c:pt idx="87">
                  <c:v>0.53065947187409512</c:v>
                </c:pt>
                <c:pt idx="88">
                  <c:v>0.53090905037916469</c:v>
                </c:pt>
                <c:pt idx="89">
                  <c:v>0.53115729193243522</c:v>
                </c:pt>
                <c:pt idx="90">
                  <c:v>0.53140442451697067</c:v>
                </c:pt>
                <c:pt idx="91">
                  <c:v>0.53165066732951605</c:v>
                </c:pt>
                <c:pt idx="92">
                  <c:v>0.53189623119298401</c:v>
                </c:pt>
                <c:pt idx="93">
                  <c:v>0.53214131894586392</c:v>
                </c:pt>
                <c:pt idx="94">
                  <c:v>0.53238612581005773</c:v>
                </c:pt>
                <c:pt idx="95">
                  <c:v>0.53263083973854464</c:v>
                </c:pt>
                <c:pt idx="96">
                  <c:v>0.53287564174416202</c:v>
                </c:pt>
                <c:pt idx="97">
                  <c:v>0.53312070621070307</c:v>
                </c:pt>
                <c:pt idx="98">
                  <c:v>0.5333662011874406</c:v>
                </c:pt>
                <c:pt idx="99">
                  <c:v>0.53361228866811083</c:v>
                </c:pt>
                <c:pt idx="100">
                  <c:v>0.5338591248553084</c:v>
                </c:pt>
                <c:pt idx="101">
                  <c:v>0.5341068604111916</c:v>
                </c:pt>
                <c:pt idx="102">
                  <c:v>0.53435564069531727</c:v>
                </c:pt>
                <c:pt idx="103">
                  <c:v>0.53460560599038309</c:v>
                </c:pt>
                <c:pt idx="104">
                  <c:v>0.53485689171658868</c:v>
                </c:pt>
                <c:pt idx="105">
                  <c:v>0.53510962863528944</c:v>
                </c:pt>
                <c:pt idx="106">
                  <c:v>0.5353639430425664</c:v>
                </c:pt>
                <c:pt idx="107">
                  <c:v>0.53561995695329256</c:v>
                </c:pt>
                <c:pt idx="108">
                  <c:v>0.53587778827624111</c:v>
                </c:pt>
                <c:pt idx="109">
                  <c:v>0.53613755098074367</c:v>
                </c:pt>
                <c:pt idx="110">
                  <c:v>0.53639935525537585</c:v>
                </c:pt>
                <c:pt idx="111">
                  <c:v>0.53666330765910963</c:v>
                </c:pt>
                <c:pt idx="112">
                  <c:v>0.53692951126535748</c:v>
                </c:pt>
                <c:pt idx="113">
                  <c:v>0.53719806579928786</c:v>
                </c:pt>
                <c:pt idx="114">
                  <c:v>0.53746906776878756</c:v>
                </c:pt>
                <c:pt idx="115">
                  <c:v>0.53774261058940764</c:v>
                </c:pt>
                <c:pt idx="116">
                  <c:v>0.53801878470361653</c:v>
                </c:pt>
                <c:pt idx="117">
                  <c:v>0.53829767769466286</c:v>
                </c:pt>
                <c:pt idx="118">
                  <c:v>0.53857937439533055</c:v>
                </c:pt>
                <c:pt idx="119">
                  <c:v>0.5388639569918553</c:v>
                </c:pt>
                <c:pt idx="120">
                  <c:v>0.53915150512324939</c:v>
                </c:pt>
                <c:pt idx="121">
                  <c:v>0.53944209597627346</c:v>
                </c:pt>
                <c:pt idx="122">
                  <c:v>0.53973580437627833</c:v>
                </c:pt>
                <c:pt idx="123">
                  <c:v>0.54003270287412175</c:v>
                </c:pt>
                <c:pt idx="124">
                  <c:v>0.54033286182936235</c:v>
                </c:pt>
                <c:pt idx="125">
                  <c:v>0.54063634948991113</c:v>
                </c:pt>
                <c:pt idx="126">
                  <c:v>0.54094323206832085</c:v>
                </c:pt>
                <c:pt idx="127">
                  <c:v>0.54125357381487438</c:v>
                </c:pt>
                <c:pt idx="128">
                  <c:v>0.54156743708762978</c:v>
                </c:pt>
                <c:pt idx="129">
                  <c:v>0.54188488241957122</c:v>
                </c:pt>
                <c:pt idx="130">
                  <c:v>0.54220596858299996</c:v>
                </c:pt>
                <c:pt idx="131">
                  <c:v>0.54253075265130246</c:v>
                </c:pt>
                <c:pt idx="132">
                  <c:v>0.54285929005821498</c:v>
                </c:pt>
                <c:pt idx="133">
                  <c:v>0.54319163465470699</c:v>
                </c:pt>
                <c:pt idx="134">
                  <c:v>0.54352783876359168</c:v>
                </c:pt>
                <c:pt idx="135">
                  <c:v>0.54386795323196813</c:v>
                </c:pt>
                <c:pt idx="136">
                  <c:v>0.54421202748159914</c:v>
                </c:pt>
                <c:pt idx="137">
                  <c:v>0.54456010955731438</c:v>
                </c:pt>
                <c:pt idx="138">
                  <c:v>0.5449122461735324</c:v>
                </c:pt>
                <c:pt idx="139">
                  <c:v>0.54526848275898254</c:v>
                </c:pt>
                <c:pt idx="140">
                  <c:v>0.54562886349971285</c:v>
                </c:pt>
                <c:pt idx="141">
                  <c:v>0.54599343138045375</c:v>
                </c:pt>
                <c:pt idx="142">
                  <c:v>0.54636222822441616</c:v>
                </c:pt>
                <c:pt idx="143">
                  <c:v>0.54673529473158922</c:v>
                </c:pt>
                <c:pt idx="144">
                  <c:v>0.54711267051560353</c:v>
                </c:pt>
                <c:pt idx="145">
                  <c:v>0.54749439413922563</c:v>
                </c:pt>
                <c:pt idx="146">
                  <c:v>0.54788050314853554</c:v>
                </c:pt>
                <c:pt idx="147">
                  <c:v>0.54827103410585232</c:v>
                </c:pt>
                <c:pt idx="148">
                  <c:v>0.54866602262145525</c:v>
                </c:pt>
                <c:pt idx="149">
                  <c:v>0.54906550338415172</c:v>
                </c:pt>
                <c:pt idx="150">
                  <c:v>0.54946951019074508</c:v>
                </c:pt>
                <c:pt idx="151">
                  <c:v>0.54987807597444227</c:v>
                </c:pt>
                <c:pt idx="152">
                  <c:v>0.5502912328322489</c:v>
                </c:pt>
                <c:pt idx="153">
                  <c:v>0.55070901205139433</c:v>
                </c:pt>
                <c:pt idx="154">
                  <c:v>0.55113144413482218</c:v>
                </c:pt>
                <c:pt idx="155">
                  <c:v>0.55155855882578997</c:v>
                </c:pt>
                <c:pt idx="156">
                  <c:v>0.55199038513161103</c:v>
                </c:pt>
                <c:pt idx="157">
                  <c:v>0.55242695134657127</c:v>
                </c:pt>
                <c:pt idx="158">
                  <c:v>0.55286828507405905</c:v>
                </c:pt>
                <c:pt idx="159">
                  <c:v>0.55331441324793507</c:v>
                </c:pt>
                <c:pt idx="160">
                  <c:v>0.55376536215317429</c:v>
                </c:pt>
                <c:pt idx="161">
                  <c:v>0.55422115744580913</c:v>
                </c:pt>
                <c:pt idx="162">
                  <c:v>0.55468182417219913</c:v>
                </c:pt>
                <c:pt idx="163">
                  <c:v>0.55514738678765541</c:v>
                </c:pt>
                <c:pt idx="164">
                  <c:v>0.55561786917444433</c:v>
                </c:pt>
                <c:pt idx="165">
                  <c:v>0.55609329465919421</c:v>
                </c:pt>
                <c:pt idx="166">
                  <c:v>0.55657368602972734</c:v>
                </c:pt>
                <c:pt idx="167">
                  <c:v>0.55705906555134022</c:v>
                </c:pt>
                <c:pt idx="168">
                  <c:v>0.55754945498255248</c:v>
                </c:pt>
                <c:pt idx="169">
                  <c:v>0.55804487559034488</c:v>
                </c:pt>
                <c:pt idx="170">
                  <c:v>0.55854534816490409</c:v>
                </c:pt>
                <c:pt idx="171">
                  <c:v>0.55905089303389488</c:v>
                </c:pt>
                <c:pt idx="172">
                  <c:v>0.55956153007627674</c:v>
                </c:pt>
                <c:pt idx="173">
                  <c:v>0.56007727873567914</c:v>
                </c:pt>
                <c:pt idx="174">
                  <c:v>0.56059815803335522</c:v>
                </c:pt>
                <c:pt idx="175">
                  <c:v>0.56112418658072793</c:v>
                </c:pt>
                <c:pt idx="176">
                  <c:v>0.56165538259154246</c:v>
                </c:pt>
                <c:pt idx="177">
                  <c:v>0.56219176389364056</c:v>
                </c:pt>
                <c:pt idx="178">
                  <c:v>0.56273334794036944</c:v>
                </c:pt>
                <c:pt idx="179">
                  <c:v>0.56328015182163937</c:v>
                </c:pt>
                <c:pt idx="180">
                  <c:v>0.56383219227464243</c:v>
                </c:pt>
                <c:pt idx="181">
                  <c:v>0.56438948569424063</c:v>
                </c:pt>
                <c:pt idx="182">
                  <c:v>0.56495204814304345</c:v>
                </c:pt>
                <c:pt idx="183">
                  <c:v>0.56551989536117619</c:v>
                </c:pt>
                <c:pt idx="184">
                  <c:v>0.56609304277575689</c:v>
                </c:pt>
                <c:pt idx="185">
                  <c:v>0.56667150551008794</c:v>
                </c:pt>
                <c:pt idx="186">
                  <c:v>0.56725529839257516</c:v>
                </c:pt>
                <c:pt idx="187">
                  <c:v>0.56784443596538048</c:v>
                </c:pt>
                <c:pt idx="188">
                  <c:v>0.56843893249282085</c:v>
                </c:pt>
                <c:pt idx="189">
                  <c:v>0.56903880196952028</c:v>
                </c:pt>
                <c:pt idx="190">
                  <c:v>0.56964405812832197</c:v>
                </c:pt>
                <c:pt idx="191">
                  <c:v>0.57025471444797171</c:v>
                </c:pt>
                <c:pt idx="192">
                  <c:v>0.5708707841605789</c:v>
                </c:pt>
                <c:pt idx="193">
                  <c:v>0.57149228025886045</c:v>
                </c:pt>
                <c:pt idx="194">
                  <c:v>0.5721192155031799</c:v>
                </c:pt>
                <c:pt idx="195">
                  <c:v>0.57275160242838241</c:v>
                </c:pt>
                <c:pt idx="196">
                  <c:v>0.57338945335043812</c:v>
                </c:pt>
                <c:pt idx="197">
                  <c:v>0.57403278037289562</c:v>
                </c:pt>
                <c:pt idx="198">
                  <c:v>0.574681595393155</c:v>
                </c:pt>
                <c:pt idx="199">
                  <c:v>0.57533591010856422</c:v>
                </c:pt>
                <c:pt idx="200">
                  <c:v>0.57599573602234577</c:v>
                </c:pt>
                <c:pt idx="201">
                  <c:v>0.57666108444935871</c:v>
                </c:pt>
                <c:pt idx="202">
                  <c:v>0.5773319665217016</c:v>
                </c:pt>
                <c:pt idx="203">
                  <c:v>0.57800839319416064</c:v>
                </c:pt>
                <c:pt idx="204">
                  <c:v>0.57869037524951006</c:v>
                </c:pt>
                <c:pt idx="205">
                  <c:v>0.57937792330366567</c:v>
                </c:pt>
                <c:pt idx="206">
                  <c:v>0.5800710478107014</c:v>
                </c:pt>
                <c:pt idx="207">
                  <c:v>0.58076975906772721</c:v>
                </c:pt>
                <c:pt idx="208">
                  <c:v>0.58147406721963923</c:v>
                </c:pt>
                <c:pt idx="209">
                  <c:v>0.58218398226373969</c:v>
                </c:pt>
                <c:pt idx="210">
                  <c:v>0.5828995140542359</c:v>
                </c:pt>
                <c:pt idx="211">
                  <c:v>0.58362067230661896</c:v>
                </c:pt>
                <c:pt idx="212">
                  <c:v>0.58434746660192727</c:v>
                </c:pt>
                <c:pt idx="213">
                  <c:v>0.58507990639089735</c:v>
                </c:pt>
                <c:pt idx="214">
                  <c:v>0.58581800099800729</c:v>
                </c:pt>
                <c:pt idx="215">
                  <c:v>0.58656175962541424</c:v>
                </c:pt>
                <c:pt idx="216">
                  <c:v>0.58731119135678922</c:v>
                </c:pt>
                <c:pt idx="217">
                  <c:v>0.58806630516105463</c:v>
                </c:pt>
                <c:pt idx="218">
                  <c:v>0.58882710989602471</c:v>
                </c:pt>
                <c:pt idx="219">
                  <c:v>0.58959361431195267</c:v>
                </c:pt>
                <c:pt idx="220">
                  <c:v>0.59036582705498852</c:v>
                </c:pt>
                <c:pt idx="221">
                  <c:v>0.59114375667054986</c:v>
                </c:pt>
                <c:pt idx="222">
                  <c:v>0.59192741160660578</c:v>
                </c:pt>
                <c:pt idx="223">
                  <c:v>0.59271680021687934</c:v>
                </c:pt>
                <c:pt idx="224">
                  <c:v>0.59351193076397235</c:v>
                </c:pt>
                <c:pt idx="225">
                  <c:v>0.59431281142240788</c:v>
                </c:pt>
                <c:pt idx="226">
                  <c:v>0.59511945028160262</c:v>
                </c:pt>
                <c:pt idx="227">
                  <c:v>0.59593185534876225</c:v>
                </c:pt>
                <c:pt idx="228">
                  <c:v>0.59675003455170805</c:v>
                </c:pt>
                <c:pt idx="229">
                  <c:v>0.59757399574163417</c:v>
                </c:pt>
                <c:pt idx="230">
                  <c:v>0.59840374669579788</c:v>
                </c:pt>
                <c:pt idx="231">
                  <c:v>0.59923929512014462</c:v>
                </c:pt>
                <c:pt idx="232">
                  <c:v>0.60008064865187094</c:v>
                </c:pt>
                <c:pt idx="233">
                  <c:v>0.60092781486192559</c:v>
                </c:pt>
                <c:pt idx="234">
                  <c:v>0.60178080125745126</c:v>
                </c:pt>
                <c:pt idx="235">
                  <c:v>0.60263961528416865</c:v>
                </c:pt>
                <c:pt idx="236">
                  <c:v>0.6035042643287043</c:v>
                </c:pt>
                <c:pt idx="237">
                  <c:v>0.60437475572086452</c:v>
                </c:pt>
                <c:pt idx="238">
                  <c:v>0.60525109673585575</c:v>
                </c:pt>
                <c:pt idx="239">
                  <c:v>0.6061332945964536</c:v>
                </c:pt>
                <c:pt idx="240">
                  <c:v>0.6070213564751219</c:v>
                </c:pt>
                <c:pt idx="241">
                  <c:v>0.60791528949608409</c:v>
                </c:pt>
                <c:pt idx="242">
                  <c:v>0.60881510073734524</c:v>
                </c:pt>
                <c:pt idx="243">
                  <c:v>0.60972079723267147</c:v>
                </c:pt>
                <c:pt idx="244">
                  <c:v>0.61063238597352121</c:v>
                </c:pt>
                <c:pt idx="245">
                  <c:v>0.61154987391093574</c:v>
                </c:pt>
                <c:pt idx="246">
                  <c:v>0.61247326795738588</c:v>
                </c:pt>
                <c:pt idx="247">
                  <c:v>0.61340257498858008</c:v>
                </c:pt>
                <c:pt idx="248">
                  <c:v>0.61433780184522957</c:v>
                </c:pt>
                <c:pt idx="249">
                  <c:v>0.61527895533477661</c:v>
                </c:pt>
                <c:pt idx="250">
                  <c:v>0.61622604223308541</c:v>
                </c:pt>
                <c:pt idx="251">
                  <c:v>0.61717906928609523</c:v>
                </c:pt>
                <c:pt idx="252">
                  <c:v>0.61813804321143895</c:v>
                </c:pt>
                <c:pt idx="253">
                  <c:v>0.61910297070002596</c:v>
                </c:pt>
                <c:pt idx="254">
                  <c:v>0.62007385841759288</c:v>
                </c:pt>
                <c:pt idx="255">
                  <c:v>0.62105071300621895</c:v>
                </c:pt>
                <c:pt idx="256">
                  <c:v>0.62203354108581288</c:v>
                </c:pt>
                <c:pt idx="257">
                  <c:v>0.62302234925556588</c:v>
                </c:pt>
                <c:pt idx="258">
                  <c:v>0.62401714409537645</c:v>
                </c:pt>
                <c:pt idx="259">
                  <c:v>0.62501793216724377</c:v>
                </c:pt>
                <c:pt idx="260">
                  <c:v>0.62602472001663512</c:v>
                </c:pt>
                <c:pt idx="261">
                  <c:v>0.62703751417382336</c:v>
                </c:pt>
                <c:pt idx="262">
                  <c:v>0.62805632115519883</c:v>
                </c:pt>
                <c:pt idx="263">
                  <c:v>0.62908114746455301</c:v>
                </c:pt>
                <c:pt idx="264">
                  <c:v>0.63011199959434028</c:v>
                </c:pt>
                <c:pt idx="265">
                  <c:v>0.63114888402691005</c:v>
                </c:pt>
                <c:pt idx="266">
                  <c:v>0.63219180723571822</c:v>
                </c:pt>
                <c:pt idx="267">
                  <c:v>0.63324077568651405</c:v>
                </c:pt>
                <c:pt idx="268">
                  <c:v>0.63429579583850326</c:v>
                </c:pt>
                <c:pt idx="269">
                  <c:v>0.6353568741454898</c:v>
                </c:pt>
                <c:pt idx="270">
                  <c:v>0.63642401705699603</c:v>
                </c:pt>
                <c:pt idx="271">
                  <c:v>0.63749723101936018</c:v>
                </c:pt>
                <c:pt idx="272">
                  <c:v>0.63857652247681551</c:v>
                </c:pt>
                <c:pt idx="273">
                  <c:v>0.63966189787254746</c:v>
                </c:pt>
                <c:pt idx="274">
                  <c:v>0.64075336364973257</c:v>
                </c:pt>
                <c:pt idx="275">
                  <c:v>0.64185092625255735</c:v>
                </c:pt>
                <c:pt idx="276">
                  <c:v>0.64295459212722061</c:v>
                </c:pt>
                <c:pt idx="277">
                  <c:v>0.64406436772291487</c:v>
                </c:pt>
                <c:pt idx="278">
                  <c:v>0.64518025949279301</c:v>
                </c:pt>
                <c:pt idx="279">
                  <c:v>0.64630227389491646</c:v>
                </c:pt>
                <c:pt idx="280">
                  <c:v>0.64743041739318707</c:v>
                </c:pt>
                <c:pt idx="281">
                  <c:v>0.6485646964582632</c:v>
                </c:pt>
                <c:pt idx="282">
                  <c:v>0.64970511756845983</c:v>
                </c:pt>
                <c:pt idx="283">
                  <c:v>0.65085168721063336</c:v>
                </c:pt>
                <c:pt idx="284">
                  <c:v>0.65200441188105118</c:v>
                </c:pt>
                <c:pt idx="285">
                  <c:v>0.65316329808624796</c:v>
                </c:pt>
                <c:pt idx="286">
                  <c:v>0.65432835234386655</c:v>
                </c:pt>
                <c:pt idx="287">
                  <c:v>0.6554995811834865</c:v>
                </c:pt>
                <c:pt idx="288">
                  <c:v>0.65667699114743705</c:v>
                </c:pt>
                <c:pt idx="289">
                  <c:v>0.65786058879160036</c:v>
                </c:pt>
                <c:pt idx="290">
                  <c:v>0.65905038068619881</c:v>
                </c:pt>
                <c:pt idx="291">
                  <c:v>0.66024637341657277</c:v>
                </c:pt>
                <c:pt idx="292">
                  <c:v>0.66144857358394415</c:v>
                </c:pt>
                <c:pt idx="293">
                  <c:v>0.66265698780617055</c:v>
                </c:pt>
                <c:pt idx="294">
                  <c:v>0.66387162271848532</c:v>
                </c:pt>
                <c:pt idx="295">
                  <c:v>0.66509248497423057</c:v>
                </c:pt>
                <c:pt idx="296">
                  <c:v>0.66631958124557433</c:v>
                </c:pt>
                <c:pt idx="297">
                  <c:v>0.66755291822422314</c:v>
                </c:pt>
                <c:pt idx="298">
                  <c:v>0.66879250262211853</c:v>
                </c:pt>
                <c:pt idx="299">
                  <c:v>0.67003834117212968</c:v>
                </c:pt>
                <c:pt idx="300">
                  <c:v>0.67129044062873056</c:v>
                </c:pt>
                <c:pt idx="301">
                  <c:v>0.67254880776867287</c:v>
                </c:pt>
                <c:pt idx="302">
                  <c:v>0.673813449391647</c:v>
                </c:pt>
                <c:pt idx="303">
                  <c:v>0.67508437232093454</c:v>
                </c:pt>
                <c:pt idx="304">
                  <c:v>0.67636158340405372</c:v>
                </c:pt>
                <c:pt idx="305">
                  <c:v>0.67764508951339464</c:v>
                </c:pt>
                <c:pt idx="306">
                  <c:v>0.67893489754684733</c:v>
                </c:pt>
                <c:pt idx="307">
                  <c:v>0.68023101442842304</c:v>
                </c:pt>
                <c:pt idx="308">
                  <c:v>0.68153344710886543</c:v>
                </c:pt>
                <c:pt idx="309">
                  <c:v>0.68284220256625716</c:v>
                </c:pt>
                <c:pt idx="310">
                  <c:v>0.68415728780661644</c:v>
                </c:pt>
                <c:pt idx="311">
                  <c:v>0.68547870986448967</c:v>
                </c:pt>
                <c:pt idx="312">
                  <c:v>0.68680647580353482</c:v>
                </c:pt>
                <c:pt idx="313">
                  <c:v>0.68814059271709982</c:v>
                </c:pt>
                <c:pt idx="314">
                  <c:v>0.68948106772879347</c:v>
                </c:pt>
                <c:pt idx="315">
                  <c:v>0.69082790799305105</c:v>
                </c:pt>
                <c:pt idx="316">
                  <c:v>0.69218112069569315</c:v>
                </c:pt>
                <c:pt idx="317">
                  <c:v>0.69354071305448073</c:v>
                </c:pt>
                <c:pt idx="318">
                  <c:v>0.6949066923196604</c:v>
                </c:pt>
                <c:pt idx="319">
                  <c:v>0.69627906577450938</c:v>
                </c:pt>
                <c:pt idx="320">
                  <c:v>0.697657840735871</c:v>
                </c:pt>
                <c:pt idx="321">
                  <c:v>0.69904302455468781</c:v>
                </c:pt>
                <c:pt idx="322">
                  <c:v>0.70043462461652806</c:v>
                </c:pt>
                <c:pt idx="323">
                  <c:v>0.70183264834210835</c:v>
                </c:pt>
                <c:pt idx="324">
                  <c:v>0.70323710318781107</c:v>
                </c:pt>
                <c:pt idx="325">
                  <c:v>0.70464799664619904</c:v>
                </c:pt>
                <c:pt idx="326">
                  <c:v>0.70606533624652168</c:v>
                </c:pt>
                <c:pt idx="327">
                  <c:v>0.70748912955522303</c:v>
                </c:pt>
                <c:pt idx="328">
                  <c:v>0.70891938417644007</c:v>
                </c:pt>
                <c:pt idx="329">
                  <c:v>0.71035610775250124</c:v>
                </c:pt>
                <c:pt idx="330">
                  <c:v>0.71179930796441826</c:v>
                </c:pt>
                <c:pt idx="331">
                  <c:v>0.71324899253237684</c:v>
                </c:pt>
                <c:pt idx="332">
                  <c:v>0.71470516921622207</c:v>
                </c:pt>
                <c:pt idx="333">
                  <c:v>0.71616784581594195</c:v>
                </c:pt>
                <c:pt idx="334">
                  <c:v>0.71763703017214531</c:v>
                </c:pt>
                <c:pt idx="335">
                  <c:v>0.71911273016654043</c:v>
                </c:pt>
                <c:pt idx="336">
                  <c:v>0.72059495372240656</c:v>
                </c:pt>
                <c:pt idx="337">
                  <c:v>0.72208370880506634</c:v>
                </c:pt>
                <c:pt idx="338">
                  <c:v>0.72357900342235204</c:v>
                </c:pt>
                <c:pt idx="339">
                  <c:v>0.72508084562507225</c:v>
                </c:pt>
                <c:pt idx="340">
                  <c:v>0.72658924350747367</c:v>
                </c:pt>
                <c:pt idx="341">
                  <c:v>0.72810420520770303</c:v>
                </c:pt>
                <c:pt idx="342">
                  <c:v>0.7296257389082631</c:v>
                </c:pt>
                <c:pt idx="343">
                  <c:v>0.73115385283647094</c:v>
                </c:pt>
                <c:pt idx="344">
                  <c:v>0.73268855526491117</c:v>
                </c:pt>
                <c:pt idx="345">
                  <c:v>0.73422985451188627</c:v>
                </c:pt>
                <c:pt idx="346">
                  <c:v>0.73577775894187047</c:v>
                </c:pt>
                <c:pt idx="347">
                  <c:v>0.73733227696595427</c:v>
                </c:pt>
                <c:pt idx="348">
                  <c:v>0.73889341704229416</c:v>
                </c:pt>
                <c:pt idx="349">
                  <c:v>0.74046118767655655</c:v>
                </c:pt>
                <c:pt idx="350">
                  <c:v>0.74203559742236169</c:v>
                </c:pt>
                <c:pt idx="351">
                  <c:v>0.74361665488172668</c:v>
                </c:pt>
                <c:pt idx="352">
                  <c:v>0.7452043687055061</c:v>
                </c:pt>
                <c:pt idx="353">
                  <c:v>0.74679874759383247</c:v>
                </c:pt>
                <c:pt idx="354">
                  <c:v>0.74839980029655528</c:v>
                </c:pt>
                <c:pt idx="355">
                  <c:v>0.75000753561367883</c:v>
                </c:pt>
                <c:pt idx="356">
                  <c:v>0.75162196239579915</c:v>
                </c:pt>
                <c:pt idx="357">
                  <c:v>0.75324308954454045</c:v>
                </c:pt>
                <c:pt idx="358">
                  <c:v>0.75487092601299144</c:v>
                </c:pt>
                <c:pt idx="359">
                  <c:v>0.75650548080613877</c:v>
                </c:pt>
                <c:pt idx="360">
                  <c:v>0.75814676298130212</c:v>
                </c:pt>
                <c:pt idx="361">
                  <c:v>0.75979478164856917</c:v>
                </c:pt>
                <c:pt idx="362">
                  <c:v>0.76144954597122705</c:v>
                </c:pt>
                <c:pt idx="363">
                  <c:v>0.76311106516619687</c:v>
                </c:pt>
                <c:pt idx="364">
                  <c:v>0.76477934850446661</c:v>
                </c:pt>
                <c:pt idx="365">
                  <c:v>0.76645440531152331</c:v>
                </c:pt>
                <c:pt idx="366">
                  <c:v>0.76813624496778621</c:v>
                </c:pt>
                <c:pt idx="367">
                  <c:v>0.76982487690903922</c:v>
                </c:pt>
                <c:pt idx="368">
                  <c:v>0.77152031062686399</c:v>
                </c:pt>
                <c:pt idx="369">
                  <c:v>0.77322255566907183</c:v>
                </c:pt>
                <c:pt idx="370">
                  <c:v>0.77493162164013862</c:v>
                </c:pt>
                <c:pt idx="371">
                  <c:v>0.77664751820163624</c:v>
                </c:pt>
                <c:pt idx="372">
                  <c:v>0.77837025507266788</c:v>
                </c:pt>
                <c:pt idx="373">
                  <c:v>0.78009984203030092</c:v>
                </c:pt>
                <c:pt idx="374">
                  <c:v>0.78183628891000279</c:v>
                </c:pt>
                <c:pt idx="375">
                  <c:v>0.78357960560607498</c:v>
                </c:pt>
                <c:pt idx="376">
                  <c:v>0.78532980207209024</c:v>
                </c:pt>
                <c:pt idx="377">
                  <c:v>0.78708688832132812</c:v>
                </c:pt>
                <c:pt idx="378">
                  <c:v>0.78885087442721269</c:v>
                </c:pt>
                <c:pt idx="379">
                  <c:v>0.79062177052375071</c:v>
                </c:pt>
                <c:pt idx="380">
                  <c:v>0.79239958680597133</c:v>
                </c:pt>
                <c:pt idx="381">
                  <c:v>0.79418433353036466</c:v>
                </c:pt>
                <c:pt idx="382">
                  <c:v>0.79597602101532439</c:v>
                </c:pt>
                <c:pt idx="383">
                  <c:v>0.79777465964158933</c:v>
                </c:pt>
                <c:pt idx="384">
                  <c:v>0.79958025985268666</c:v>
                </c:pt>
                <c:pt idx="385">
                  <c:v>0.8013928321553766</c:v>
                </c:pt>
                <c:pt idx="386">
                  <c:v>0.80321238712009857</c:v>
                </c:pt>
                <c:pt idx="387">
                  <c:v>0.80503893538141846</c:v>
                </c:pt>
                <c:pt idx="388">
                  <c:v>0.80687248763847674</c:v>
                </c:pt>
                <c:pt idx="389">
                  <c:v>0.80871305465543875</c:v>
                </c:pt>
                <c:pt idx="390">
                  <c:v>0.81056064726194699</c:v>
                </c:pt>
                <c:pt idx="391">
                  <c:v>0.81241527635357369</c:v>
                </c:pt>
                <c:pt idx="392">
                  <c:v>0.81427695289227608</c:v>
                </c:pt>
                <c:pt idx="393">
                  <c:v>0.81614568790685282</c:v>
                </c:pt>
                <c:pt idx="394">
                  <c:v>0.81802149249340272</c:v>
                </c:pt>
                <c:pt idx="395">
                  <c:v>0.81990437781578462</c:v>
                </c:pt>
                <c:pt idx="396">
                  <c:v>0.82179435510608057</c:v>
                </c:pt>
                <c:pt idx="397">
                  <c:v>0.82369143566505842</c:v>
                </c:pt>
                <c:pt idx="398">
                  <c:v>0.82559563086263954</c:v>
                </c:pt>
                <c:pt idx="399">
                  <c:v>0.82750695213836567</c:v>
                </c:pt>
                <c:pt idx="400">
                  <c:v>0.82942541100187095</c:v>
                </c:pt>
                <c:pt idx="401">
                  <c:v>0.83135101903335284</c:v>
                </c:pt>
                <c:pt idx="402">
                  <c:v>0.83328378788404811</c:v>
                </c:pt>
                <c:pt idx="403">
                  <c:v>0.83522372927670963</c:v>
                </c:pt>
                <c:pt idx="404">
                  <c:v>0.83717085500608646</c:v>
                </c:pt>
                <c:pt idx="405">
                  <c:v>0.83912517693940447</c:v>
                </c:pt>
                <c:pt idx="406">
                  <c:v>0.8410867070168524</c:v>
                </c:pt>
                <c:pt idx="407">
                  <c:v>0.8430554572520681</c:v>
                </c:pt>
                <c:pt idx="408">
                  <c:v>0.84503143973262884</c:v>
                </c:pt>
                <c:pt idx="409">
                  <c:v>0.84701466662054181</c:v>
                </c:pt>
                <c:pt idx="410">
                  <c:v>0.84900515015274214</c:v>
                </c:pt>
                <c:pt idx="411">
                  <c:v>0.85100290264158784</c:v>
                </c:pt>
                <c:pt idx="412">
                  <c:v>0.85300793647536277</c:v>
                </c:pt>
                <c:pt idx="413">
                  <c:v>0.85502026411877852</c:v>
                </c:pt>
                <c:pt idx="414">
                  <c:v>0.85703989811348236</c:v>
                </c:pt>
                <c:pt idx="415">
                  <c:v>0.85906685107856551</c:v>
                </c:pt>
                <c:pt idx="416">
                  <c:v>0.86110113571107716</c:v>
                </c:pt>
                <c:pt idx="417">
                  <c:v>0.86314276478653873</c:v>
                </c:pt>
                <c:pt idx="418">
                  <c:v>0.86519175115946478</c:v>
                </c:pt>
                <c:pt idx="419">
                  <c:v>0.86724810776388339</c:v>
                </c:pt>
                <c:pt idx="420">
                  <c:v>0.86931184761386282</c:v>
                </c:pt>
                <c:pt idx="421">
                  <c:v>0.87138298380404022</c:v>
                </c:pt>
                <c:pt idx="422">
                  <c:v>0.87346152951015466</c:v>
                </c:pt>
                <c:pt idx="423">
                  <c:v>0.87554749798958087</c:v>
                </c:pt>
                <c:pt idx="424">
                  <c:v>0.87764090258187177</c:v>
                </c:pt>
                <c:pt idx="425">
                  <c:v>0.87974175670929866</c:v>
                </c:pt>
                <c:pt idx="426">
                  <c:v>0.88185007387740022</c:v>
                </c:pt>
                <c:pt idx="427">
                  <c:v>0.88396586767553131</c:v>
                </c:pt>
                <c:pt idx="428">
                  <c:v>0.88608915177741876</c:v>
                </c:pt>
                <c:pt idx="429">
                  <c:v>0.88821993994171722</c:v>
                </c:pt>
                <c:pt idx="430">
                  <c:v>0.89035824601257429</c:v>
                </c:pt>
                <c:pt idx="431">
                  <c:v>0.89250408392019331</c:v>
                </c:pt>
                <c:pt idx="432">
                  <c:v>0.89465746768140664</c:v>
                </c:pt>
                <c:pt idx="433">
                  <c:v>0.89681841140024676</c:v>
                </c:pt>
                <c:pt idx="434">
                  <c:v>0.89898692926852708</c:v>
                </c:pt>
                <c:pt idx="435">
                  <c:v>0.90116303556642285</c:v>
                </c:pt>
                <c:pt idx="436">
                  <c:v>0.90334674466305942</c:v>
                </c:pt>
                <c:pt idx="437">
                  <c:v>0.90553807101710193</c:v>
                </c:pt>
                <c:pt idx="438">
                  <c:v>0.90773702917735244</c:v>
                </c:pt>
                <c:pt idx="439">
                  <c:v>0.90994363378334886</c:v>
                </c:pt>
                <c:pt idx="440">
                  <c:v>0.91215789956597104</c:v>
                </c:pt>
                <c:pt idx="441">
                  <c:v>0.91437984134804839</c:v>
                </c:pt>
                <c:pt idx="442">
                  <c:v>0.91660947404497561</c:v>
                </c:pt>
                <c:pt idx="443">
                  <c:v>0.91884681266532964</c:v>
                </c:pt>
                <c:pt idx="444">
                  <c:v>0.92109187231149536</c:v>
                </c:pt>
                <c:pt idx="445">
                  <c:v>0.92334466818029148</c:v>
                </c:pt>
                <c:pt idx="446">
                  <c:v>0.92560521556360709</c:v>
                </c:pt>
                <c:pt idx="447">
                  <c:v>0.92787352984903682</c:v>
                </c:pt>
                <c:pt idx="448">
                  <c:v>0.9301496265205268</c:v>
                </c:pt>
                <c:pt idx="449">
                  <c:v>0.93243352115902212</c:v>
                </c:pt>
                <c:pt idx="450">
                  <c:v>0.93472522944312131</c:v>
                </c:pt>
                <c:pt idx="451">
                  <c:v>0.93702476714973515</c:v>
                </c:pt>
                <c:pt idx="452">
                  <c:v>0.93933215015475169</c:v>
                </c:pt>
                <c:pt idx="453">
                  <c:v>0.94164739443370549</c:v>
                </c:pt>
                <c:pt idx="454">
                  <c:v>0.94397051606245475</c:v>
                </c:pt>
                <c:pt idx="455">
                  <c:v>0.94630153121786043</c:v>
                </c:pt>
                <c:pt idx="456">
                  <c:v>0.94864045617847481</c:v>
                </c:pt>
                <c:pt idx="457">
                  <c:v>0.95098730732523251</c:v>
                </c:pt>
                <c:pt idx="458">
                  <c:v>0.95334210114215068</c:v>
                </c:pt>
                <c:pt idx="459">
                  <c:v>0.95570485421703089</c:v>
                </c:pt>
                <c:pt idx="460">
                  <c:v>0.95807558324217201</c:v>
                </c:pt>
                <c:pt idx="461">
                  <c:v>0.960454305015084</c:v>
                </c:pt>
                <c:pt idx="462">
                  <c:v>0.96284103643921226</c:v>
                </c:pt>
                <c:pt idx="463">
                  <c:v>0.96523579452466435</c:v>
                </c:pt>
                <c:pt idx="464">
                  <c:v>0.967638596388947</c:v>
                </c:pt>
                <c:pt idx="465">
                  <c:v>0.97004945925770514</c:v>
                </c:pt>
                <c:pt idx="466">
                  <c:v>0.97246840046547134</c:v>
                </c:pt>
                <c:pt idx="467">
                  <c:v>0.97489543745641838</c:v>
                </c:pt>
                <c:pt idx="468">
                  <c:v>0.97733058778512183</c:v>
                </c:pt>
                <c:pt idx="469">
                  <c:v>0.979773869117326</c:v>
                </c:pt>
                <c:pt idx="470">
                  <c:v>0.982225299230719</c:v>
                </c:pt>
                <c:pt idx="471">
                  <c:v>0.98468489601571341</c:v>
                </c:pt>
                <c:pt idx="472">
                  <c:v>0.9871526774762347</c:v>
                </c:pt>
                <c:pt idx="473">
                  <c:v>0.98962866173051611</c:v>
                </c:pt>
                <c:pt idx="474">
                  <c:v>0.99211286701190105</c:v>
                </c:pt>
                <c:pt idx="475">
                  <c:v>0.99460531166965227</c:v>
                </c:pt>
                <c:pt idx="476">
                  <c:v>0.99710601416976863</c:v>
                </c:pt>
                <c:pt idx="477">
                  <c:v>0.99961499309580937</c:v>
                </c:pt>
                <c:pt idx="478">
                  <c:v>1.0021322671497259</c:v>
                </c:pt>
                <c:pt idx="479">
                  <c:v>1.0046578551527006</c:v>
                </c:pt>
                <c:pt idx="480">
                  <c:v>1.0071917760459932</c:v>
                </c:pt>
                <c:pt idx="481">
                  <c:v>1.0097340488917972</c:v>
                </c:pt>
                <c:pt idx="482">
                  <c:v>1.0122846928741003</c:v>
                </c:pt>
                <c:pt idx="483">
                  <c:v>1.0148437272995559</c:v>
                </c:pt>
                <c:pt idx="484">
                  <c:v>1.0174111715983616</c:v>
                </c:pt>
                <c:pt idx="485">
                  <c:v>1.0199870453251456</c:v>
                </c:pt>
                <c:pt idx="486">
                  <c:v>1.022571368159862</c:v>
                </c:pt>
                <c:pt idx="487">
                  <c:v>1.0251641599086938</c:v>
                </c:pt>
                <c:pt idx="488">
                  <c:v>1.0277654405049645</c:v>
                </c:pt>
                <c:pt idx="489">
                  <c:v>1.0303752300100595</c:v>
                </c:pt>
                <c:pt idx="490">
                  <c:v>1.0329935486143536</c:v>
                </c:pt>
                <c:pt idx="491">
                  <c:v>1.0356204166381495</c:v>
                </c:pt>
                <c:pt idx="492">
                  <c:v>1.0382558545326259</c:v>
                </c:pt>
                <c:pt idx="493">
                  <c:v>1.0408998828807907</c:v>
                </c:pt>
                <c:pt idx="494">
                  <c:v>1.0435525223984476</c:v>
                </c:pt>
                <c:pt idx="495">
                  <c:v>1.0462137939351697</c:v>
                </c:pt>
                <c:pt idx="496">
                  <c:v>1.0488837184752833</c:v>
                </c:pt>
                <c:pt idx="497">
                  <c:v>1.0515623171388597</c:v>
                </c:pt>
                <c:pt idx="498">
                  <c:v>1.0542496111827195</c:v>
                </c:pt>
                <c:pt idx="499">
                  <c:v>1.0569456220014428</c:v>
                </c:pt>
                <c:pt idx="500">
                  <c:v>1.0596503711283929</c:v>
                </c:pt>
                <c:pt idx="501">
                  <c:v>1.0623638802367472</c:v>
                </c:pt>
                <c:pt idx="502">
                  <c:v>1.0650861711405395</c:v>
                </c:pt>
                <c:pt idx="503">
                  <c:v>1.0678172657957121</c:v>
                </c:pt>
                <c:pt idx="504">
                  <c:v>1.0705571863011794</c:v>
                </c:pt>
                <c:pt idx="505">
                  <c:v>1.0733059548998982</c:v>
                </c:pt>
                <c:pt idx="506">
                  <c:v>1.0760635939799554</c:v>
                </c:pt>
                <c:pt idx="507">
                  <c:v>1.0788301260756574</c:v>
                </c:pt>
                <c:pt idx="508">
                  <c:v>1.0816055738686396</c:v>
                </c:pt>
                <c:pt idx="509">
                  <c:v>1.0843899601889795</c:v>
                </c:pt>
                <c:pt idx="510">
                  <c:v>1.0871833080163253</c:v>
                </c:pt>
                <c:pt idx="511">
                  <c:v>1.0899856404810346</c:v>
                </c:pt>
                <c:pt idx="512">
                  <c:v>1.0927969808653228</c:v>
                </c:pt>
                <c:pt idx="513">
                  <c:v>1.0956173526044257</c:v>
                </c:pt>
                <c:pt idx="514">
                  <c:v>1.0984467792877728</c:v>
                </c:pt>
                <c:pt idx="515">
                  <c:v>1.1012852846601711</c:v>
                </c:pt>
                <c:pt idx="516">
                  <c:v>1.1041328926230023</c:v>
                </c:pt>
                <c:pt idx="517">
                  <c:v>1.1069896272354334</c:v>
                </c:pt>
                <c:pt idx="518">
                  <c:v>1.1098555127156355</c:v>
                </c:pt>
                <c:pt idx="519">
                  <c:v>1.1127305734420194</c:v>
                </c:pt>
                <c:pt idx="520">
                  <c:v>1.1156148339544809</c:v>
                </c:pt>
                <c:pt idx="521">
                  <c:v>1.1185083189556608</c:v>
                </c:pt>
                <c:pt idx="522">
                  <c:v>1.1214110533122157</c:v>
                </c:pt>
                <c:pt idx="523">
                  <c:v>1.1243230620561051</c:v>
                </c:pt>
                <c:pt idx="524">
                  <c:v>1.1272443703858874</c:v>
                </c:pt>
                <c:pt idx="525">
                  <c:v>1.1301750036680331</c:v>
                </c:pt>
                <c:pt idx="526">
                  <c:v>1.13311498743825</c:v>
                </c:pt>
                <c:pt idx="527">
                  <c:v>1.136064347402822</c:v>
                </c:pt>
                <c:pt idx="528">
                  <c:v>1.1390231094399623</c:v>
                </c:pt>
                <c:pt idx="529">
                  <c:v>1.1419912996011805</c:v>
                </c:pt>
                <c:pt idx="530">
                  <c:v>1.1449689441126645</c:v>
                </c:pt>
                <c:pt idx="531">
                  <c:v>1.1479560693766757</c:v>
                </c:pt>
                <c:pt idx="532">
                  <c:v>1.1509527019729604</c:v>
                </c:pt>
                <c:pt idx="533">
                  <c:v>1.1539588686601747</c:v>
                </c:pt>
                <c:pt idx="534">
                  <c:v>1.1569745963773255</c:v>
                </c:pt>
                <c:pt idx="535">
                  <c:v>1.1599999122452258</c:v>
                </c:pt>
                <c:pt idx="536">
                  <c:v>1.1630348435679658</c:v>
                </c:pt>
                <c:pt idx="537">
                  <c:v>1.1660794178344005</c:v>
                </c:pt>
                <c:pt idx="538">
                  <c:v>1.1691336627196525</c:v>
                </c:pt>
                <c:pt idx="539">
                  <c:v>1.1721976060866288</c:v>
                </c:pt>
                <c:pt idx="540">
                  <c:v>1.1752712759875588</c:v>
                </c:pt>
                <c:pt idx="541">
                  <c:v>1.178354700665543</c:v>
                </c:pt>
                <c:pt idx="542">
                  <c:v>1.1814479085561234</c:v>
                </c:pt>
                <c:pt idx="543">
                  <c:v>1.1845509282888669</c:v>
                </c:pt>
                <c:pt idx="544">
                  <c:v>1.1876637886889683</c:v>
                </c:pt>
                <c:pt idx="545">
                  <c:v>1.1907865187788698</c:v>
                </c:pt>
                <c:pt idx="546">
                  <c:v>1.1939191477798983</c:v>
                </c:pt>
                <c:pt idx="547">
                  <c:v>1.1970617051139196</c:v>
                </c:pt>
                <c:pt idx="548">
                  <c:v>1.200214220405013</c:v>
                </c:pt>
                <c:pt idx="549">
                  <c:v>1.2033767234811603</c:v>
                </c:pt>
                <c:pt idx="550">
                  <c:v>1.2065492443759576</c:v>
                </c:pt>
                <c:pt idx="551">
                  <c:v>1.2097318133303436</c:v>
                </c:pt>
                <c:pt idx="552">
                  <c:v>1.2129244607943463</c:v>
                </c:pt>
                <c:pt idx="553">
                  <c:v>1.2161272174288504</c:v>
                </c:pt>
                <c:pt idx="554">
                  <c:v>1.2193401141073843</c:v>
                </c:pt>
                <c:pt idx="555">
                  <c:v>1.2225631819179261</c:v>
                </c:pt>
                <c:pt idx="556">
                  <c:v>1.22579645216473</c:v>
                </c:pt>
                <c:pt idx="557">
                  <c:v>1.2290399563701719</c:v>
                </c:pt>
                <c:pt idx="558">
                  <c:v>1.2322937262766189</c:v>
                </c:pt>
                <c:pt idx="559">
                  <c:v>1.2355577938483158</c:v>
                </c:pt>
                <c:pt idx="560">
                  <c:v>1.2388321912732949</c:v>
                </c:pt>
                <c:pt idx="561">
                  <c:v>1.2421169509653074</c:v>
                </c:pt>
                <c:pt idx="562">
                  <c:v>1.2454121055657748</c:v>
                </c:pt>
                <c:pt idx="563">
                  <c:v>1.2487176879457662</c:v>
                </c:pt>
                <c:pt idx="564">
                  <c:v>1.2520337312079919</c:v>
                </c:pt>
                <c:pt idx="565">
                  <c:v>1.2553602686888259</c:v>
                </c:pt>
                <c:pt idx="566">
                  <c:v>1.2586973339603464</c:v>
                </c:pt>
                <c:pt idx="567">
                  <c:v>1.262044960832404</c:v>
                </c:pt>
                <c:pt idx="568">
                  <c:v>1.2654031833547097</c:v>
                </c:pt>
                <c:pt idx="569">
                  <c:v>1.2687720358189492</c:v>
                </c:pt>
                <c:pt idx="570">
                  <c:v>1.2721515527609197</c:v>
                </c:pt>
                <c:pt idx="571">
                  <c:v>1.2755417689626947</c:v>
                </c:pt>
                <c:pt idx="572">
                  <c:v>1.2789427194548078</c:v>
                </c:pt>
                <c:pt idx="573">
                  <c:v>1.2823544395184689</c:v>
                </c:pt>
                <c:pt idx="574">
                  <c:v>1.2857769646878008</c:v>
                </c:pt>
                <c:pt idx="575">
                  <c:v>1.2892103307521028</c:v>
                </c:pt>
                <c:pt idx="576">
                  <c:v>1.2926545737581434</c:v>
                </c:pt>
                <c:pt idx="577">
                  <c:v>1.2961097300124762</c:v>
                </c:pt>
                <c:pt idx="578">
                  <c:v>1.2995758360837848</c:v>
                </c:pt>
                <c:pt idx="579">
                  <c:v>1.3030529288052564</c:v>
                </c:pt>
                <c:pt idx="580">
                  <c:v>1.306541045276979</c:v>
                </c:pt>
                <c:pt idx="581">
                  <c:v>1.3100402228683725</c:v>
                </c:pt>
                <c:pt idx="582">
                  <c:v>1.3135504992206437</c:v>
                </c:pt>
                <c:pt idx="583">
                  <c:v>1.3170719122492738</c:v>
                </c:pt>
                <c:pt idx="584">
                  <c:v>1.3206045001465327</c:v>
                </c:pt>
                <c:pt idx="585">
                  <c:v>1.3241483013840265</c:v>
                </c:pt>
                <c:pt idx="586">
                  <c:v>1.3277033547152706</c:v>
                </c:pt>
                <c:pt idx="587">
                  <c:v>1.3312696991783</c:v>
                </c:pt>
                <c:pt idx="588">
                  <c:v>1.3348473740983047</c:v>
                </c:pt>
                <c:pt idx="589">
                  <c:v>1.3384364190902995</c:v>
                </c:pt>
                <c:pt idx="590">
                  <c:v>1.3420368740618278</c:v>
                </c:pt>
                <c:pt idx="591">
                  <c:v>1.3456487792156953</c:v>
                </c:pt>
                <c:pt idx="592">
                  <c:v>1.3492721750527361</c:v>
                </c:pt>
                <c:pt idx="593">
                  <c:v>1.3529071023746164</c:v>
                </c:pt>
                <c:pt idx="594">
                  <c:v>1.3565536022866684</c:v>
                </c:pt>
                <c:pt idx="595">
                  <c:v>1.3602117162007614</c:v>
                </c:pt>
                <c:pt idx="596">
                  <c:v>1.3638814858382045</c:v>
                </c:pt>
                <c:pt idx="597">
                  <c:v>1.3675629532326909</c:v>
                </c:pt>
                <c:pt idx="598">
                  <c:v>1.3712561607332718</c:v>
                </c:pt>
                <c:pt idx="599">
                  <c:v>1.3749611510073703</c:v>
                </c:pt>
                <c:pt idx="600">
                  <c:v>1.3786779670438338</c:v>
                </c:pt>
                <c:pt idx="601">
                  <c:v>1.3824066521560212</c:v>
                </c:pt>
                <c:pt idx="602">
                  <c:v>1.3861472499849299</c:v>
                </c:pt>
                <c:pt idx="603">
                  <c:v>1.3898998045023614</c:v>
                </c:pt>
                <c:pt idx="604">
                  <c:v>1.3936643600141276</c:v>
                </c:pt>
                <c:pt idx="605">
                  <c:v>1.3974409611632952</c:v>
                </c:pt>
                <c:pt idx="606">
                  <c:v>1.401229652933472</c:v>
                </c:pt>
                <c:pt idx="607">
                  <c:v>1.4050304806521348</c:v>
                </c:pt>
                <c:pt idx="608">
                  <c:v>1.4088434899939979</c:v>
                </c:pt>
                <c:pt idx="609">
                  <c:v>1.4126687269844265</c:v>
                </c:pt>
                <c:pt idx="610">
                  <c:v>1.4165062380028897</c:v>
                </c:pt>
                <c:pt idx="611">
                  <c:v>1.4203560697864621</c:v>
                </c:pt>
                <c:pt idx="612">
                  <c:v>1.4242182694333656</c:v>
                </c:pt>
                <c:pt idx="613">
                  <c:v>1.4280928844065586</c:v>
                </c:pt>
                <c:pt idx="614">
                  <c:v>1.4319799625373721</c:v>
                </c:pt>
                <c:pt idx="615">
                  <c:v>1.4358795520291894</c:v>
                </c:pt>
                <c:pt idx="616">
                  <c:v>1.4397917014611761</c:v>
                </c:pt>
                <c:pt idx="617">
                  <c:v>1.4437164597920567</c:v>
                </c:pt>
                <c:pt idx="618">
                  <c:v>1.4476538763639411</c:v>
                </c:pt>
                <c:pt idx="619">
                  <c:v>1.4516040009061992</c:v>
                </c:pt>
                <c:pt idx="620">
                  <c:v>1.4555668835393869</c:v>
                </c:pt>
                <c:pt idx="621">
                  <c:v>1.4595425747792246</c:v>
                </c:pt>
                <c:pt idx="622">
                  <c:v>1.4635311255406231</c:v>
                </c:pt>
                <c:pt idx="623">
                  <c:v>1.4675325871417699</c:v>
                </c:pt>
                <c:pt idx="624">
                  <c:v>1.4715470113082612</c:v>
                </c:pt>
                <c:pt idx="625">
                  <c:v>1.4755744501772929</c:v>
                </c:pt>
                <c:pt idx="626">
                  <c:v>1.479614956301907</c:v>
                </c:pt>
                <c:pt idx="627">
                  <c:v>1.483668582655292</c:v>
                </c:pt>
                <c:pt idx="628">
                  <c:v>1.4877353826351429</c:v>
                </c:pt>
                <c:pt idx="629">
                  <c:v>1.4918154100680765</c:v>
                </c:pt>
                <c:pt idx="630">
                  <c:v>1.4959087192141098</c:v>
                </c:pt>
                <c:pt idx="631">
                  <c:v>1.5000153647711929</c:v>
                </c:pt>
                <c:pt idx="632">
                  <c:v>1.5041354018798079</c:v>
                </c:pt>
                <c:pt idx="633">
                  <c:v>1.508268886127627</c:v>
                </c:pt>
                <c:pt idx="634">
                  <c:v>1.5124158735542335</c:v>
                </c:pt>
                <c:pt idx="635">
                  <c:v>1.5165764206559078</c:v>
                </c:pt>
                <c:pt idx="636">
                  <c:v>1.5207505843904792</c:v>
                </c:pt>
                <c:pt idx="637">
                  <c:v>1.5249384221822391</c:v>
                </c:pt>
                <c:pt idx="638">
                  <c:v>1.529139991926928</c:v>
                </c:pt>
                <c:pt idx="639">
                  <c:v>1.5333553519967862</c:v>
                </c:pt>
                <c:pt idx="640">
                  <c:v>1.537584561245674</c:v>
                </c:pt>
                <c:pt idx="641">
                  <c:v>1.5418276790142662</c:v>
                </c:pt>
                <c:pt idx="642">
                  <c:v>1.546084765135312</c:v>
                </c:pt>
                <c:pt idx="643">
                  <c:v>1.5503558799389749</c:v>
                </c:pt>
                <c:pt idx="644">
                  <c:v>1.5546410842582405</c:v>
                </c:pt>
                <c:pt idx="645">
                  <c:v>1.5589404394344035</c:v>
                </c:pt>
                <c:pt idx="646">
                  <c:v>1.5632540073226302</c:v>
                </c:pt>
                <c:pt idx="647">
                  <c:v>1.567581850297598</c:v>
                </c:pt>
                <c:pt idx="648">
                  <c:v>1.5719240312592155</c:v>
                </c:pt>
                <c:pt idx="649">
                  <c:v>1.5762806136384226</c:v>
                </c:pt>
                <c:pt idx="650">
                  <c:v>1.5806516614030721</c:v>
                </c:pt>
                <c:pt idx="651">
                  <c:v>1.5850372390638949</c:v>
                </c:pt>
                <c:pt idx="652">
                  <c:v>1.5894374116805503</c:v>
                </c:pt>
                <c:pt idx="653">
                  <c:v>1.5938522448677626</c:v>
                </c:pt>
                <c:pt idx="654">
                  <c:v>1.5982818048015441</c:v>
                </c:pt>
                <c:pt idx="655">
                  <c:v>1.6027261582255086</c:v>
                </c:pt>
                <c:pt idx="656">
                  <c:v>1.6071853724572753</c:v>
                </c:pt>
                <c:pt idx="657">
                  <c:v>1.6116595153949649</c:v>
                </c:pt>
                <c:pt idx="658">
                  <c:v>1.6161486555237892</c:v>
                </c:pt>
                <c:pt idx="659">
                  <c:v>1.6206528619227376</c:v>
                </c:pt>
                <c:pt idx="660">
                  <c:v>1.6251722042713583</c:v>
                </c:pt>
                <c:pt idx="661">
                  <c:v>1.6297067528566416</c:v>
                </c:pt>
                <c:pt idx="662">
                  <c:v>1.6342565785800014</c:v>
                </c:pt>
                <c:pt idx="663">
                  <c:v>1.6388217529643605</c:v>
                </c:pt>
                <c:pt idx="664">
                  <c:v>1.6434023481613389</c:v>
                </c:pt>
                <c:pt idx="665">
                  <c:v>1.6479984369585499</c:v>
                </c:pt>
                <c:pt idx="666">
                  <c:v>1.6526100927870024</c:v>
                </c:pt>
                <c:pt idx="667">
                  <c:v>1.6572373897286148</c:v>
                </c:pt>
                <c:pt idx="668">
                  <c:v>1.6618804025238396</c:v>
                </c:pt>
                <c:pt idx="669">
                  <c:v>1.6665392065794022</c:v>
                </c:pt>
                <c:pt idx="670">
                  <c:v>1.6712138779761563</c:v>
                </c:pt>
                <c:pt idx="671">
                  <c:v>1.6759044934770559</c:v>
                </c:pt>
                <c:pt idx="672">
                  <c:v>1.6806111305352498</c:v>
                </c:pt>
                <c:pt idx="673">
                  <c:v>1.685333867302296</c:v>
                </c:pt>
                <c:pt idx="674">
                  <c:v>1.6900727826365021</c:v>
                </c:pt>
                <c:pt idx="675">
                  <c:v>1.694827956111393</c:v>
                </c:pt>
                <c:pt idx="676">
                  <c:v>1.6995994680243074</c:v>
                </c:pt>
                <c:pt idx="677">
                  <c:v>1.7043873994051242</c:v>
                </c:pt>
                <c:pt idx="678">
                  <c:v>1.7091918320251256</c:v>
                </c:pt>
                <c:pt idx="679">
                  <c:v>1.7140128484059962</c:v>
                </c:pt>
                <c:pt idx="680">
                  <c:v>1.7188505318289604</c:v>
                </c:pt>
                <c:pt idx="681">
                  <c:v>1.7237049663440607</c:v>
                </c:pt>
                <c:pt idx="682">
                  <c:v>1.7285762367795818</c:v>
                </c:pt>
                <c:pt idx="683">
                  <c:v>1.7334644287516234</c:v>
                </c:pt>
                <c:pt idx="684">
                  <c:v>1.7383696286738166</c:v>
                </c:pt>
                <c:pt idx="685">
                  <c:v>1.7432919237672009</c:v>
                </c:pt>
                <c:pt idx="686">
                  <c:v>1.7482314020702521</c:v>
                </c:pt>
                <c:pt idx="687">
                  <c:v>1.7531881524490662</c:v>
                </c:pt>
                <c:pt idx="688">
                  <c:v>1.7581622646077155</c:v>
                </c:pt>
                <c:pt idx="689">
                  <c:v>1.7631538290987534</c:v>
                </c:pt>
                <c:pt idx="690">
                  <c:v>1.7681629373339007</c:v>
                </c:pt>
                <c:pt idx="691">
                  <c:v>1.7731896815948973</c:v>
                </c:pt>
                <c:pt idx="692">
                  <c:v>1.7782341550445278</c:v>
                </c:pt>
                <c:pt idx="693">
                  <c:v>1.7832964517378249</c:v>
                </c:pt>
                <c:pt idx="694">
                  <c:v>1.7883766666334575</c:v>
                </c:pt>
                <c:pt idx="695">
                  <c:v>1.7934748956052982</c:v>
                </c:pt>
                <c:pt idx="696">
                  <c:v>1.7985912354541831</c:v>
                </c:pt>
                <c:pt idx="697">
                  <c:v>1.8037257839198608</c:v>
                </c:pt>
                <c:pt idx="698">
                  <c:v>1.8088786396931413</c:v>
                </c:pt>
                <c:pt idx="699">
                  <c:v>1.8140499024282388</c:v>
                </c:pt>
                <c:pt idx="700">
                  <c:v>1.8192396727553231</c:v>
                </c:pt>
                <c:pt idx="701">
                  <c:v>1.8244480522932767</c:v>
                </c:pt>
                <c:pt idx="702">
                  <c:v>1.8296751436626639</c:v>
                </c:pt>
                <c:pt idx="703">
                  <c:v>1.8349210504989157</c:v>
                </c:pt>
                <c:pt idx="704">
                  <c:v>1.8401858774657356</c:v>
                </c:pt>
                <c:pt idx="705">
                  <c:v>1.8454697302687311</c:v>
                </c:pt>
                <c:pt idx="706">
                  <c:v>1.850772715669273</c:v>
                </c:pt>
                <c:pt idx="707">
                  <c:v>1.856094941498589</c:v>
                </c:pt>
                <c:pt idx="708">
                  <c:v>1.861436516672099</c:v>
                </c:pt>
                <c:pt idx="709">
                  <c:v>1.8667975512039896</c:v>
                </c:pt>
                <c:pt idx="710">
                  <c:v>1.8721781562220421</c:v>
                </c:pt>
                <c:pt idx="711">
                  <c:v>1.8775784439827112</c:v>
                </c:pt>
                <c:pt idx="712">
                  <c:v>1.8829985278864636</c:v>
                </c:pt>
                <c:pt idx="713">
                  <c:v>1.8884385224933826</c:v>
                </c:pt>
                <c:pt idx="714">
                  <c:v>1.8938985435390414</c:v>
                </c:pt>
                <c:pt idx="715">
                  <c:v>1.8993787079506519</c:v>
                </c:pt>
                <c:pt idx="716">
                  <c:v>1.9048791338634972</c:v>
                </c:pt>
                <c:pt idx="717">
                  <c:v>1.910399940637648</c:v>
                </c:pt>
                <c:pt idx="718">
                  <c:v>1.9159412488749767</c:v>
                </c:pt>
                <c:pt idx="719">
                  <c:v>1.921503180436468</c:v>
                </c:pt>
                <c:pt idx="720">
                  <c:v>1.9270858584598367</c:v>
                </c:pt>
                <c:pt idx="721">
                  <c:v>1.9326894073774601</c:v>
                </c:pt>
                <c:pt idx="722">
                  <c:v>1.9383139529346245</c:v>
                </c:pt>
                <c:pt idx="723">
                  <c:v>1.9439596222081059</c:v>
                </c:pt>
                <c:pt idx="724">
                  <c:v>1.9496265436250768</c:v>
                </c:pt>
                <c:pt idx="725">
                  <c:v>1.9553148469823571</c:v>
                </c:pt>
                <c:pt idx="726">
                  <c:v>1.9610246634660136</c:v>
                </c:pt>
                <c:pt idx="727">
                  <c:v>1.9667561256713106</c:v>
                </c:pt>
                <c:pt idx="728">
                  <c:v>1.9725093676230316</c:v>
                </c:pt>
                <c:pt idx="729">
                  <c:v>1.978284524796164</c:v>
                </c:pt>
                <c:pt idx="730">
                  <c:v>1.9840817341369692</c:v>
                </c:pt>
                <c:pt idx="731">
                  <c:v>1.9899011340844375</c:v>
                </c:pt>
                <c:pt idx="732">
                  <c:v>1.9957428645921427</c:v>
                </c:pt>
                <c:pt idx="733">
                  <c:v>2.0016070671504975</c:v>
                </c:pt>
                <c:pt idx="734">
                  <c:v>2.007493884809429</c:v>
                </c:pt>
                <c:pt idx="735">
                  <c:v>2.0134034622014738</c:v>
                </c:pt>
                <c:pt idx="736">
                  <c:v>2.0193359455653077</c:v>
                </c:pt>
                <c:pt idx="737">
                  <c:v>2.0252914827697213</c:v>
                </c:pt>
                <c:pt idx="738">
                  <c:v>2.0312702233380446</c:v>
                </c:pt>
                <c:pt idx="739">
                  <c:v>2.0372723184730388</c:v>
                </c:pt>
                <c:pt idx="740">
                  <c:v>2.0432979210822606</c:v>
                </c:pt>
                <c:pt idx="741">
                  <c:v>2.0493471858039141</c:v>
                </c:pt>
                <c:pt idx="742">
                  <c:v>2.0554202690331946</c:v>
                </c:pt>
                <c:pt idx="743">
                  <c:v>2.0615173289491477</c:v>
                </c:pt>
                <c:pt idx="744">
                  <c:v>2.0676385255420411</c:v>
                </c:pt>
                <c:pt idx="745">
                  <c:v>2.073784020641273</c:v>
                </c:pt>
                <c:pt idx="746">
                  <c:v>2.079953977943823</c:v>
                </c:pt>
                <c:pt idx="747">
                  <c:v>2.0861485630432628</c:v>
                </c:pt>
                <c:pt idx="748">
                  <c:v>2.0923679434593327</c:v>
                </c:pt>
                <c:pt idx="749">
                  <c:v>2.0986122886681096</c:v>
                </c:pt>
                <c:pt idx="750">
                  <c:v>2.1048817701327662</c:v>
                </c:pt>
                <c:pt idx="751">
                  <c:v>2.1111765613349451</c:v>
                </c:pt>
                <c:pt idx="752">
                  <c:v>2.1174968378067653</c:v>
                </c:pt>
                <c:pt idx="753">
                  <c:v>2.12384277716346</c:v>
                </c:pt>
                <c:pt idx="754">
                  <c:v>2.1302145591366832</c:v>
                </c:pt>
                <c:pt idx="755">
                  <c:v>2.1366123656084839</c:v>
                </c:pt>
                <c:pt idx="756">
                  <c:v>2.1430363806459738</c:v>
                </c:pt>
                <c:pt idx="757">
                  <c:v>2.1494867905367014</c:v>
                </c:pt>
                <c:pt idx="758">
                  <c:v>2.1559637838247503</c:v>
                </c:pt>
                <c:pt idx="759">
                  <c:v>2.1624675513475813</c:v>
                </c:pt>
                <c:pt idx="760">
                  <c:v>2.168998286273637</c:v>
                </c:pt>
                <c:pt idx="761">
                  <c:v>2.1755561841407229</c:v>
                </c:pt>
                <c:pt idx="762">
                  <c:v>2.1821414428951948</c:v>
                </c:pt>
                <c:pt idx="763">
                  <c:v>2.1887542629319574</c:v>
                </c:pt>
                <c:pt idx="764">
                  <c:v>2.1953948471353146</c:v>
                </c:pt>
                <c:pt idx="765">
                  <c:v>2.2020634009206708</c:v>
                </c:pt>
                <c:pt idx="766">
                  <c:v>2.2087601322771255</c:v>
                </c:pt>
                <c:pt idx="767">
                  <c:v>2.2154852518109709</c:v>
                </c:pt>
                <c:pt idx="768">
                  <c:v>2.2222389727901173</c:v>
                </c:pt>
                <c:pt idx="769">
                  <c:v>2.2290215111894796</c:v>
                </c:pt>
                <c:pt idx="770">
                  <c:v>2.2358330857373345</c:v>
                </c:pt>
                <c:pt idx="771">
                  <c:v>2.2426739179626898</c:v>
                </c:pt>
                <c:pt idx="772">
                  <c:v>2.2495442322436787</c:v>
                </c:pt>
                <c:pt idx="773">
                  <c:v>2.2564442558570175</c:v>
                </c:pt>
                <c:pt idx="774">
                  <c:v>2.263374219028544</c:v>
                </c:pt>
                <c:pt idx="775">
                  <c:v>2.2703343549848745</c:v>
                </c:pt>
                <c:pt idx="776">
                  <c:v>2.2773249000062044</c:v>
                </c:pt>
                <c:pt idx="777">
                  <c:v>2.2843460934802833</c:v>
                </c:pt>
                <c:pt idx="778">
                  <c:v>2.2913981779575967</c:v>
                </c:pt>
                <c:pt idx="779">
                  <c:v>2.2984813992077902</c:v>
                </c:pt>
                <c:pt idx="780">
                  <c:v>2.3055960062773604</c:v>
                </c:pt>
                <c:pt idx="781">
                  <c:v>2.3127422515486638</c:v>
                </c:pt>
                <c:pt idx="782">
                  <c:v>2.3199203908002568</c:v>
                </c:pt>
                <c:pt idx="783">
                  <c:v>2.3271306832686287</c:v>
                </c:pt>
                <c:pt idx="784">
                  <c:v>2.3343733917113436</c:v>
                </c:pt>
                <c:pt idx="785">
                  <c:v>2.3416487824716485</c:v>
                </c:pt>
                <c:pt idx="786">
                  <c:v>2.3489571255445743</c:v>
                </c:pt>
                <c:pt idx="787">
                  <c:v>2.3562986946445825</c:v>
                </c:pt>
                <c:pt idx="788">
                  <c:v>2.3636737672747938</c:v>
                </c:pt>
                <c:pt idx="789">
                  <c:v>2.3710826247978476</c:v>
                </c:pt>
                <c:pt idx="790">
                  <c:v>2.3785255525084352</c:v>
                </c:pt>
                <c:pt idx="791">
                  <c:v>2.3860028397075608</c:v>
                </c:pt>
                <c:pt idx="792">
                  <c:v>2.3935147797785716</c:v>
                </c:pt>
                <c:pt idx="793">
                  <c:v>2.4010616702650154</c:v>
                </c:pt>
                <c:pt idx="794">
                  <c:v>2.4086438129503729</c:v>
                </c:pt>
                <c:pt idx="795">
                  <c:v>2.4162615139397259</c:v>
                </c:pt>
                <c:pt idx="796">
                  <c:v>2.4239150837434105</c:v>
                </c:pt>
                <c:pt idx="797">
                  <c:v>2.4316048373627215</c:v>
                </c:pt>
                <c:pt idx="798">
                  <c:v>2.4393310943777213</c:v>
                </c:pt>
                <c:pt idx="799">
                  <c:v>2.4470941790372209</c:v>
                </c:pt>
                <c:pt idx="800">
                  <c:v>2.4548944203509993</c:v>
                </c:pt>
                <c:pt idx="801">
                  <c:v>2.4627321521843193</c:v>
                </c:pt>
                <c:pt idx="802">
                  <c:v>2.4706077133548234</c:v>
                </c:pt>
                <c:pt idx="803">
                  <c:v>2.4785214477318691</c:v>
                </c:pt>
                <c:pt idx="804">
                  <c:v>2.4864737043383824</c:v>
                </c:pt>
                <c:pt idx="805">
                  <c:v>2.4944648374553124</c:v>
                </c:pt>
                <c:pt idx="806">
                  <c:v>2.5024952067287582</c:v>
                </c:pt>
                <c:pt idx="807">
                  <c:v>2.5105651772798554</c:v>
                </c:pt>
                <c:pt idx="808">
                  <c:v>2.5186751198175106</c:v>
                </c:pt>
                <c:pt idx="809">
                  <c:v>2.5268254107540633</c:v>
                </c:pt>
                <c:pt idx="810">
                  <c:v>2.535016432323987</c:v>
                </c:pt>
                <c:pt idx="811">
                  <c:v>2.5432485727056968</c:v>
                </c:pt>
                <c:pt idx="812">
                  <c:v>2.5515222261465937</c:v>
                </c:pt>
                <c:pt idx="813">
                  <c:v>2.5598377930914245</c:v>
                </c:pt>
                <c:pt idx="814">
                  <c:v>2.5681956803140746</c:v>
                </c:pt>
                <c:pt idx="815">
                  <c:v>2.5765963010529074</c:v>
                </c:pt>
                <c:pt idx="816">
                  <c:v>2.58504007514976</c:v>
                </c:pt>
                <c:pt idx="817">
                  <c:v>2.5935274291927151</c:v>
                </c:pt>
                <c:pt idx="818">
                  <c:v>2.6020587966627753</c:v>
                </c:pt>
                <c:pt idx="819">
                  <c:v>2.6106346180845725</c:v>
                </c:pt>
                <c:pt idx="820">
                  <c:v>2.619255341181232</c:v>
                </c:pt>
                <c:pt idx="821">
                  <c:v>2.6279214210335566</c:v>
                </c:pt>
                <c:pt idx="822">
                  <c:v>2.6366333202436407</c:v>
                </c:pt>
                <c:pt idx="823">
                  <c:v>2.6453915091031006</c:v>
                </c:pt>
                <c:pt idx="824">
                  <c:v>2.6541964657660495</c:v>
                </c:pt>
                <c:pt idx="825">
                  <c:v>2.6630486764269961</c:v>
                </c:pt>
                <c:pt idx="826">
                  <c:v>2.6719486355038309</c:v>
                </c:pt>
                <c:pt idx="827">
                  <c:v>2.6808968458260716</c:v>
                </c:pt>
                <c:pt idx="828">
                  <c:v>2.6898938188285593</c:v>
                </c:pt>
                <c:pt idx="829">
                  <c:v>2.6989400747507966</c:v>
                </c:pt>
                <c:pt idx="830">
                  <c:v>2.7080361428421069</c:v>
                </c:pt>
                <c:pt idx="831">
                  <c:v>2.7171825615728578</c:v>
                </c:pt>
                <c:pt idx="832">
                  <c:v>2.7263798788519216</c:v>
                </c:pt>
                <c:pt idx="833">
                  <c:v>2.7356286522506363</c:v>
                </c:pt>
                <c:pt idx="834">
                  <c:v>2.7449294492334686</c:v>
                </c:pt>
                <c:pt idx="835">
                  <c:v>2.7542828473956487</c:v>
                </c:pt>
                <c:pt idx="836">
                  <c:v>2.7636894347080134</c:v>
                </c:pt>
                <c:pt idx="837">
                  <c:v>2.7731498097693286</c:v>
                </c:pt>
                <c:pt idx="838">
                  <c:v>2.7826645820663711</c:v>
                </c:pt>
                <c:pt idx="839">
                  <c:v>2.7922343722420537</c:v>
                </c:pt>
                <c:pt idx="840">
                  <c:v>2.8018598123718936</c:v>
                </c:pt>
                <c:pt idx="841">
                  <c:v>2.8115415462491486</c:v>
                </c:pt>
                <c:pt idx="842">
                  <c:v>2.8212802296789286</c:v>
                </c:pt>
                <c:pt idx="843">
                  <c:v>2.8310765307816563</c:v>
                </c:pt>
                <c:pt idx="844">
                  <c:v>2.8409311303062008</c:v>
                </c:pt>
                <c:pt idx="845">
                  <c:v>2.8508447219530879</c:v>
                </c:pt>
                <c:pt idx="846">
                  <c:v>2.8608180127081617</c:v>
                </c:pt>
                <c:pt idx="847">
                  <c:v>2.8708517231871098</c:v>
                </c:pt>
                <c:pt idx="848">
                  <c:v>2.8809465879912901</c:v>
                </c:pt>
                <c:pt idx="849">
                  <c:v>2.8911033560752903</c:v>
                </c:pt>
                <c:pt idx="850">
                  <c:v>2.9013227911267059</c:v>
                </c:pt>
                <c:pt idx="851">
                  <c:v>2.9116056719586201</c:v>
                </c:pt>
                <c:pt idx="852">
                  <c:v>2.9219527929152935</c:v>
                </c:pt>
                <c:pt idx="853">
                  <c:v>2.9323649642916236</c:v>
                </c:pt>
                <c:pt idx="854">
                  <c:v>2.9428430127669101</c:v>
                </c:pt>
                <c:pt idx="855">
                  <c:v>2.9533877818535439</c:v>
                </c:pt>
                <c:pt idx="856">
                  <c:v>2.9640001323612237</c:v>
                </c:pt>
                <c:pt idx="857">
                  <c:v>2.9746809428773613</c:v>
                </c:pt>
                <c:pt idx="858">
                  <c:v>2.9854311102643507</c:v>
                </c:pt>
                <c:pt idx="859">
                  <c:v>2.99625155017443</c:v>
                </c:pt>
                <c:pt idx="860">
                  <c:v>3.0071431975828737</c:v>
                </c:pt>
                <c:pt idx="861">
                  <c:v>3.01810700734032</c:v>
                </c:pt>
                <c:pt idx="862">
                  <c:v>3.029143954745058</c:v>
                </c:pt>
                <c:pt idx="863">
                  <c:v>3.040255036136152</c:v>
                </c:pt>
                <c:pt idx="864">
                  <c:v>3.0514412695083135</c:v>
                </c:pt>
                <c:pt idx="865">
                  <c:v>3.0627036951495032</c:v>
                </c:pt>
                <c:pt idx="866">
                  <c:v>3.0740433763022601</c:v>
                </c:pt>
                <c:pt idx="867">
                  <c:v>3.0854613998498452</c:v>
                </c:pt>
                <c:pt idx="868">
                  <c:v>3.0969588770283201</c:v>
                </c:pt>
                <c:pt idx="869">
                  <c:v>3.1085369441657438</c:v>
                </c:pt>
                <c:pt idx="870">
                  <c:v>3.1201967634497527</c:v>
                </c:pt>
                <c:pt idx="871">
                  <c:v>3.1319395237248249</c:v>
                </c:pt>
                <c:pt idx="872">
                  <c:v>3.1437664413206408</c:v>
                </c:pt>
                <c:pt idx="873">
                  <c:v>3.155678760912993</c:v>
                </c:pt>
                <c:pt idx="874">
                  <c:v>3.1676777564188043</c:v>
                </c:pt>
                <c:pt idx="875">
                  <c:v>3.1797647319268902</c:v>
                </c:pt>
                <c:pt idx="876">
                  <c:v>3.1919410226661915</c:v>
                </c:pt>
                <c:pt idx="877">
                  <c:v>3.2042079960133107</c:v>
                </c:pt>
                <c:pt idx="878">
                  <c:v>3.2165670525412891</c:v>
                </c:pt>
                <c:pt idx="879">
                  <c:v>3.2290196271116547</c:v>
                </c:pt>
                <c:pt idx="880">
                  <c:v>3.2415671900119274</c:v>
                </c:pt>
                <c:pt idx="881">
                  <c:v>3.2542112481408569</c:v>
                </c:pt>
                <c:pt idx="882">
                  <c:v>3.2669533462438327</c:v>
                </c:pt>
                <c:pt idx="883">
                  <c:v>3.2797950682010395</c:v>
                </c:pt>
                <c:pt idx="884">
                  <c:v>3.2927380383710765</c:v>
                </c:pt>
                <c:pt idx="885">
                  <c:v>3.3057839229929602</c:v>
                </c:pt>
                <c:pt idx="886">
                  <c:v>3.318934431649565</c:v>
                </c:pt>
                <c:pt idx="887">
                  <c:v>3.3321913187957755</c:v>
                </c:pt>
                <c:pt idx="888">
                  <c:v>3.3455563853548216</c:v>
                </c:pt>
                <c:pt idx="889">
                  <c:v>3.3590314803864874</c:v>
                </c:pt>
                <c:pt idx="890">
                  <c:v>3.3726185028311129</c:v>
                </c:pt>
                <c:pt idx="891">
                  <c:v>3.386319403333574</c:v>
                </c:pt>
                <c:pt idx="892">
                  <c:v>3.4001361861516806</c:v>
                </c:pt>
                <c:pt idx="893">
                  <c:v>3.4140709111537468</c:v>
                </c:pt>
                <c:pt idx="894">
                  <c:v>3.4281256959103699</c:v>
                </c:pt>
                <c:pt idx="895">
                  <c:v>3.4423027178858301</c:v>
                </c:pt>
                <c:pt idx="896">
                  <c:v>3.4566042167348545</c:v>
                </c:pt>
                <c:pt idx="897">
                  <c:v>3.4710324967108934</c:v>
                </c:pt>
                <c:pt idx="898">
                  <c:v>3.4855899291924932</c:v>
                </c:pt>
                <c:pt idx="899">
                  <c:v>3.5002789553347764</c:v>
                </c:pt>
                <c:pt idx="900">
                  <c:v>3.5151020888535713</c:v>
                </c:pt>
                <c:pt idx="901">
                  <c:v>3.5300619189502216</c:v>
                </c:pt>
                <c:pt idx="902">
                  <c:v>3.5451611133857339</c:v>
                </c:pt>
                <c:pt idx="903">
                  <c:v>3.5604024217135017</c:v>
                </c:pt>
                <c:pt idx="904">
                  <c:v>3.5757886786805511</c:v>
                </c:pt>
                <c:pt idx="905">
                  <c:v>3.5913228078079698</c:v>
                </c:pt>
                <c:pt idx="906">
                  <c:v>3.6070078251619844</c:v>
                </c:pt>
                <c:pt idx="907">
                  <c:v>3.6228468433280345</c:v>
                </c:pt>
                <c:pt idx="908">
                  <c:v>3.6388430756010877</c:v>
                </c:pt>
                <c:pt idx="909">
                  <c:v>3.6549998404065205</c:v>
                </c:pt>
                <c:pt idx="910">
                  <c:v>3.6713205659669619</c:v>
                </c:pt>
                <c:pt idx="911">
                  <c:v>3.6878087952317422</c:v>
                </c:pt>
                <c:pt idx="912">
                  <c:v>3.7044681910868937</c:v>
                </c:pt>
                <c:pt idx="913">
                  <c:v>3.7213025418651258</c:v>
                </c:pt>
                <c:pt idx="914">
                  <c:v>3.7383157671767564</c:v>
                </c:pt>
                <c:pt idx="915">
                  <c:v>3.7555119240843444</c:v>
                </c:pt>
                <c:pt idx="916">
                  <c:v>3.7728952136456435</c:v>
                </c:pt>
                <c:pt idx="917">
                  <c:v>3.7904699878516133</c:v>
                </c:pt>
                <c:pt idx="918">
                  <c:v>3.8082407569884822</c:v>
                </c:pt>
                <c:pt idx="919">
                  <c:v>3.8262121974554031</c:v>
                </c:pt>
                <c:pt idx="920">
                  <c:v>3.8443891600719935</c:v>
                </c:pt>
                <c:pt idx="921">
                  <c:v>3.8627766789131308</c:v>
                </c:pt>
                <c:pt idx="922">
                  <c:v>3.8813799807116989</c:v>
                </c:pt>
                <c:pt idx="923">
                  <c:v>3.9002044948737531</c:v>
                </c:pt>
                <c:pt idx="924">
                  <c:v>3.9192558641546484</c:v>
                </c:pt>
                <c:pt idx="925">
                  <c:v>3.9385399560492456</c:v>
                </c:pt>
                <c:pt idx="926">
                  <c:v>3.9580628749543472</c:v>
                </c:pt>
                <c:pt idx="927">
                  <c:v>3.9778309751671515</c:v>
                </c:pt>
                <c:pt idx="928">
                  <c:v>3.997850874789711</c:v>
                </c:pt>
                <c:pt idx="929">
                  <c:v>4.0181294706163344</c:v>
                </c:pt>
                <c:pt idx="930">
                  <c:v>4.0386739540886349</c:v>
                </c:pt>
                <c:pt idx="931">
                  <c:v>4.0594918284115149</c:v>
                </c:pt>
                <c:pt idx="932">
                  <c:v>4.0805909269330973</c:v>
                </c:pt>
                <c:pt idx="933">
                  <c:v>4.1019794329024029</c:v>
                </c:pt>
                <c:pt idx="934">
                  <c:v>4.1236659007307299</c:v>
                </c:pt>
                <c:pt idx="935">
                  <c:v>4.1456592788963444</c:v>
                </c:pt>
                <c:pt idx="936">
                  <c:v>4.1679689346474618</c:v>
                </c:pt>
                <c:pt idx="937">
                  <c:v>4.1906046806758193</c:v>
                </c:pt>
                <c:pt idx="938">
                  <c:v>4.2135768039527699</c:v>
                </c:pt>
                <c:pt idx="939">
                  <c:v>4.2368960969419138</c:v>
                </c:pt>
                <c:pt idx="940">
                  <c:v>4.2605738914275673</c:v>
                </c:pt>
                <c:pt idx="941">
                  <c:v>4.2846220952268315</c:v>
                </c:pt>
                <c:pt idx="942">
                  <c:v>4.3090532320856809</c:v>
                </c:pt>
                <c:pt idx="943">
                  <c:v>4.3338804850966204</c:v>
                </c:pt>
                <c:pt idx="944">
                  <c:v>4.3591177440179916</c:v>
                </c:pt>
                <c:pt idx="945">
                  <c:v>4.3847796569237918</c:v>
                </c:pt>
                <c:pt idx="946">
                  <c:v>4.4108816866689082</c:v>
                </c:pt>
                <c:pt idx="947">
                  <c:v>4.4374401727192589</c:v>
                </c:pt>
                <c:pt idx="948">
                  <c:v>4.4644723989709307</c:v>
                </c:pt>
                <c:pt idx="949">
                  <c:v>4.4919966682688797</c:v>
                </c:pt>
                <c:pt idx="950">
                  <c:v>4.5200323844360728</c:v>
                </c:pt>
                <c:pt idx="951">
                  <c:v>4.5486001427409413</c:v>
                </c:pt>
                <c:pt idx="952">
                  <c:v>4.577721829867607</c:v>
                </c:pt>
                <c:pt idx="953">
                  <c:v>4.6074207346134424</c:v>
                </c:pt>
                <c:pt idx="954">
                  <c:v>4.6377216707267896</c:v>
                </c:pt>
                <c:pt idx="955">
                  <c:v>4.6686511135197124</c:v>
                </c:pt>
                <c:pt idx="956">
                  <c:v>4.700237352153545</c:v>
                </c:pt>
                <c:pt idx="957">
                  <c:v>4.7325106598073807</c:v>
                </c:pt>
                <c:pt idx="958">
                  <c:v>4.7655034843121271</c:v>
                </c:pt>
                <c:pt idx="959">
                  <c:v>4.7992506622789355</c:v>
                </c:pt>
                <c:pt idx="960">
                  <c:v>4.8337896602871719</c:v>
                </c:pt>
                <c:pt idx="961">
                  <c:v>4.8691608473449906</c:v>
                </c:pt>
                <c:pt idx="962">
                  <c:v>4.9054078036215962</c:v>
                </c:pt>
                <c:pt idx="963">
                  <c:v>4.9425776714085767</c:v>
                </c:pt>
                <c:pt idx="964">
                  <c:v>4.9807215554418622</c:v>
                </c:pt>
                <c:pt idx="965">
                  <c:v>5.0198949811623468</c:v>
                </c:pt>
                <c:pt idx="966">
                  <c:v>5.0601584212850472</c:v>
                </c:pt>
                <c:pt idx="967">
                  <c:v>5.1015779032795541</c:v>
                </c:pt>
                <c:pt idx="968">
                  <c:v>5.1442257131646256</c:v>
                </c:pt>
                <c:pt idx="969">
                  <c:v>5.1881812145542447</c:v>
                </c:pt>
                <c:pt idx="970">
                  <c:v>5.2335318063857015</c:v>
                </c:pt>
                <c:pt idx="971">
                  <c:v>5.280374048515025</c:v>
                </c:pt>
                <c:pt idx="972">
                  <c:v>5.3288149917944239</c:v>
                </c:pt>
                <c:pt idx="973">
                  <c:v>5.3789737589195203</c:v>
                </c:pt>
                <c:pt idx="974">
                  <c:v>5.430983435043256</c:v>
                </c:pt>
                <c:pt idx="975">
                  <c:v>5.4849933440148231</c:v>
                </c:pt>
                <c:pt idx="976">
                  <c:v>5.541171808707297</c:v>
                </c:pt>
                <c:pt idx="977">
                  <c:v>5.5997095245466344</c:v>
                </c:pt>
                <c:pt idx="978">
                  <c:v>5.6608237174184319</c:v>
                </c:pt>
                <c:pt idx="979">
                  <c:v>5.7247633156248448</c:v>
                </c:pt>
                <c:pt idx="980">
                  <c:v>5.7918154480876343</c:v>
                </c:pt>
                <c:pt idx="981">
                  <c:v>5.8623136992526792</c:v>
                </c:pt>
                <c:pt idx="982">
                  <c:v>5.9366487235590739</c:v>
                </c:pt>
                <c:pt idx="983">
                  <c:v>6.0152820784908334</c:v>
                </c:pt>
                <c:pt idx="984">
                  <c:v>6.0987645238765635</c:v>
                </c:pt>
                <c:pt idx="985">
                  <c:v>6.1877606387094382</c:v>
                </c:pt>
                <c:pt idx="986">
                  <c:v>6.2830825690957663</c:v>
                </c:pt>
                <c:pt idx="987">
                  <c:v>6.3857373012627701</c:v>
                </c:pt>
                <c:pt idx="988">
                  <c:v>6.4969945376430651</c:v>
                </c:pt>
                <c:pt idx="989">
                  <c:v>6.6184869929519312</c:v>
                </c:pt>
                <c:pt idx="990">
                  <c:v>6.7523636798285391</c:v>
                </c:pt>
                <c:pt idx="991">
                  <c:v>6.901533802673109</c:v>
                </c:pt>
                <c:pt idx="992">
                  <c:v>7.0700742753874106</c:v>
                </c:pt>
                <c:pt idx="993">
                  <c:v>7.2639533428728011</c:v>
                </c:pt>
                <c:pt idx="994">
                  <c:v>7.4924196138877823</c:v>
                </c:pt>
                <c:pt idx="995">
                  <c:v>7.770960145841741</c:v>
                </c:pt>
                <c:pt idx="996">
                  <c:v>8.1285945048738721</c:v>
                </c:pt>
                <c:pt idx="997">
                  <c:v>8.6304420620032367</c:v>
                </c:pt>
                <c:pt idx="998">
                  <c:v>9.4841902934070976</c:v>
                </c:pt>
              </c:numCache>
            </c:numRef>
          </c:xVal>
          <c:yVal>
            <c:numRef>
              <c:f>'Example 1 (valid)'!$G$66:$G$1064</c:f>
              <c:numCache>
                <c:formatCode>0.000000</c:formatCode>
                <c:ptCount val="999"/>
                <c:pt idx="0">
                  <c:v>-1.3139044212708715</c:v>
                </c:pt>
                <c:pt idx="1">
                  <c:v>-1.2638145494602191</c:v>
                </c:pt>
                <c:pt idx="2">
                  <c:v>-1.2356384210785429</c:v>
                </c:pt>
                <c:pt idx="3">
                  <c:v>-1.2163511168067767</c:v>
                </c:pt>
                <c:pt idx="4">
                  <c:v>-1.2018901889302198</c:v>
                </c:pt>
                <c:pt idx="5">
                  <c:v>-1.1904543110567747</c:v>
                </c:pt>
                <c:pt idx="6">
                  <c:v>-1.1810868823072702</c:v>
                </c:pt>
                <c:pt idx="7">
                  <c:v>-1.1732194259129385</c:v>
                </c:pt>
                <c:pt idx="8">
                  <c:v>-1.1664868836823303</c:v>
                </c:pt>
                <c:pt idx="9">
                  <c:v>-1.1606410988229903</c:v>
                </c:pt>
                <c:pt idx="10">
                  <c:v>-1.1555058553029207</c:v>
                </c:pt>
                <c:pt idx="11">
                  <c:v>-1.1509516195032636</c:v>
                </c:pt>
                <c:pt idx="12">
                  <c:v>-1.1468804602542517</c:v>
                </c:pt>
                <c:pt idx="13">
                  <c:v>-1.1432165942147112</c:v>
                </c:pt>
                <c:pt idx="14">
                  <c:v>-1.1399002146559842</c:v>
                </c:pt>
                <c:pt idx="15">
                  <c:v>-1.1368833251855297</c:v>
                </c:pt>
                <c:pt idx="16">
                  <c:v>-1.1341268451451623</c:v>
                </c:pt>
                <c:pt idx="17">
                  <c:v>-1.1315985481901407</c:v>
                </c:pt>
                <c:pt idx="18">
                  <c:v>-1.1292715622793708</c:v>
                </c:pt>
                <c:pt idx="19">
                  <c:v>-1.1271232573332914</c:v>
                </c:pt>
                <c:pt idx="20">
                  <c:v>-1.1251344064261533</c:v>
                </c:pt>
                <c:pt idx="21">
                  <c:v>-1.1232885437168567</c:v>
                </c:pt>
                <c:pt idx="22">
                  <c:v>-1.1215714663298517</c:v>
                </c:pt>
                <c:pt idx="23">
                  <c:v>-1.1199708431987476</c:v>
                </c:pt>
                <c:pt idx="24">
                  <c:v>-1.1184759045056982</c:v>
                </c:pt>
                <c:pt idx="25">
                  <c:v>-1.1170771926243657</c:v>
                </c:pt>
                <c:pt idx="26">
                  <c:v>-1.1157663605436985</c:v>
                </c:pt>
                <c:pt idx="27">
                  <c:v>-1.1145360073381856</c:v>
                </c:pt>
                <c:pt idx="28">
                  <c:v>-1.1133795428270719</c:v>
                </c:pt>
                <c:pt idx="29">
                  <c:v>-1.1122910754399769</c:v>
                </c:pt>
                <c:pt idx="30">
                  <c:v>-1.1112653186873054</c:v>
                </c:pt>
                <c:pt idx="31">
                  <c:v>-1.1102975126625056</c:v>
                </c:pt>
                <c:pt idx="32">
                  <c:v>-1.1093833577774452</c:v>
                </c:pt>
                <c:pt idx="33">
                  <c:v>-1.1085189585206807</c:v>
                </c:pt>
                <c:pt idx="34">
                  <c:v>-1.1077007754797141</c:v>
                </c:pt>
                <c:pt idx="35">
                  <c:v>-1.1069255842174668</c:v>
                </c:pt>
                <c:pt idx="36">
                  <c:v>-1.1061904398654154</c:v>
                </c:pt>
                <c:pt idx="37">
                  <c:v>-1.1054926465096457</c:v>
                </c:pt>
                <c:pt idx="38">
                  <c:v>-1.1048297306152635</c:v>
                </c:pt>
                <c:pt idx="39">
                  <c:v>-1.1041994178692958</c:v>
                </c:pt>
                <c:pt idx="40">
                  <c:v>-1.1035996129301751</c:v>
                </c:pt>
                <c:pt idx="41">
                  <c:v>-1.1030283816589064</c:v>
                </c:pt>
                <c:pt idx="42">
                  <c:v>-1.1024839354775762</c:v>
                </c:pt>
                <c:pt idx="43">
                  <c:v>-1.1019646175583344</c:v>
                </c:pt>
                <c:pt idx="44">
                  <c:v>-1.1014688905930803</c:v>
                </c:pt>
                <c:pt idx="45">
                  <c:v>-1.1009953259328369</c:v>
                </c:pt>
                <c:pt idx="46">
                  <c:v>-1.1005425939178499</c:v>
                </c:pt>
                <c:pt idx="47">
                  <c:v>-1.1001094552460531</c:v>
                </c:pt>
                <c:pt idx="48">
                  <c:v>-1.099694753249731</c:v>
                </c:pt>
                <c:pt idx="49">
                  <c:v>-1.099297406968812</c:v>
                </c:pt>
                <c:pt idx="50">
                  <c:v>-1.0989164049248137</c:v>
                </c:pt>
                <c:pt idx="51">
                  <c:v>-1.0985507995126556</c:v>
                </c:pt>
                <c:pt idx="52">
                  <c:v>-1.0981997019386931</c:v>
                </c:pt>
                <c:pt idx="53">
                  <c:v>-1.0978622776428089</c:v>
                </c:pt>
                <c:pt idx="54">
                  <c:v>-1.097537742150454</c:v>
                </c:pt>
                <c:pt idx="55">
                  <c:v>-1.0972253573074398</c:v>
                </c:pt>
                <c:pt idx="56">
                  <c:v>-1.0969244278561843</c:v>
                </c:pt>
                <c:pt idx="57">
                  <c:v>-1.0966342983172139</c:v>
                </c:pt>
                <c:pt idx="58">
                  <c:v>-1.0963543501440827</c:v>
                </c:pt>
                <c:pt idx="59">
                  <c:v>-1.0960839991236826</c:v>
                </c:pt>
                <c:pt idx="60">
                  <c:v>-1.0958226929971877</c:v>
                </c:pt>
                <c:pt idx="61">
                  <c:v>-1.09556990927972</c:v>
                </c:pt>
                <c:pt idx="62">
                  <c:v>-1.0953251532593349</c:v>
                </c:pt>
                <c:pt idx="63">
                  <c:v>-1.0950879561580542</c:v>
                </c:pt>
                <c:pt idx="64">
                  <c:v>-1.0948578734396097</c:v>
                </c:pt>
                <c:pt idx="65">
                  <c:v>-1.0946344832501942</c:v>
                </c:pt>
                <c:pt idx="66">
                  <c:v>-1.0944173849799885</c:v>
                </c:pt>
                <c:pt idx="67">
                  <c:v>-1.0942061979345219</c:v>
                </c:pt>
                <c:pt idx="68">
                  <c:v>-1.0940005601060505</c:v>
                </c:pt>
                <c:pt idx="69">
                  <c:v>-1.0938001270361437</c:v>
                </c:pt>
                <c:pt idx="70">
                  <c:v>-1.0936045707615585</c:v>
                </c:pt>
                <c:pt idx="71">
                  <c:v>-1.0934135788362598</c:v>
                </c:pt>
                <c:pt idx="72">
                  <c:v>-1.093226853423158</c:v>
                </c:pt>
                <c:pt idx="73">
                  <c:v>-1.0930441104497395</c:v>
                </c:pt>
                <c:pt idx="74">
                  <c:v>-1.0928650788223404</c:v>
                </c:pt>
                <c:pt idx="75">
                  <c:v>-1.0926894996942897</c:v>
                </c:pt>
                <c:pt idx="76">
                  <c:v>-1.0925171257836079</c:v>
                </c:pt>
                <c:pt idx="77">
                  <c:v>-1.0923477207363288</c:v>
                </c:pt>
                <c:pt idx="78">
                  <c:v>-1.0921810585318799</c:v>
                </c:pt>
                <c:pt idx="79">
                  <c:v>-1.0920169229272694</c:v>
                </c:pt>
                <c:pt idx="80">
                  <c:v>-1.0918551069371158</c:v>
                </c:pt>
                <c:pt idx="81">
                  <c:v>-1.0916954123468221</c:v>
                </c:pt>
                <c:pt idx="82">
                  <c:v>-1.0915376492564124</c:v>
                </c:pt>
                <c:pt idx="83">
                  <c:v>-1.0913816356527861</c:v>
                </c:pt>
                <c:pt idx="84">
                  <c:v>-1.0912271970083069</c:v>
                </c:pt>
                <c:pt idx="85">
                  <c:v>-1.0910741659038372</c:v>
                </c:pt>
                <c:pt idx="86">
                  <c:v>-1.0909223816744782</c:v>
                </c:pt>
                <c:pt idx="87">
                  <c:v>-1.0907716900764095</c:v>
                </c:pt>
                <c:pt idx="88">
                  <c:v>-1.0906219429733679</c:v>
                </c:pt>
                <c:pt idx="89">
                  <c:v>-1.0904729980414058</c:v>
                </c:pt>
                <c:pt idx="90">
                  <c:v>-1.0903247184906844</c:v>
                </c:pt>
                <c:pt idx="91">
                  <c:v>-1.0901769728031572</c:v>
                </c:pt>
                <c:pt idx="92">
                  <c:v>-1.0900296344850764</c:v>
                </c:pt>
                <c:pt idx="93">
                  <c:v>-1.0898825818333484</c:v>
                </c:pt>
                <c:pt idx="94">
                  <c:v>-1.0897356977148318</c:v>
                </c:pt>
                <c:pt idx="95">
                  <c:v>-1.08958886935774</c:v>
                </c:pt>
                <c:pt idx="96">
                  <c:v>-1.0894419881543693</c:v>
                </c:pt>
                <c:pt idx="97">
                  <c:v>-1.0892949494744451</c:v>
                </c:pt>
                <c:pt idx="98">
                  <c:v>-1.0891476524884023</c:v>
                </c:pt>
                <c:pt idx="99">
                  <c:v>-1.089</c:v>
                </c:pt>
                <c:pt idx="100">
                  <c:v>-1.0888518982876816</c:v>
                </c:pt>
                <c:pt idx="101">
                  <c:v>-1.0887032569541519</c:v>
                </c:pt>
                <c:pt idx="102">
                  <c:v>-1.0885539887836764</c:v>
                </c:pt>
                <c:pt idx="103">
                  <c:v>-1.0884040096066367</c:v>
                </c:pt>
                <c:pt idx="104">
                  <c:v>-1.0882532381709136</c:v>
                </c:pt>
                <c:pt idx="105">
                  <c:v>-1.0881015960196931</c:v>
                </c:pt>
                <c:pt idx="106">
                  <c:v>-1.0879490073753271</c:v>
                </c:pt>
                <c:pt idx="107">
                  <c:v>-1.0877953990288911</c:v>
                </c:pt>
                <c:pt idx="108">
                  <c:v>-1.0876407002351218</c:v>
                </c:pt>
                <c:pt idx="109">
                  <c:v>-1.0874848426124206</c:v>
                </c:pt>
                <c:pt idx="110">
                  <c:v>-1.087327760047641</c:v>
                </c:pt>
                <c:pt idx="111">
                  <c:v>-1.0871693886054006</c:v>
                </c:pt>
                <c:pt idx="112">
                  <c:v>-1.0870096664416522</c:v>
                </c:pt>
                <c:pt idx="113">
                  <c:v>-1.0868485337212941</c:v>
                </c:pt>
                <c:pt idx="114">
                  <c:v>-1.0866859325395941</c:v>
                </c:pt>
                <c:pt idx="115">
                  <c:v>-1.086521806847222</c:v>
                </c:pt>
                <c:pt idx="116">
                  <c:v>-1.0863561023786967</c:v>
                </c:pt>
                <c:pt idx="117">
                  <c:v>-1.0861887665840688</c:v>
                </c:pt>
                <c:pt idx="118">
                  <c:v>-1.0860197485636682</c:v>
                </c:pt>
                <c:pt idx="119">
                  <c:v>-1.0858489990057534</c:v>
                </c:pt>
                <c:pt idx="120">
                  <c:v>-1.085676470126917</c:v>
                </c:pt>
                <c:pt idx="121">
                  <c:v>-1.0855021156151026</c:v>
                </c:pt>
                <c:pt idx="122">
                  <c:v>-1.0853258905750995</c:v>
                </c:pt>
                <c:pt idx="123">
                  <c:v>-1.0851477514763934</c:v>
                </c:pt>
                <c:pt idx="124">
                  <c:v>-1.0849676561032493</c:v>
                </c:pt>
                <c:pt idx="125">
                  <c:v>-1.0847855635069199</c:v>
                </c:pt>
                <c:pt idx="126">
                  <c:v>-1.084601433959874</c:v>
                </c:pt>
                <c:pt idx="127">
                  <c:v>-1.0844152289119418</c:v>
                </c:pt>
                <c:pt idx="128">
                  <c:v>-1.0842269109482887</c:v>
                </c:pt>
                <c:pt idx="129">
                  <c:v>-1.0840364437491239</c:v>
                </c:pt>
                <c:pt idx="130">
                  <c:v>-1.0838437920510664</c:v>
                </c:pt>
                <c:pt idx="131">
                  <c:v>-1.0836489216100849</c:v>
                </c:pt>
                <c:pt idx="132">
                  <c:v>-1.0834517991659376</c:v>
                </c:pt>
                <c:pt idx="133">
                  <c:v>-1.0832523924080422</c:v>
                </c:pt>
                <c:pt idx="134">
                  <c:v>-1.0830506699427114</c:v>
                </c:pt>
                <c:pt idx="135">
                  <c:v>-1.0828466012616855</c:v>
                </c:pt>
                <c:pt idx="136">
                  <c:v>-1.0826401567119071</c:v>
                </c:pt>
                <c:pt idx="137">
                  <c:v>-1.0824313074664778</c:v>
                </c:pt>
                <c:pt idx="138">
                  <c:v>-1.0822200254967469</c:v>
                </c:pt>
                <c:pt idx="139">
                  <c:v>-1.0820062835454767</c:v>
                </c:pt>
                <c:pt idx="140">
                  <c:v>-1.0817900551010387</c:v>
                </c:pt>
                <c:pt idx="141">
                  <c:v>-1.0815713143725942</c:v>
                </c:pt>
                <c:pt idx="142">
                  <c:v>-1.0813500362662167</c:v>
                </c:pt>
                <c:pt idx="143">
                  <c:v>-1.0811261963619128</c:v>
                </c:pt>
                <c:pt idx="144">
                  <c:v>-1.0808997708915045</c:v>
                </c:pt>
                <c:pt idx="145">
                  <c:v>-1.0806707367173309</c:v>
                </c:pt>
                <c:pt idx="146">
                  <c:v>-1.0804390713117451</c:v>
                </c:pt>
                <c:pt idx="147">
                  <c:v>-1.0802047527373551</c:v>
                </c:pt>
                <c:pt idx="148">
                  <c:v>-1.0799677596279933</c:v>
                </c:pt>
                <c:pt idx="149">
                  <c:v>-1.0797280711703756</c:v>
                </c:pt>
                <c:pt idx="150">
                  <c:v>-1.0794856670864192</c:v>
                </c:pt>
                <c:pt idx="151">
                  <c:v>-1.0792405276162009</c:v>
                </c:pt>
                <c:pt idx="152">
                  <c:v>-1.078992633501517</c:v>
                </c:pt>
                <c:pt idx="153">
                  <c:v>-1.0787419659700297</c:v>
                </c:pt>
                <c:pt idx="154">
                  <c:v>-1.0784885067199732</c:v>
                </c:pt>
                <c:pt idx="155">
                  <c:v>-1.0782322379053924</c:v>
                </c:pt>
                <c:pt idx="156">
                  <c:v>-1.0779731421218997</c:v>
                </c:pt>
                <c:pt idx="157">
                  <c:v>-1.0777112023929236</c:v>
                </c:pt>
                <c:pt idx="158">
                  <c:v>-1.0774464021564309</c:v>
                </c:pt>
                <c:pt idx="159">
                  <c:v>-1.0771787252521052</c:v>
                </c:pt>
                <c:pt idx="160">
                  <c:v>-1.0769081559089617</c:v>
                </c:pt>
                <c:pt idx="161">
                  <c:v>-1.0766346787333807</c:v>
                </c:pt>
                <c:pt idx="162">
                  <c:v>-1.0763582786975467</c:v>
                </c:pt>
                <c:pt idx="163">
                  <c:v>-1.076078941128273</c:v>
                </c:pt>
                <c:pt idx="164">
                  <c:v>-1.0757966516961996</c:v>
                </c:pt>
                <c:pt idx="165">
                  <c:v>-1.0755113964053495</c:v>
                </c:pt>
                <c:pt idx="166">
                  <c:v>-1.0752231615830299</c:v>
                </c:pt>
                <c:pt idx="167">
                  <c:v>-1.074931933870062</c:v>
                </c:pt>
                <c:pt idx="168">
                  <c:v>-1.0746377002113348</c:v>
                </c:pt>
                <c:pt idx="169">
                  <c:v>-1.0743404478466592</c:v>
                </c:pt>
                <c:pt idx="170">
                  <c:v>-1.0740401643019239</c:v>
                </c:pt>
                <c:pt idx="171">
                  <c:v>-1.0737368373805294</c:v>
                </c:pt>
                <c:pt idx="172">
                  <c:v>-1.0734304551551004</c:v>
                </c:pt>
                <c:pt idx="173">
                  <c:v>-1.0731210059594589</c:v>
                </c:pt>
                <c:pt idx="174">
                  <c:v>-1.0728084783808531</c:v>
                </c:pt>
                <c:pt idx="175">
                  <c:v>-1.0724928612524296</c:v>
                </c:pt>
                <c:pt idx="176">
                  <c:v>-1.0721741436459407</c:v>
                </c:pt>
                <c:pt idx="177">
                  <c:v>-1.0718523148646819</c:v>
                </c:pt>
                <c:pt idx="178">
                  <c:v>-1.0715273644366448</c:v>
                </c:pt>
                <c:pt idx="179">
                  <c:v>-1.0711992821078826</c:v>
                </c:pt>
                <c:pt idx="180">
                  <c:v>-1.0708680578360807</c:v>
                </c:pt>
                <c:pt idx="181">
                  <c:v>-1.0705336817843221</c:v>
                </c:pt>
                <c:pt idx="182">
                  <c:v>-1.0701961443150401</c:v>
                </c:pt>
                <c:pt idx="183">
                  <c:v>-1.0698554359841606</c:v>
                </c:pt>
                <c:pt idx="184">
                  <c:v>-1.0695115475354122</c:v>
                </c:pt>
                <c:pt idx="185">
                  <c:v>-1.0691644698948135</c:v>
                </c:pt>
                <c:pt idx="186">
                  <c:v>-1.0688141941653211</c:v>
                </c:pt>
                <c:pt idx="187">
                  <c:v>-1.068460711621638</c:v>
                </c:pt>
                <c:pt idx="188">
                  <c:v>-1.0681040137051736</c:v>
                </c:pt>
                <c:pt idx="189">
                  <c:v>-1.0677440920191541</c:v>
                </c:pt>
                <c:pt idx="190">
                  <c:v>-1.0673809383238733</c:v>
                </c:pt>
                <c:pt idx="191">
                  <c:v>-1.0670145445320829</c:v>
                </c:pt>
                <c:pt idx="192">
                  <c:v>-1.0666449027045188</c:v>
                </c:pt>
                <c:pt idx="193">
                  <c:v>-1.0662720050455499</c:v>
                </c:pt>
                <c:pt idx="194">
                  <c:v>-1.0658958438989583</c:v>
                </c:pt>
                <c:pt idx="195">
                  <c:v>-1.0655164117438367</c:v>
                </c:pt>
                <c:pt idx="196">
                  <c:v>-1.0651337011906032</c:v>
                </c:pt>
                <c:pt idx="197">
                  <c:v>-1.064747704977129</c:v>
                </c:pt>
                <c:pt idx="198">
                  <c:v>-1.064358415964973</c:v>
                </c:pt>
                <c:pt idx="199">
                  <c:v>-1.0639658271357277</c:v>
                </c:pt>
                <c:pt idx="200">
                  <c:v>-1.0635699315874587</c:v>
                </c:pt>
                <c:pt idx="201">
                  <c:v>-1.063170722531251</c:v>
                </c:pt>
                <c:pt idx="202">
                  <c:v>-1.0627681932878454</c:v>
                </c:pt>
                <c:pt idx="203">
                  <c:v>-1.0623623372843698</c:v>
                </c:pt>
                <c:pt idx="204">
                  <c:v>-1.0619531480511601</c:v>
                </c:pt>
                <c:pt idx="205">
                  <c:v>-1.0615406192186669</c:v>
                </c:pt>
                <c:pt idx="206">
                  <c:v>-1.0611247445144454</c:v>
                </c:pt>
                <c:pt idx="207">
                  <c:v>-1.0607055177602298</c:v>
                </c:pt>
                <c:pt idx="208">
                  <c:v>-1.0602829328690826</c:v>
                </c:pt>
                <c:pt idx="209">
                  <c:v>-1.0598569838426224</c:v>
                </c:pt>
                <c:pt idx="210">
                  <c:v>-1.0594276647683245</c:v>
                </c:pt>
                <c:pt idx="211">
                  <c:v>-1.0589949698168946</c:v>
                </c:pt>
                <c:pt idx="212">
                  <c:v>-1.0585588932397099</c:v>
                </c:pt>
                <c:pt idx="213">
                  <c:v>-1.0581194293663276</c:v>
                </c:pt>
                <c:pt idx="214">
                  <c:v>-1.0576765726020616</c:v>
                </c:pt>
                <c:pt idx="215">
                  <c:v>-1.0572303174256175</c:v>
                </c:pt>
                <c:pt idx="216">
                  <c:v>-1.0567806583867925</c:v>
                </c:pt>
                <c:pt idx="217">
                  <c:v>-1.056327590104233</c:v>
                </c:pt>
                <c:pt idx="218">
                  <c:v>-1.0558711072632514</c:v>
                </c:pt>
                <c:pt idx="219">
                  <c:v>-1.0554112046136945</c:v>
                </c:pt>
                <c:pt idx="220">
                  <c:v>-1.0549478769678728</c:v>
                </c:pt>
                <c:pt idx="221">
                  <c:v>-1.0544811191985362</c:v>
                </c:pt>
                <c:pt idx="222">
                  <c:v>-1.0540109262369026</c:v>
                </c:pt>
                <c:pt idx="223">
                  <c:v>-1.0535372930707383</c:v>
                </c:pt>
                <c:pt idx="224">
                  <c:v>-1.0530602147424828</c:v>
                </c:pt>
                <c:pt idx="225">
                  <c:v>-1.0525796863474213</c:v>
                </c:pt>
                <c:pt idx="226">
                  <c:v>-1.0520957030319045</c:v>
                </c:pt>
                <c:pt idx="227">
                  <c:v>-1.0516082599916088</c:v>
                </c:pt>
                <c:pt idx="228">
                  <c:v>-1.0511173524698414</c:v>
                </c:pt>
                <c:pt idx="229">
                  <c:v>-1.0506229757558856</c:v>
                </c:pt>
                <c:pt idx="230">
                  <c:v>-1.0501251251833874</c:v>
                </c:pt>
                <c:pt idx="231">
                  <c:v>-1.0496237961287793</c:v>
                </c:pt>
                <c:pt idx="232">
                  <c:v>-1.0491189840097435</c:v>
                </c:pt>
                <c:pt idx="233">
                  <c:v>-1.0486106842837106</c:v>
                </c:pt>
                <c:pt idx="234">
                  <c:v>-1.0480988924463954</c:v>
                </c:pt>
                <c:pt idx="235">
                  <c:v>-1.0475836040303648</c:v>
                </c:pt>
                <c:pt idx="236">
                  <c:v>-1.0470648146036434</c:v>
                </c:pt>
                <c:pt idx="237">
                  <c:v>-1.0465425197683471</c:v>
                </c:pt>
                <c:pt idx="238">
                  <c:v>-1.0460167151593525</c:v>
                </c:pt>
                <c:pt idx="239">
                  <c:v>-1.045487396442994</c:v>
                </c:pt>
                <c:pt idx="240">
                  <c:v>-1.044954559315793</c:v>
                </c:pt>
                <c:pt idx="241">
                  <c:v>-1.0444181995032156</c:v>
                </c:pt>
                <c:pt idx="242">
                  <c:v>-1.0438783127584588</c:v>
                </c:pt>
                <c:pt idx="243">
                  <c:v>-1.0433348948612631</c:v>
                </c:pt>
                <c:pt idx="244">
                  <c:v>-1.0427879416167531</c:v>
                </c:pt>
                <c:pt idx="245">
                  <c:v>-1.0422374488543047</c:v>
                </c:pt>
                <c:pt idx="246">
                  <c:v>-1.0416834124264345</c:v>
                </c:pt>
                <c:pt idx="247">
                  <c:v>-1.041125828207718</c:v>
                </c:pt>
                <c:pt idx="248">
                  <c:v>-1.0405646920937284</c:v>
                </c:pt>
                <c:pt idx="249">
                  <c:v>-1.04</c:v>
                </c:pt>
                <c:pt idx="250">
                  <c:v>-1.0394317478610149</c:v>
                </c:pt>
                <c:pt idx="251">
                  <c:v>-1.0388599316292089</c:v>
                </c:pt>
                <c:pt idx="252">
                  <c:v>-1.0382845472740025</c:v>
                </c:pt>
                <c:pt idx="253">
                  <c:v>-1.0377055907808506</c:v>
                </c:pt>
                <c:pt idx="254">
                  <c:v>-1.0371230581503104</c:v>
                </c:pt>
                <c:pt idx="255">
                  <c:v>-1.0365369453971347</c:v>
                </c:pt>
                <c:pt idx="256">
                  <c:v>-1.0359472485493784</c:v>
                </c:pt>
                <c:pt idx="257">
                  <c:v>-1.0353539636475264</c:v>
                </c:pt>
                <c:pt idx="258">
                  <c:v>-1.0347570867436402</c:v>
                </c:pt>
                <c:pt idx="259">
                  <c:v>-1.0341566139005198</c:v>
                </c:pt>
                <c:pt idx="260">
                  <c:v>-1.0335525411908848</c:v>
                </c:pt>
                <c:pt idx="261">
                  <c:v>-1.032944864696572</c:v>
                </c:pt>
                <c:pt idx="262">
                  <c:v>-1.0323335805077467</c:v>
                </c:pt>
                <c:pt idx="263">
                  <c:v>-1.0317186847221342</c:v>
                </c:pt>
                <c:pt idx="264">
                  <c:v>-1.0311001734442617</c:v>
                </c:pt>
                <c:pt idx="265">
                  <c:v>-1.03047804278472</c:v>
                </c:pt>
                <c:pt idx="266">
                  <c:v>-1.029852288859435</c:v>
                </c:pt>
                <c:pt idx="267">
                  <c:v>-1.0292229077889574</c:v>
                </c:pt>
                <c:pt idx="268">
                  <c:v>-1.0285898956977639</c:v>
                </c:pt>
                <c:pt idx="269">
                  <c:v>-1.0279532487135721</c:v>
                </c:pt>
                <c:pt idx="270">
                  <c:v>-1.0273129629666684</c:v>
                </c:pt>
                <c:pt idx="271">
                  <c:v>-1.0266690345892497</c:v>
                </c:pt>
                <c:pt idx="272">
                  <c:v>-1.0260214597147768</c:v>
                </c:pt>
                <c:pt idx="273">
                  <c:v>-1.0253702344773374</c:v>
                </c:pt>
                <c:pt idx="274">
                  <c:v>-1.0247153550110266</c:v>
                </c:pt>
                <c:pt idx="275">
                  <c:v>-1.0240568174493316</c:v>
                </c:pt>
                <c:pt idx="276">
                  <c:v>-1.0233946179245335</c:v>
                </c:pt>
                <c:pt idx="277">
                  <c:v>-1.0227287525671169</c:v>
                </c:pt>
                <c:pt idx="278">
                  <c:v>-1.0220592175051901</c:v>
                </c:pt>
                <c:pt idx="279">
                  <c:v>-1.0213860088639162</c:v>
                </c:pt>
                <c:pt idx="280">
                  <c:v>-1.0207091227649536</c:v>
                </c:pt>
                <c:pt idx="281">
                  <c:v>-1.0200285553259081</c:v>
                </c:pt>
                <c:pt idx="282">
                  <c:v>-1.0193443026597899</c:v>
                </c:pt>
                <c:pt idx="283">
                  <c:v>-1.0186563608744859</c:v>
                </c:pt>
                <c:pt idx="284">
                  <c:v>-1.0179647260722353</c:v>
                </c:pt>
                <c:pt idx="285">
                  <c:v>-1.0172693943491171</c:v>
                </c:pt>
                <c:pt idx="286">
                  <c:v>-1.0165703617945461</c:v>
                </c:pt>
                <c:pt idx="287">
                  <c:v>-1.0158676244907741</c:v>
                </c:pt>
                <c:pt idx="288">
                  <c:v>-1.0151611785124037</c:v>
                </c:pt>
                <c:pt idx="289">
                  <c:v>-1.0144510199259058</c:v>
                </c:pt>
                <c:pt idx="290">
                  <c:v>-1.0137371447891466</c:v>
                </c:pt>
                <c:pt idx="291">
                  <c:v>-1.0130195491509222</c:v>
                </c:pt>
                <c:pt idx="292">
                  <c:v>-1.0122982290504996</c:v>
                </c:pt>
                <c:pt idx="293">
                  <c:v>-1.0115731805171637</c:v>
                </c:pt>
                <c:pt idx="294">
                  <c:v>-1.0108443995697747</c:v>
                </c:pt>
                <c:pt idx="295">
                  <c:v>-1.0101118822163275</c:v>
                </c:pt>
                <c:pt idx="296">
                  <c:v>-1.0093756244535215</c:v>
                </c:pt>
                <c:pt idx="297">
                  <c:v>-1.0086356222663322</c:v>
                </c:pt>
                <c:pt idx="298">
                  <c:v>-1.0078918716275949</c:v>
                </c:pt>
                <c:pt idx="299">
                  <c:v>-1.007144368497588</c:v>
                </c:pt>
                <c:pt idx="300">
                  <c:v>-1.0063931088236278</c:v>
                </c:pt>
                <c:pt idx="301">
                  <c:v>-1.0056380885396623</c:v>
                </c:pt>
                <c:pt idx="302">
                  <c:v>-1.0048793035658778</c:v>
                </c:pt>
                <c:pt idx="303">
                  <c:v>-1.004116749808305</c:v>
                </c:pt>
                <c:pt idx="304">
                  <c:v>-1.0033504231584338</c:v>
                </c:pt>
                <c:pt idx="305">
                  <c:v>-1.0025803194928291</c:v>
                </c:pt>
                <c:pt idx="306">
                  <c:v>-1.0018064346727575</c:v>
                </c:pt>
                <c:pt idx="307">
                  <c:v>-1.0010287645438121</c:v>
                </c:pt>
                <c:pt idx="308">
                  <c:v>-1.0002473049355467</c:v>
                </c:pt>
                <c:pt idx="309">
                  <c:v>-0.99946205166111157</c:v>
                </c:pt>
                <c:pt idx="310">
                  <c:v>-0.99867300051689611</c:v>
                </c:pt>
                <c:pt idx="311">
                  <c:v>-0.99788014728217211</c:v>
                </c:pt>
                <c:pt idx="312">
                  <c:v>-0.99708348771874489</c:v>
                </c:pt>
                <c:pt idx="313">
                  <c:v>-0.996283017570606</c:v>
                </c:pt>
                <c:pt idx="314">
                  <c:v>-0.99547873256358987</c:v>
                </c:pt>
                <c:pt idx="315">
                  <c:v>-0.99467062840503528</c:v>
                </c:pt>
                <c:pt idx="316">
                  <c:v>-0.99385870078345007</c:v>
                </c:pt>
                <c:pt idx="317">
                  <c:v>-0.99304294536817761</c:v>
                </c:pt>
                <c:pt idx="318">
                  <c:v>-0.99222335780906956</c:v>
                </c:pt>
                <c:pt idx="319">
                  <c:v>-0.99139993373616042</c:v>
                </c:pt>
                <c:pt idx="320">
                  <c:v>-0.99057266875934336</c:v>
                </c:pt>
                <c:pt idx="321">
                  <c:v>-0.98974155846805323</c:v>
                </c:pt>
                <c:pt idx="322">
                  <c:v>-0.98890659843094908</c:v>
                </c:pt>
                <c:pt idx="323">
                  <c:v>-0.98806778419560093</c:v>
                </c:pt>
                <c:pt idx="324">
                  <c:v>-0.98722511128817925</c:v>
                </c:pt>
                <c:pt idx="325">
                  <c:v>-0.98637857521314631</c:v>
                </c:pt>
                <c:pt idx="326">
                  <c:v>-0.98552817145295279</c:v>
                </c:pt>
                <c:pt idx="327">
                  <c:v>-0.98467389546773199</c:v>
                </c:pt>
                <c:pt idx="328">
                  <c:v>-0.98381574269500183</c:v>
                </c:pt>
                <c:pt idx="329">
                  <c:v>-0.98295370854936526</c:v>
                </c:pt>
                <c:pt idx="330">
                  <c:v>-0.98208778842221511</c:v>
                </c:pt>
                <c:pt idx="331">
                  <c:v>-0.98121797768143981</c:v>
                </c:pt>
                <c:pt idx="332">
                  <c:v>-0.98034427167113258</c:v>
                </c:pt>
                <c:pt idx="333">
                  <c:v>-0.97946666571130081</c:v>
                </c:pt>
                <c:pt idx="334">
                  <c:v>-0.97858515509757871</c:v>
                </c:pt>
                <c:pt idx="335">
                  <c:v>-0.97769973510094166</c:v>
                </c:pt>
                <c:pt idx="336">
                  <c:v>-0.97681040096742178</c:v>
                </c:pt>
                <c:pt idx="337">
                  <c:v>-0.97591714791782602</c:v>
                </c:pt>
                <c:pt idx="338">
                  <c:v>-0.97501997114745476</c:v>
                </c:pt>
                <c:pt idx="339">
                  <c:v>-0.97411886582582252</c:v>
                </c:pt>
                <c:pt idx="340">
                  <c:v>-0.97321382709638149</c:v>
                </c:pt>
                <c:pt idx="341">
                  <c:v>-0.97230485007624412</c:v>
                </c:pt>
                <c:pt idx="342">
                  <c:v>-0.97139192985590783</c:v>
                </c:pt>
                <c:pt idx="343">
                  <c:v>-0.97047506149898333</c:v>
                </c:pt>
                <c:pt idx="344">
                  <c:v>-0.96955424004191926</c:v>
                </c:pt>
                <c:pt idx="345">
                  <c:v>-0.96862946049373388</c:v>
                </c:pt>
                <c:pt idx="346">
                  <c:v>-0.96770071783574352</c:v>
                </c:pt>
                <c:pt idx="347">
                  <c:v>-0.96676800702129317</c:v>
                </c:pt>
                <c:pt idx="348">
                  <c:v>-0.96583132297548924</c:v>
                </c:pt>
                <c:pt idx="349">
                  <c:v>-0.96489066059493189</c:v>
                </c:pt>
                <c:pt idx="350">
                  <c:v>-0.96394601474744868</c:v>
                </c:pt>
                <c:pt idx="351">
                  <c:v>-0.96299738027182968</c:v>
                </c:pt>
                <c:pt idx="352">
                  <c:v>-0.96204475197756212</c:v>
                </c:pt>
                <c:pt idx="353">
                  <c:v>-0.96108812464456617</c:v>
                </c:pt>
                <c:pt idx="354">
                  <c:v>-0.96012749302293254</c:v>
                </c:pt>
                <c:pt idx="355">
                  <c:v>-0.95916285183265859</c:v>
                </c:pt>
                <c:pt idx="356">
                  <c:v>-0.95819419576338638</c:v>
                </c:pt>
                <c:pt idx="357">
                  <c:v>-0.95722151947414147</c:v>
                </c:pt>
                <c:pt idx="358">
                  <c:v>-0.95624481759307089</c:v>
                </c:pt>
                <c:pt idx="359">
                  <c:v>-0.95526408471718272</c:v>
                </c:pt>
                <c:pt idx="360">
                  <c:v>-0.95427931541208444</c:v>
                </c:pt>
                <c:pt idx="361">
                  <c:v>-0.95329050421172434</c:v>
                </c:pt>
                <c:pt idx="362">
                  <c:v>-0.95229764561812957</c:v>
                </c:pt>
                <c:pt idx="363">
                  <c:v>-0.95130073410114768</c:v>
                </c:pt>
                <c:pt idx="364">
                  <c:v>-0.95029976409818573</c:v>
                </c:pt>
                <c:pt idx="365">
                  <c:v>-0.94929473001395182</c:v>
                </c:pt>
                <c:pt idx="366">
                  <c:v>-0.94828562622019408</c:v>
                </c:pt>
                <c:pt idx="367">
                  <c:v>-0.94727244705544222</c:v>
                </c:pt>
                <c:pt idx="368">
                  <c:v>-0.94625518682474752</c:v>
                </c:pt>
                <c:pt idx="369">
                  <c:v>-0.94523383979942266</c:v>
                </c:pt>
                <c:pt idx="370">
                  <c:v>-0.94420840021678265</c:v>
                </c:pt>
                <c:pt idx="371">
                  <c:v>-0.94317886227988401</c:v>
                </c:pt>
                <c:pt idx="372">
                  <c:v>-0.94214522015726498</c:v>
                </c:pt>
                <c:pt idx="373">
                  <c:v>-0.94110746798268519</c:v>
                </c:pt>
                <c:pt idx="374">
                  <c:v>-0.94006559985486415</c:v>
                </c:pt>
                <c:pt idx="375">
                  <c:v>-0.93901960983722088</c:v>
                </c:pt>
                <c:pt idx="376">
                  <c:v>-0.93796949195761159</c:v>
                </c:pt>
                <c:pt idx="377">
                  <c:v>-0.93691524020806904</c:v>
                </c:pt>
                <c:pt idx="378">
                  <c:v>-0.9358568485445381</c:v>
                </c:pt>
                <c:pt idx="379">
                  <c:v>-0.93479431088661535</c:v>
                </c:pt>
                <c:pt idx="380">
                  <c:v>-0.93372762111728291</c:v>
                </c:pt>
                <c:pt idx="381">
                  <c:v>-0.93265677308264705</c:v>
                </c:pt>
                <c:pt idx="382">
                  <c:v>-0.93158176059167108</c:v>
                </c:pt>
                <c:pt idx="383">
                  <c:v>-0.93050257741591225</c:v>
                </c:pt>
                <c:pt idx="384">
                  <c:v>-0.92941921728925392</c:v>
                </c:pt>
                <c:pt idx="385">
                  <c:v>-0.92833167390763993</c:v>
                </c:pt>
                <c:pt idx="386">
                  <c:v>-0.92723994092880657</c:v>
                </c:pt>
                <c:pt idx="387">
                  <c:v>-0.92614401197201457</c:v>
                </c:pt>
                <c:pt idx="388">
                  <c:v>-0.92504388061777976</c:v>
                </c:pt>
                <c:pt idx="389">
                  <c:v>-0.9239395404076024</c:v>
                </c:pt>
                <c:pt idx="390">
                  <c:v>-0.92283098484369752</c:v>
                </c:pt>
                <c:pt idx="391">
                  <c:v>-0.92171820738872157</c:v>
                </c:pt>
                <c:pt idx="392">
                  <c:v>-0.92060120146550017</c:v>
                </c:pt>
                <c:pt idx="393">
                  <c:v>-0.91947996045675418</c:v>
                </c:pt>
                <c:pt idx="394">
                  <c:v>-0.91835447770482426</c:v>
                </c:pt>
                <c:pt idx="395">
                  <c:v>-0.91722474651139507</c:v>
                </c:pt>
                <c:pt idx="396">
                  <c:v>-0.91609076013721746</c:v>
                </c:pt>
                <c:pt idx="397">
                  <c:v>-0.91495251180183068</c:v>
                </c:pt>
                <c:pt idx="398">
                  <c:v>-0.91380999468328206</c:v>
                </c:pt>
                <c:pt idx="399">
                  <c:v>-0.91266320191784633</c:v>
                </c:pt>
                <c:pt idx="400">
                  <c:v>-0.91151212659974323</c:v>
                </c:pt>
                <c:pt idx="401">
                  <c:v>-0.91035676178085401</c:v>
                </c:pt>
                <c:pt idx="402">
                  <c:v>-0.90919710047043689</c:v>
                </c:pt>
                <c:pt idx="403">
                  <c:v>-0.90803313563484001</c:v>
                </c:pt>
                <c:pt idx="404">
                  <c:v>-0.90686486019721391</c:v>
                </c:pt>
                <c:pt idx="405">
                  <c:v>-0.90569226703722305</c:v>
                </c:pt>
                <c:pt idx="406">
                  <c:v>-0.90451534899075436</c:v>
                </c:pt>
                <c:pt idx="407">
                  <c:v>-0.90333409884962479</c:v>
                </c:pt>
                <c:pt idx="408">
                  <c:v>-0.90214850936128843</c:v>
                </c:pt>
                <c:pt idx="409">
                  <c:v>-0.90095857322854067</c:v>
                </c:pt>
                <c:pt idx="410">
                  <c:v>-0.89976428310922052</c:v>
                </c:pt>
                <c:pt idx="411">
                  <c:v>-0.89856563161591307</c:v>
                </c:pt>
                <c:pt idx="412">
                  <c:v>-0.8973626113156481</c:v>
                </c:pt>
                <c:pt idx="413">
                  <c:v>-0.89615521472959858</c:v>
                </c:pt>
                <c:pt idx="414">
                  <c:v>-0.89494343433277623</c:v>
                </c:pt>
                <c:pt idx="415">
                  <c:v>-0.89372726255372648</c:v>
                </c:pt>
                <c:pt idx="416">
                  <c:v>-0.89250669177421948</c:v>
                </c:pt>
                <c:pt idx="417">
                  <c:v>-0.89128171432894254</c:v>
                </c:pt>
                <c:pt idx="418">
                  <c:v>-0.89005232250518695</c:v>
                </c:pt>
                <c:pt idx="419">
                  <c:v>-0.88881850854253575</c:v>
                </c:pt>
                <c:pt idx="420">
                  <c:v>-0.88758026463254802</c:v>
                </c:pt>
                <c:pt idx="421">
                  <c:v>-0.88633758291844156</c:v>
                </c:pt>
                <c:pt idx="422">
                  <c:v>-0.88509045549477294</c:v>
                </c:pt>
                <c:pt idx="423">
                  <c:v>-0.88383887440711717</c:v>
                </c:pt>
                <c:pt idx="424">
                  <c:v>-0.88258283165174278</c:v>
                </c:pt>
                <c:pt idx="425">
                  <c:v>-0.88132231917528658</c:v>
                </c:pt>
                <c:pt idx="426">
                  <c:v>-0.88005732887442556</c:v>
                </c:pt>
                <c:pt idx="427">
                  <c:v>-0.87878785259554681</c:v>
                </c:pt>
                <c:pt idx="428">
                  <c:v>-0.8775138821344145</c:v>
                </c:pt>
                <c:pt idx="429">
                  <c:v>-0.87623540923583543</c:v>
                </c:pt>
                <c:pt idx="430">
                  <c:v>-0.8749524255933212</c:v>
                </c:pt>
                <c:pt idx="431">
                  <c:v>-0.87366492284874975</c:v>
                </c:pt>
                <c:pt idx="432">
                  <c:v>-0.87237289259202166</c:v>
                </c:pt>
                <c:pt idx="433">
                  <c:v>-0.87107632636071775</c:v>
                </c:pt>
                <c:pt idx="434">
                  <c:v>-0.86977521563974947</c:v>
                </c:pt>
                <c:pt idx="435">
                  <c:v>-0.86846955186101193</c:v>
                </c:pt>
                <c:pt idx="436">
                  <c:v>-0.86715932640303006</c:v>
                </c:pt>
                <c:pt idx="437">
                  <c:v>-0.86584453059060462</c:v>
                </c:pt>
                <c:pt idx="438">
                  <c:v>-0.86452515569445432</c:v>
                </c:pt>
                <c:pt idx="439">
                  <c:v>-0.8632011929308564</c:v>
                </c:pt>
                <c:pt idx="440">
                  <c:v>-0.86187263346128307</c:v>
                </c:pt>
                <c:pt idx="441">
                  <c:v>-0.86053946839203677</c:v>
                </c:pt>
                <c:pt idx="442">
                  <c:v>-0.85920168877388048</c:v>
                </c:pt>
                <c:pt idx="443">
                  <c:v>-0.85785928560166802</c:v>
                </c:pt>
                <c:pt idx="444">
                  <c:v>-0.85651224981396856</c:v>
                </c:pt>
                <c:pt idx="445">
                  <c:v>-0.85516057229269082</c:v>
                </c:pt>
                <c:pt idx="446">
                  <c:v>-0.85380424386270148</c:v>
                </c:pt>
                <c:pt idx="447">
                  <c:v>-0.85244325529144371</c:v>
                </c:pt>
                <c:pt idx="448">
                  <c:v>-0.85107759728854959</c:v>
                </c:pt>
                <c:pt idx="449">
                  <c:v>-0.84970726050545253</c:v>
                </c:pt>
                <c:pt idx="450">
                  <c:v>-0.84833223553499293</c:v>
                </c:pt>
                <c:pt idx="451">
                  <c:v>-0.84695251291102469</c:v>
                </c:pt>
                <c:pt idx="452">
                  <c:v>-0.84556808310801479</c:v>
                </c:pt>
                <c:pt idx="453">
                  <c:v>-0.84417893654064247</c:v>
                </c:pt>
                <c:pt idx="454">
                  <c:v>-0.84278506356339289</c:v>
                </c:pt>
                <c:pt idx="455">
                  <c:v>-0.84138645447014948</c:v>
                </c:pt>
                <c:pt idx="456">
                  <c:v>-0.8399830994937808</c:v>
                </c:pt>
                <c:pt idx="457">
                  <c:v>-0.83857498880572623</c:v>
                </c:pt>
                <c:pt idx="458">
                  <c:v>-0.83716211251557526</c:v>
                </c:pt>
                <c:pt idx="459">
                  <c:v>-0.83574446067064712</c:v>
                </c:pt>
                <c:pt idx="460">
                  <c:v>-0.83432202325556248</c:v>
                </c:pt>
                <c:pt idx="461">
                  <c:v>-0.83289479019181534</c:v>
                </c:pt>
                <c:pt idx="462">
                  <c:v>-0.83146275133733838</c:v>
                </c:pt>
                <c:pt idx="463">
                  <c:v>-0.83002589648606706</c:v>
                </c:pt>
                <c:pt idx="464">
                  <c:v>-0.82858421536749738</c:v>
                </c:pt>
                <c:pt idx="465">
                  <c:v>-0.82713769764624256</c:v>
                </c:pt>
                <c:pt idx="466">
                  <c:v>-0.82568633292158289</c:v>
                </c:pt>
                <c:pt idx="467">
                  <c:v>-0.82423011072701469</c:v>
                </c:pt>
                <c:pt idx="468">
                  <c:v>-0.82276902052979262</c:v>
                </c:pt>
                <c:pt idx="469">
                  <c:v>-0.82130305173047014</c:v>
                </c:pt>
                <c:pt idx="470">
                  <c:v>-0.81983219366243432</c:v>
                </c:pt>
                <c:pt idx="471">
                  <c:v>-0.81835643559143767</c:v>
                </c:pt>
                <c:pt idx="472">
                  <c:v>-0.81687576671512485</c:v>
                </c:pt>
                <c:pt idx="473">
                  <c:v>-0.81539017616255605</c:v>
                </c:pt>
                <c:pt idx="474">
                  <c:v>-0.81389965299372513</c:v>
                </c:pt>
                <c:pt idx="475">
                  <c:v>-0.8124041861990744</c:v>
                </c:pt>
                <c:pt idx="476">
                  <c:v>-0.8109037646990046</c:v>
                </c:pt>
                <c:pt idx="477">
                  <c:v>-0.80939837734338005</c:v>
                </c:pt>
                <c:pt idx="478">
                  <c:v>-0.80788801291103018</c:v>
                </c:pt>
                <c:pt idx="479">
                  <c:v>-0.80637266010924546</c:v>
                </c:pt>
                <c:pt idx="480">
                  <c:v>-0.80485230757326975</c:v>
                </c:pt>
                <c:pt idx="481">
                  <c:v>-0.8033269438657874</c:v>
                </c:pt>
                <c:pt idx="482">
                  <c:v>-0.80179655747640555</c:v>
                </c:pt>
                <c:pt idx="483">
                  <c:v>-0.8002611368211322</c:v>
                </c:pt>
                <c:pt idx="484">
                  <c:v>-0.7987206702418489</c:v>
                </c:pt>
                <c:pt idx="485">
                  <c:v>-0.79717514600577843</c:v>
                </c:pt>
                <c:pt idx="486">
                  <c:v>-0.79562455230494855</c:v>
                </c:pt>
                <c:pt idx="487">
                  <c:v>-0.79406887725564945</c:v>
                </c:pt>
                <c:pt idx="488">
                  <c:v>-0.79250810889788703</c:v>
                </c:pt>
                <c:pt idx="489">
                  <c:v>-0.79094223519483009</c:v>
                </c:pt>
                <c:pt idx="490">
                  <c:v>-0.78937124403225367</c:v>
                </c:pt>
                <c:pt idx="491">
                  <c:v>-0.78779512321797596</c:v>
                </c:pt>
                <c:pt idx="492">
                  <c:v>-0.78621386048129016</c:v>
                </c:pt>
                <c:pt idx="493">
                  <c:v>-0.78462744347239133</c:v>
                </c:pt>
                <c:pt idx="494">
                  <c:v>-0.78303585976179724</c:v>
                </c:pt>
                <c:pt idx="495">
                  <c:v>-0.78143909683976387</c:v>
                </c:pt>
                <c:pt idx="496">
                  <c:v>-0.77983714211569588</c:v>
                </c:pt>
                <c:pt idx="497">
                  <c:v>-0.77822998291754986</c:v>
                </c:pt>
                <c:pt idx="498">
                  <c:v>-0.77661760649123412</c:v>
                </c:pt>
                <c:pt idx="499">
                  <c:v>-0.77500000000000002</c:v>
                </c:pt>
                <c:pt idx="500">
                  <c:v>-0.77337715052382994</c:v>
                </c:pt>
                <c:pt idx="501">
                  <c:v>-0.77174904505881736</c:v>
                </c:pt>
                <c:pt idx="502">
                  <c:v>-0.77011567051654206</c:v>
                </c:pt>
                <c:pt idx="503">
                  <c:v>-0.76847701372343835</c:v>
                </c:pt>
                <c:pt idx="504">
                  <c:v>-0.76683306142015828</c:v>
                </c:pt>
                <c:pt idx="505">
                  <c:v>-0.76518380026092669</c:v>
                </c:pt>
                <c:pt idx="506">
                  <c:v>-0.76352921681289254</c:v>
                </c:pt>
                <c:pt idx="507">
                  <c:v>-0.76186929755547128</c:v>
                </c:pt>
                <c:pt idx="508">
                  <c:v>-0.76020402887968197</c:v>
                </c:pt>
                <c:pt idx="509">
                  <c:v>-0.75853339708747802</c:v>
                </c:pt>
                <c:pt idx="510">
                  <c:v>-0.75685738839107042</c:v>
                </c:pt>
                <c:pt idx="511">
                  <c:v>-0.75517598891224491</c:v>
                </c:pt>
                <c:pt idx="512">
                  <c:v>-0.75348918468167203</c:v>
                </c:pt>
                <c:pt idx="513">
                  <c:v>-0.7517969616382103</c:v>
                </c:pt>
                <c:pt idx="514">
                  <c:v>-0.75009930562820204</c:v>
                </c:pt>
                <c:pt idx="515">
                  <c:v>-0.74839620240476312</c:v>
                </c:pt>
                <c:pt idx="516">
                  <c:v>-0.74668763762706425</c:v>
                </c:pt>
                <c:pt idx="517">
                  <c:v>-0.74497359685960562</c:v>
                </c:pt>
                <c:pt idx="518">
                  <c:v>-0.74325406557148443</c:v>
                </c:pt>
                <c:pt idx="519">
                  <c:v>-0.74152902913565411</c:v>
                </c:pt>
                <c:pt idx="520">
                  <c:v>-0.73979847282817723</c:v>
                </c:pt>
                <c:pt idx="521">
                  <c:v>-0.7380623818274693</c:v>
                </c:pt>
                <c:pt idx="522">
                  <c:v>-0.7363207412135363</c:v>
                </c:pt>
                <c:pt idx="523">
                  <c:v>-0.73457353596720265</c:v>
                </c:pt>
                <c:pt idx="524">
                  <c:v>-0.7328207509693333</c:v>
                </c:pt>
                <c:pt idx="525">
                  <c:v>-0.7310623710000459</c:v>
                </c:pt>
                <c:pt idx="526">
                  <c:v>-0.72929838073791564</c:v>
                </c:pt>
                <c:pt idx="527">
                  <c:v>-0.72752876475917261</c:v>
                </c:pt>
                <c:pt idx="528">
                  <c:v>-0.72575350753688839</c:v>
                </c:pt>
                <c:pt idx="529">
                  <c:v>-0.72397259344015741</c:v>
                </c:pt>
                <c:pt idx="530">
                  <c:v>-0.72218600673326705</c:v>
                </c:pt>
                <c:pt idx="531">
                  <c:v>-0.72039373157486031</c:v>
                </c:pt>
                <c:pt idx="532">
                  <c:v>-0.71859575201708936</c:v>
                </c:pt>
                <c:pt idx="533">
                  <c:v>-0.71679205200476082</c:v>
                </c:pt>
                <c:pt idx="534">
                  <c:v>-0.71498261537447028</c:v>
                </c:pt>
                <c:pt idx="535">
                  <c:v>-0.71316742585373016</c:v>
                </c:pt>
                <c:pt idx="536">
                  <c:v>-0.71134646706008631</c:v>
                </c:pt>
                <c:pt idx="537">
                  <c:v>-0.70951972250022532</c:v>
                </c:pt>
                <c:pt idx="538">
                  <c:v>-0.70768717556907434</c:v>
                </c:pt>
                <c:pt idx="539">
                  <c:v>-0.7058488095488884</c:v>
                </c:pt>
                <c:pt idx="540">
                  <c:v>-0.7040046076083305</c:v>
                </c:pt>
                <c:pt idx="541">
                  <c:v>-0.70215455280153982</c:v>
                </c:pt>
                <c:pt idx="542">
                  <c:v>-0.70029862806719156</c:v>
                </c:pt>
                <c:pt idx="543">
                  <c:v>-0.69843681622754561</c:v>
                </c:pt>
                <c:pt idx="544">
                  <c:v>-0.69656909998748484</c:v>
                </c:pt>
                <c:pt idx="545">
                  <c:v>-0.69469546193354381</c:v>
                </c:pt>
                <c:pt idx="546">
                  <c:v>-0.69281588453292675</c:v>
                </c:pt>
                <c:pt idx="547">
                  <c:v>-0.69093035013251392</c:v>
                </c:pt>
                <c:pt idx="548">
                  <c:v>-0.68903884095785795</c:v>
                </c:pt>
                <c:pt idx="549">
                  <c:v>-0.68714133911216946</c:v>
                </c:pt>
                <c:pt idx="550">
                  <c:v>-0.68523782657529109</c:v>
                </c:pt>
                <c:pt idx="551">
                  <c:v>-0.68332828520265954</c:v>
                </c:pt>
                <c:pt idx="552">
                  <c:v>-0.68141269672425797</c:v>
                </c:pt>
                <c:pt idx="553">
                  <c:v>-0.67949104274355554</c:v>
                </c:pt>
                <c:pt idx="554">
                  <c:v>-0.67756330473643522</c:v>
                </c:pt>
                <c:pt idx="555">
                  <c:v>-0.67562946405010993</c:v>
                </c:pt>
                <c:pt idx="556">
                  <c:v>-0.6736895019020277</c:v>
                </c:pt>
                <c:pt idx="557">
                  <c:v>-0.6717433993787626</c:v>
                </c:pt>
                <c:pt idx="558">
                  <c:v>-0.66979113743489438</c:v>
                </c:pt>
                <c:pt idx="559">
                  <c:v>-0.6678326968918763</c:v>
                </c:pt>
                <c:pt idx="560">
                  <c:v>-0.66586805843688879</c:v>
                </c:pt>
                <c:pt idx="561">
                  <c:v>-0.66389720262168139</c:v>
                </c:pt>
                <c:pt idx="562">
                  <c:v>-0.66192010986140082</c:v>
                </c:pt>
                <c:pt idx="563">
                  <c:v>-0.65993676043340599</c:v>
                </c:pt>
                <c:pt idx="564">
                  <c:v>-0.65794713447607056</c:v>
                </c:pt>
                <c:pt idx="565">
                  <c:v>-0.65595121198757023</c:v>
                </c:pt>
                <c:pt idx="566">
                  <c:v>-0.6539489728246578</c:v>
                </c:pt>
                <c:pt idx="567">
                  <c:v>-0.65194039670142334</c:v>
                </c:pt>
                <c:pt idx="568">
                  <c:v>-0.64992546318803979</c:v>
                </c:pt>
                <c:pt idx="569">
                  <c:v>-0.64790415170949633</c:v>
                </c:pt>
                <c:pt idx="570">
                  <c:v>-0.64587644154431378</c:v>
                </c:pt>
                <c:pt idx="571">
                  <c:v>-0.64384231182324902</c:v>
                </c:pt>
                <c:pt idx="572">
                  <c:v>-0.64180174152798108</c:v>
                </c:pt>
                <c:pt idx="573">
                  <c:v>-0.6397547094897843</c:v>
                </c:pt>
                <c:pt idx="574">
                  <c:v>-0.63770119438818518</c:v>
                </c:pt>
                <c:pt idx="575">
                  <c:v>-0.63564117474960402</c:v>
                </c:pt>
                <c:pt idx="576">
                  <c:v>-0.63357462894597982</c:v>
                </c:pt>
                <c:pt idx="577">
                  <c:v>-0.63150153519338015</c:v>
                </c:pt>
                <c:pt idx="578">
                  <c:v>-0.62942187155059481</c:v>
                </c:pt>
                <c:pt idx="579">
                  <c:v>-0.62733561591771192</c:v>
                </c:pt>
                <c:pt idx="580">
                  <c:v>-0.62524274603467833</c:v>
                </c:pt>
                <c:pt idx="581">
                  <c:v>-0.62314323947984218</c:v>
                </c:pt>
                <c:pt idx="582">
                  <c:v>-0.62103707366847949</c:v>
                </c:pt>
                <c:pt idx="583">
                  <c:v>-0.61892422585130136</c:v>
                </c:pt>
                <c:pt idx="584">
                  <c:v>-0.61680467311294596</c:v>
                </c:pt>
                <c:pt idx="585">
                  <c:v>-0.61467839237044986</c:v>
                </c:pt>
                <c:pt idx="586">
                  <c:v>-0.61254536037170326</c:v>
                </c:pt>
                <c:pt idx="587">
                  <c:v>-0.61040555369388572</c:v>
                </c:pt>
                <c:pt idx="588">
                  <c:v>-0.60825894874188302</c:v>
                </c:pt>
                <c:pt idx="589">
                  <c:v>-0.60610552174668608</c:v>
                </c:pt>
                <c:pt idx="590">
                  <c:v>-0.60394524876376898</c:v>
                </c:pt>
                <c:pt idx="591">
                  <c:v>-0.60177810567144863</c:v>
                </c:pt>
                <c:pt idx="592">
                  <c:v>-0.59960406816922407</c:v>
                </c:pt>
                <c:pt idx="593">
                  <c:v>-0.59742311177609586</c:v>
                </c:pt>
                <c:pt idx="594">
                  <c:v>-0.59523521182886452</c:v>
                </c:pt>
                <c:pt idx="595">
                  <c:v>-0.59304034348040902</c:v>
                </c:pt>
                <c:pt idx="596">
                  <c:v>-0.59083848169794295</c:v>
                </c:pt>
                <c:pt idx="597">
                  <c:v>-0.58862960126125119</c:v>
                </c:pt>
                <c:pt idx="598">
                  <c:v>-0.58641367676090272</c:v>
                </c:pt>
                <c:pt idx="599">
                  <c:v>-0.58419068259644369</c:v>
                </c:pt>
                <c:pt idx="600">
                  <c:v>-0.58196059297456548</c:v>
                </c:pt>
                <c:pt idx="601">
                  <c:v>-0.57972338190725314</c:v>
                </c:pt>
                <c:pt idx="602">
                  <c:v>-0.57747902320990785</c:v>
                </c:pt>
                <c:pt idx="603">
                  <c:v>-0.57522749049944899</c:v>
                </c:pt>
                <c:pt idx="604">
                  <c:v>-0.57296875719238916</c:v>
                </c:pt>
                <c:pt idx="605">
                  <c:v>-0.57070279650288869</c:v>
                </c:pt>
                <c:pt idx="606">
                  <c:v>-0.56842958144078259</c:v>
                </c:pt>
                <c:pt idx="607">
                  <c:v>-0.56614908480958492</c:v>
                </c:pt>
                <c:pt idx="608">
                  <c:v>-0.56386127920446705</c:v>
                </c:pt>
                <c:pt idx="609">
                  <c:v>-0.56156613701020985</c:v>
                </c:pt>
                <c:pt idx="610">
                  <c:v>-0.55926363039913196</c:v>
                </c:pt>
                <c:pt idx="611">
                  <c:v>-0.5569537313289884</c:v>
                </c:pt>
                <c:pt idx="612">
                  <c:v>-0.55463641154084642</c:v>
                </c:pt>
                <c:pt idx="613">
                  <c:v>-0.55231164255693055</c:v>
                </c:pt>
                <c:pt idx="614">
                  <c:v>-0.54997939567844245</c:v>
                </c:pt>
                <c:pt idx="615">
                  <c:v>-0.54763964198335213</c:v>
                </c:pt>
                <c:pt idx="616">
                  <c:v>-0.54529235232416007</c:v>
                </c:pt>
                <c:pt idx="617">
                  <c:v>-0.54293749732563168</c:v>
                </c:pt>
                <c:pt idx="618">
                  <c:v>-0.54057504738250117</c:v>
                </c:pt>
                <c:pt idx="619">
                  <c:v>-0.53820497265714617</c:v>
                </c:pt>
                <c:pt idx="620">
                  <c:v>-0.53582724307723362</c:v>
                </c:pt>
                <c:pt idx="621">
                  <c:v>-0.5334418283333312</c:v>
                </c:pt>
                <c:pt idx="622">
                  <c:v>-0.53104869787649178</c:v>
                </c:pt>
                <c:pt idx="623">
                  <c:v>-0.52864782091580376</c:v>
                </c:pt>
                <c:pt idx="624">
                  <c:v>-0.52623916641590895</c:v>
                </c:pt>
                <c:pt idx="625">
                  <c:v>-0.52382270309448997</c:v>
                </c:pt>
                <c:pt idx="626">
                  <c:v>-0.52139839941972166</c:v>
                </c:pt>
                <c:pt idx="627">
                  <c:v>-0.51896622360769062</c:v>
                </c:pt>
                <c:pt idx="628">
                  <c:v>-0.51652614361978022</c:v>
                </c:pt>
                <c:pt idx="629">
                  <c:v>-0.51407812716001988</c:v>
                </c:pt>
                <c:pt idx="630">
                  <c:v>-0.51162214167239983</c:v>
                </c:pt>
                <c:pt idx="631">
                  <c:v>-0.50915815433815015</c:v>
                </c:pt>
                <c:pt idx="632">
                  <c:v>-0.50668613207298108</c:v>
                </c:pt>
                <c:pt idx="633">
                  <c:v>-0.50420604152428972</c:v>
                </c:pt>
                <c:pt idx="634">
                  <c:v>-0.50171784906832573</c:v>
                </c:pt>
                <c:pt idx="635">
                  <c:v>-0.49922152080732096</c:v>
                </c:pt>
                <c:pt idx="636">
                  <c:v>-0.49671702256657829</c:v>
                </c:pt>
                <c:pt idx="637">
                  <c:v>-0.49420431989152241</c:v>
                </c:pt>
                <c:pt idx="638">
                  <c:v>-0.49168337804470907</c:v>
                </c:pt>
                <c:pt idx="639">
                  <c:v>-0.48915416200279416</c:v>
                </c:pt>
                <c:pt idx="640">
                  <c:v>-0.48661663645346132</c:v>
                </c:pt>
                <c:pt idx="641">
                  <c:v>-0.48407076579230612</c:v>
                </c:pt>
                <c:pt idx="642">
                  <c:v>-0.4815165141196785</c:v>
                </c:pt>
                <c:pt idx="643">
                  <c:v>-0.47895384523748075</c:v>
                </c:pt>
                <c:pt idx="644">
                  <c:v>-0.47638272264592141</c:v>
                </c:pt>
                <c:pt idx="645">
                  <c:v>-0.47380310954022353</c:v>
                </c:pt>
                <c:pt idx="646">
                  <c:v>-0.47121496880728764</c:v>
                </c:pt>
                <c:pt idx="647">
                  <c:v>-0.46861826302230697</c:v>
                </c:pt>
                <c:pt idx="648">
                  <c:v>-0.46601295444533641</c:v>
                </c:pt>
                <c:pt idx="649">
                  <c:v>-0.46339900501781223</c:v>
                </c:pt>
                <c:pt idx="650">
                  <c:v>-0.46077637635902258</c:v>
                </c:pt>
                <c:pt idx="651">
                  <c:v>-0.45814502976252897</c:v>
                </c:pt>
                <c:pt idx="652">
                  <c:v>-0.45550492619253569</c:v>
                </c:pt>
                <c:pt idx="653">
                  <c:v>-0.45285602628020832</c:v>
                </c:pt>
                <c:pt idx="654">
                  <c:v>-0.4501982903199393</c:v>
                </c:pt>
                <c:pt idx="655">
                  <c:v>-0.44753167826556056</c:v>
                </c:pt>
                <c:pt idx="656">
                  <c:v>-0.44485614972650056</c:v>
                </c:pt>
                <c:pt idx="657">
                  <c:v>-0.44217166396388685</c:v>
                </c:pt>
                <c:pt idx="658">
                  <c:v>-0.43947817988659221</c:v>
                </c:pt>
                <c:pt idx="659">
                  <c:v>-0.43677565604722329</c:v>
                </c:pt>
                <c:pt idx="660">
                  <c:v>-0.43406405063805081</c:v>
                </c:pt>
                <c:pt idx="661">
                  <c:v>-0.43134332148688098</c:v>
                </c:pt>
                <c:pt idx="662">
                  <c:v>-0.42861342605286501</c:v>
                </c:pt>
                <c:pt idx="663">
                  <c:v>-0.42587432142224957</c:v>
                </c:pt>
                <c:pt idx="664">
                  <c:v>-0.42312596430406246</c:v>
                </c:pt>
                <c:pt idx="665">
                  <c:v>-0.42036831102573591</c:v>
                </c:pt>
                <c:pt idx="666">
                  <c:v>-0.41760131752866436</c:v>
                </c:pt>
                <c:pt idx="667">
                  <c:v>-0.41482493936369691</c:v>
                </c:pt>
                <c:pt idx="668">
                  <c:v>-0.41203913168656203</c:v>
                </c:pt>
                <c:pt idx="669">
                  <c:v>-0.40924384925322443</c:v>
                </c:pt>
                <c:pt idx="670">
                  <c:v>-0.40643904641517209</c:v>
                </c:pt>
                <c:pt idx="671">
                  <c:v>-0.40362467711463224</c:v>
                </c:pt>
                <c:pt idx="672">
                  <c:v>-0.40080069487971604</c:v>
                </c:pt>
                <c:pt idx="673">
                  <c:v>-0.3979670528194883</c:v>
                </c:pt>
                <c:pt idx="674">
                  <c:v>-0.39512370361896459</c:v>
                </c:pt>
                <c:pt idx="675">
                  <c:v>-0.39227059953402993</c:v>
                </c:pt>
                <c:pt idx="676">
                  <c:v>-0.38940769238628131</c:v>
                </c:pt>
                <c:pt idx="677">
                  <c:v>-0.38653493355779145</c:v>
                </c:pt>
                <c:pt idx="678">
                  <c:v>-0.38365227398579055</c:v>
                </c:pt>
                <c:pt idx="679">
                  <c:v>-0.38075966415726803</c:v>
                </c:pt>
                <c:pt idx="680">
                  <c:v>-0.37785705410348946</c:v>
                </c:pt>
                <c:pt idx="681">
                  <c:v>-0.37494439339442936</c:v>
                </c:pt>
                <c:pt idx="682">
                  <c:v>-0.37202163113311659</c:v>
                </c:pt>
                <c:pt idx="683">
                  <c:v>-0.3690887159498919</c:v>
                </c:pt>
                <c:pt idx="684">
                  <c:v>-0.36614559599657592</c:v>
                </c:pt>
                <c:pt idx="685">
                  <c:v>-0.36319221894054521</c:v>
                </c:pt>
                <c:pt idx="686">
                  <c:v>-0.36022853195871463</c:v>
                </c:pt>
                <c:pt idx="687">
                  <c:v>-0.35725448173142593</c:v>
                </c:pt>
                <c:pt idx="688">
                  <c:v>-0.3542700144362364</c:v>
                </c:pt>
                <c:pt idx="689">
                  <c:v>-0.35127507574161387</c:v>
                </c:pt>
                <c:pt idx="690">
                  <c:v>-0.34826961080052538</c:v>
                </c:pt>
                <c:pt idx="691">
                  <c:v>-0.34525356424392739</c:v>
                </c:pt>
                <c:pt idx="692">
                  <c:v>-0.34222688017414921</c:v>
                </c:pt>
                <c:pt idx="693">
                  <c:v>-0.3391895021581709</c:v>
                </c:pt>
                <c:pt idx="694">
                  <c:v>-0.3361413732207913</c:v>
                </c:pt>
                <c:pt idx="695">
                  <c:v>-0.33308243583768682</c:v>
                </c:pt>
                <c:pt idx="696">
                  <c:v>-0.33001263192835606</c:v>
                </c:pt>
                <c:pt idx="697">
                  <c:v>-0.32693190284894919</c:v>
                </c:pt>
                <c:pt idx="698">
                  <c:v>-0.32384018938498099</c:v>
                </c:pt>
                <c:pt idx="699">
                  <c:v>-0.32073743174392255</c:v>
                </c:pt>
                <c:pt idx="700">
                  <c:v>-0.31762356954767201</c:v>
                </c:pt>
                <c:pt idx="701">
                  <c:v>-0.31449854182489984</c:v>
                </c:pt>
                <c:pt idx="702">
                  <c:v>-0.31136228700326757</c:v>
                </c:pt>
                <c:pt idx="703">
                  <c:v>-0.30821474290151651</c:v>
                </c:pt>
                <c:pt idx="704">
                  <c:v>-0.3050558467214245</c:v>
                </c:pt>
                <c:pt idx="705">
                  <c:v>-0.30188553503962712</c:v>
                </c:pt>
                <c:pt idx="706">
                  <c:v>-0.29870374379930198</c:v>
                </c:pt>
                <c:pt idx="707">
                  <c:v>-0.29551040830171244</c:v>
                </c:pt>
                <c:pt idx="708">
                  <c:v>-0.29230546319760647</c:v>
                </c:pt>
                <c:pt idx="709">
                  <c:v>-0.28908884247847205</c:v>
                </c:pt>
                <c:pt idx="710">
                  <c:v>-0.28586047946764054</c:v>
                </c:pt>
                <c:pt idx="711">
                  <c:v>-0.28262030681123917</c:v>
                </c:pt>
                <c:pt idx="712">
                  <c:v>-0.27936825646898772</c:v>
                </c:pt>
                <c:pt idx="713">
                  <c:v>-0.27610425970483632</c:v>
                </c:pt>
                <c:pt idx="714">
                  <c:v>-0.27282824707744113</c:v>
                </c:pt>
                <c:pt idx="715">
                  <c:v>-0.26954014843047475</c:v>
                </c:pt>
                <c:pt idx="716">
                  <c:v>-0.26623989288276761</c:v>
                </c:pt>
                <c:pt idx="717">
                  <c:v>-0.26292740881827714</c:v>
                </c:pt>
                <c:pt idx="718">
                  <c:v>-0.25960262387587985</c:v>
                </c:pt>
                <c:pt idx="719">
                  <c:v>-0.256265464938985</c:v>
                </c:pt>
                <c:pt idx="720">
                  <c:v>-0.25291585812496375</c:v>
                </c:pt>
                <c:pt idx="721">
                  <c:v>-0.24955372877438986</c:v>
                </c:pt>
                <c:pt idx="722">
                  <c:v>-0.24617900144009114</c:v>
                </c:pt>
                <c:pt idx="723">
                  <c:v>-0.24279159987600238</c:v>
                </c:pt>
                <c:pt idx="724">
                  <c:v>-0.23939144702581983</c:v>
                </c:pt>
                <c:pt idx="725">
                  <c:v>-0.23597846501145162</c:v>
                </c:pt>
                <c:pt idx="726">
                  <c:v>-0.23255257512125788</c:v>
                </c:pt>
                <c:pt idx="727">
                  <c:v>-0.22911369779807947</c:v>
                </c:pt>
                <c:pt idx="728">
                  <c:v>-0.22566175262704696</c:v>
                </c:pt>
                <c:pt idx="729">
                  <c:v>-0.22219665832316748</c:v>
                </c:pt>
                <c:pt idx="730">
                  <c:v>-0.21871833271868438</c:v>
                </c:pt>
                <c:pt idx="731">
                  <c:v>-0.21522669275020334</c:v>
                </c:pt>
                <c:pt idx="732">
                  <c:v>-0.2117216544455803</c:v>
                </c:pt>
                <c:pt idx="733">
                  <c:v>-0.20820313291056733</c:v>
                </c:pt>
                <c:pt idx="734">
                  <c:v>-0.20467104231520852</c:v>
                </c:pt>
                <c:pt idx="735">
                  <c:v>-0.20112529587998174</c:v>
                </c:pt>
                <c:pt idx="736">
                  <c:v>-0.19756580586168129</c:v>
                </c:pt>
                <c:pt idx="737">
                  <c:v>-0.19399248353903314</c:v>
                </c:pt>
                <c:pt idx="738">
                  <c:v>-0.19040523919803901</c:v>
                </c:pt>
                <c:pt idx="739">
                  <c:v>-0.18680398211704263</c:v>
                </c:pt>
                <c:pt idx="740">
                  <c:v>-0.18318862055150947</c:v>
                </c:pt>
                <c:pt idx="741">
                  <c:v>-0.17955906171851757</c:v>
                </c:pt>
                <c:pt idx="742">
                  <c:v>-0.17591521178094918</c:v>
                </c:pt>
                <c:pt idx="743">
                  <c:v>-0.17225697583137731</c:v>
                </c:pt>
                <c:pt idx="744">
                  <c:v>-0.16858425787564124</c:v>
                </c:pt>
                <c:pt idx="745">
                  <c:v>-0.16489696081610206</c:v>
                </c:pt>
                <c:pt idx="746">
                  <c:v>-0.16119498643457203</c:v>
                </c:pt>
                <c:pt idx="747">
                  <c:v>-0.15747823537490832</c:v>
                </c:pt>
                <c:pt idx="748">
                  <c:v>-0.15374660712526633</c:v>
                </c:pt>
                <c:pt idx="749">
                  <c:v>-0.15000000000000019</c:v>
                </c:pt>
                <c:pt idx="750">
                  <c:v>-0.14623831112120636</c:v>
                </c:pt>
                <c:pt idx="751">
                  <c:v>-0.14246143639989878</c:v>
                </c:pt>
                <c:pt idx="752">
                  <c:v>-0.13866927051680658</c:v>
                </c:pt>
                <c:pt idx="753">
                  <c:v>-0.13486170690278992</c:v>
                </c:pt>
                <c:pt idx="754">
                  <c:v>-0.13103863771885599</c:v>
                </c:pt>
                <c:pt idx="755">
                  <c:v>-0.12719995383577556</c:v>
                </c:pt>
                <c:pt idx="756">
                  <c:v>-0.12334554481328167</c:v>
                </c:pt>
                <c:pt idx="757">
                  <c:v>-0.11947529887884514</c:v>
                </c:pt>
                <c:pt idx="758">
                  <c:v>-0.11558910290601573</c:v>
                </c:pt>
                <c:pt idx="759">
                  <c:v>-0.11168684239231708</c:v>
                </c:pt>
                <c:pt idx="760">
                  <c:v>-0.10776840143668376</c:v>
                </c:pt>
                <c:pt idx="761">
                  <c:v>-0.10383366271643202</c:v>
                </c:pt>
                <c:pt idx="762">
                  <c:v>-9.9882507463749076E-2</c:v>
                </c:pt>
                <c:pt idx="763">
                  <c:v>-9.5914815441691365E-2</c:v>
                </c:pt>
                <c:pt idx="764">
                  <c:v>-9.1930464919677185E-2</c:v>
                </c:pt>
                <c:pt idx="765">
                  <c:v>-8.7929332648463587E-2</c:v>
                </c:pt>
                <c:pt idx="766">
                  <c:v>-8.3911293834590756E-2</c:v>
                </c:pt>
                <c:pt idx="767">
                  <c:v>-7.9876222114283524E-2</c:v>
                </c:pt>
                <c:pt idx="768">
                  <c:v>-7.582398952679556E-2</c:v>
                </c:pt>
                <c:pt idx="769">
                  <c:v>-7.1754466487178259E-2</c:v>
                </c:pt>
                <c:pt idx="770">
                  <c:v>-6.7667521758465271E-2</c:v>
                </c:pt>
                <c:pt idx="771">
                  <c:v>-6.356302242325218E-2</c:v>
                </c:pt>
                <c:pt idx="772">
                  <c:v>-5.9440833854658703E-2</c:v>
                </c:pt>
                <c:pt idx="773">
                  <c:v>-5.5300819686655456E-2</c:v>
                </c:pt>
                <c:pt idx="774">
                  <c:v>-5.1142841783739568E-2</c:v>
                </c:pt>
                <c:pt idx="775">
                  <c:v>-4.6966760209941255E-2</c:v>
                </c:pt>
                <c:pt idx="776">
                  <c:v>-4.2772433197143356E-2</c:v>
                </c:pt>
                <c:pt idx="777">
                  <c:v>-3.8559717112695957E-2</c:v>
                </c:pt>
                <c:pt idx="778">
                  <c:v>-3.4328466426307908E-2</c:v>
                </c:pt>
                <c:pt idx="779">
                  <c:v>-3.0078533676192065E-2</c:v>
                </c:pt>
                <c:pt idx="780">
                  <c:v>-2.5809769434449625E-2</c:v>
                </c:pt>
                <c:pt idx="781">
                  <c:v>-2.1522022271667884E-2</c:v>
                </c:pt>
                <c:pt idx="782">
                  <c:v>-1.7215138720711898E-2</c:v>
                </c:pt>
                <c:pt idx="783">
                  <c:v>-1.2888963239688994E-2</c:v>
                </c:pt>
                <c:pt idx="784">
                  <c:v>-8.5433381740599446E-3</c:v>
                </c:pt>
                <c:pt idx="785">
                  <c:v>-4.1781037178770519E-3</c:v>
                </c:pt>
                <c:pt idx="786">
                  <c:v>2.0690212587856638E-4</c:v>
                </c:pt>
                <c:pt idx="787">
                  <c:v>4.6118435858835405E-3</c:v>
                </c:pt>
                <c:pt idx="788">
                  <c:v>9.0368871640104098E-3</c:v>
                </c:pt>
                <c:pt idx="789">
                  <c:v>1.3482201677842476E-2</c:v>
                </c:pt>
                <c:pt idx="790">
                  <c:v>1.7947958304195044E-2</c:v>
                </c:pt>
                <c:pt idx="791">
                  <c:v>2.2434330623670506E-2</c:v>
                </c:pt>
                <c:pt idx="792">
                  <c:v>2.6941494666276988E-2</c:v>
                </c:pt>
                <c:pt idx="793">
                  <c:v>3.1469628958143092E-2</c:v>
                </c:pt>
                <c:pt idx="794">
                  <c:v>3.601891456935763E-2</c:v>
                </c:pt>
                <c:pt idx="795">
                  <c:v>4.0589535162969315E-2</c:v>
                </c:pt>
                <c:pt idx="796">
                  <c:v>4.5181677045180446E-2</c:v>
                </c:pt>
                <c:pt idx="797">
                  <c:v>4.9795529216766943E-2</c:v>
                </c:pt>
                <c:pt idx="798">
                  <c:v>5.4431283425766752E-2</c:v>
                </c:pt>
                <c:pt idx="799">
                  <c:v>5.9089134221466499E-2</c:v>
                </c:pt>
                <c:pt idx="800">
                  <c:v>6.3769279009733393E-2</c:v>
                </c:pt>
                <c:pt idx="801">
                  <c:v>6.8471918109725471E-2</c:v>
                </c:pt>
                <c:pt idx="802">
                  <c:v>7.319725481202799E-2</c:v>
                </c:pt>
                <c:pt idx="803">
                  <c:v>7.7945495438255297E-2</c:v>
                </c:pt>
                <c:pt idx="804">
                  <c:v>8.2716849402163284E-2</c:v>
                </c:pt>
                <c:pt idx="805">
                  <c:v>8.7511529272321364E-2</c:v>
                </c:pt>
                <c:pt idx="806">
                  <c:v>9.2329750836389057E-2</c:v>
                </c:pt>
                <c:pt idx="807">
                  <c:v>9.7171733167047414E-2</c:v>
                </c:pt>
                <c:pt idx="808">
                  <c:v>0.10203769868964019</c:v>
                </c:pt>
                <c:pt idx="809">
                  <c:v>0.10692787325157194</c:v>
                </c:pt>
                <c:pt idx="810">
                  <c:v>0.11184248619352599</c:v>
                </c:pt>
                <c:pt idx="811">
                  <c:v>0.11678177042255217</c:v>
                </c:pt>
                <c:pt idx="812">
                  <c:v>0.12174596248709019</c:v>
                </c:pt>
                <c:pt idx="813">
                  <c:v>0.12673530265398864</c:v>
                </c:pt>
                <c:pt idx="814">
                  <c:v>0.13175003498757859</c:v>
                </c:pt>
                <c:pt idx="815">
                  <c:v>0.13679040743087839</c:v>
                </c:pt>
                <c:pt idx="816">
                  <c:v>0.14185667188899004</c:v>
                </c:pt>
                <c:pt idx="817">
                  <c:v>0.14694908431476289</c:v>
                </c:pt>
                <c:pt idx="818">
                  <c:v>0.15206790479679916</c:v>
                </c:pt>
                <c:pt idx="819">
                  <c:v>0.1572133976498773</c:v>
                </c:pt>
                <c:pt idx="820">
                  <c:v>0.16238583150787339</c:v>
                </c:pt>
                <c:pt idx="821">
                  <c:v>0.16758547941926788</c:v>
                </c:pt>
                <c:pt idx="822">
                  <c:v>0.17281261894531824</c:v>
                </c:pt>
                <c:pt idx="823">
                  <c:v>0.1780675322609942</c:v>
                </c:pt>
                <c:pt idx="824">
                  <c:v>0.18335050625876348</c:v>
                </c:pt>
                <c:pt idx="825">
                  <c:v>0.18866183265533182</c:v>
                </c:pt>
                <c:pt idx="826">
                  <c:v>0.19400180810143242</c:v>
                </c:pt>
                <c:pt idx="827">
                  <c:v>0.1993707342947767</c:v>
                </c:pt>
                <c:pt idx="828">
                  <c:v>0.20476891809626979</c:v>
                </c:pt>
                <c:pt idx="829">
                  <c:v>0.21019667164961164</c:v>
                </c:pt>
                <c:pt idx="830">
                  <c:v>0.21565431250439815</c:v>
                </c:pt>
                <c:pt idx="831">
                  <c:v>0.22114216374284834</c:v>
                </c:pt>
                <c:pt idx="832">
                  <c:v>0.22666055411028696</c:v>
                </c:pt>
                <c:pt idx="833">
                  <c:v>0.23220981814951558</c:v>
                </c:pt>
                <c:pt idx="834">
                  <c:v>0.23779029633921506</c:v>
                </c:pt>
                <c:pt idx="835">
                  <c:v>0.24340233523652305</c:v>
                </c:pt>
                <c:pt idx="836">
                  <c:v>0.24904628762394182</c:v>
                </c:pt>
                <c:pt idx="837">
                  <c:v>0.25472251266073093</c:v>
                </c:pt>
                <c:pt idx="838">
                  <c:v>0.2604313760389565</c:v>
                </c:pt>
                <c:pt idx="839">
                  <c:v>0.26617325014436582</c:v>
                </c:pt>
                <c:pt idx="840">
                  <c:v>0.27194851422227018</c:v>
                </c:pt>
                <c:pt idx="841">
                  <c:v>0.27775755454862289</c:v>
                </c:pt>
                <c:pt idx="842">
                  <c:v>0.28360076460649103</c:v>
                </c:pt>
                <c:pt idx="843">
                  <c:v>0.28947854526812761</c:v>
                </c:pt>
                <c:pt idx="844">
                  <c:v>0.29539130498285421</c:v>
                </c:pt>
                <c:pt idx="845">
                  <c:v>0.30133945997098655</c:v>
                </c:pt>
                <c:pt idx="846">
                  <c:v>0.30732343442403059</c:v>
                </c:pt>
                <c:pt idx="847">
                  <c:v>0.31334366071139969</c:v>
                </c:pt>
                <c:pt idx="848">
                  <c:v>0.31940057959390777</c:v>
                </c:pt>
                <c:pt idx="849">
                  <c:v>0.32549464044430798</c:v>
                </c:pt>
                <c:pt idx="850">
                  <c:v>0.33162630147515748</c:v>
                </c:pt>
                <c:pt idx="851">
                  <c:v>0.33779602997430558</c:v>
                </c:pt>
                <c:pt idx="852">
                  <c:v>0.34400430254830977</c:v>
                </c:pt>
                <c:pt idx="853">
                  <c:v>0.35025160537410777</c:v>
                </c:pt>
                <c:pt idx="854">
                  <c:v>0.3565384344592798</c:v>
                </c:pt>
                <c:pt idx="855">
                  <c:v>0.36286529591125993</c:v>
                </c:pt>
                <c:pt idx="856">
                  <c:v>0.3692327062158679</c:v>
                </c:pt>
                <c:pt idx="857">
                  <c:v>0.37564119252555034</c:v>
                </c:pt>
                <c:pt idx="858">
                  <c:v>0.38209129295774424</c:v>
                </c:pt>
                <c:pt idx="859">
                  <c:v>0.38858355690379182</c:v>
                </c:pt>
                <c:pt idx="860">
                  <c:v>0.39511854534885804</c:v>
                </c:pt>
                <c:pt idx="861">
                  <c:v>0.40169683120332561</c:v>
                </c:pt>
                <c:pt idx="862">
                  <c:v>0.40831899964616852</c:v>
                </c:pt>
                <c:pt idx="863">
                  <c:v>0.4149856484808247</c:v>
                </c:pt>
                <c:pt idx="864">
                  <c:v>0.4216973885041217</c:v>
                </c:pt>
                <c:pt idx="865">
                  <c:v>0.42845484388883553</c:v>
                </c:pt>
                <c:pt idx="866">
                  <c:v>0.43525865258048968</c:v>
                </c:pt>
                <c:pt idx="867">
                  <c:v>0.44210946670904089</c:v>
                </c:pt>
                <c:pt idx="868">
                  <c:v>0.44900795301612556</c:v>
                </c:pt>
                <c:pt idx="869">
                  <c:v>0.45595479329858024</c:v>
                </c:pt>
                <c:pt idx="870">
                  <c:v>0.46295068486898533</c:v>
                </c:pt>
                <c:pt idx="871">
                  <c:v>0.4699963410340286</c:v>
                </c:pt>
                <c:pt idx="872">
                  <c:v>0.47709249159151818</c:v>
                </c:pt>
                <c:pt idx="873">
                  <c:v>0.48423988334692952</c:v>
                </c:pt>
                <c:pt idx="874">
                  <c:v>0.49143928065041637</c:v>
                </c:pt>
                <c:pt idx="875">
                  <c:v>0.4986914659552677</c:v>
                </c:pt>
                <c:pt idx="876">
                  <c:v>0.50599724039884841</c:v>
                </c:pt>
                <c:pt idx="877">
                  <c:v>0.51335742440712018</c:v>
                </c:pt>
                <c:pt idx="878">
                  <c:v>0.52077285832390707</c:v>
                </c:pt>
                <c:pt idx="879">
                  <c:v>0.52824440306612641</c:v>
                </c:pt>
                <c:pt idx="880">
                  <c:v>0.5357729408062899</c:v>
                </c:pt>
                <c:pt idx="881">
                  <c:v>0.54335937568364756</c:v>
                </c:pt>
                <c:pt idx="882">
                  <c:v>0.55100463454543336</c:v>
                </c:pt>
                <c:pt idx="883">
                  <c:v>0.55870966771975716</c:v>
                </c:pt>
                <c:pt idx="884">
                  <c:v>0.56647544982177944</c:v>
                </c:pt>
                <c:pt idx="885">
                  <c:v>0.57430298059490981</c:v>
                </c:pt>
                <c:pt idx="886">
                  <c:v>0.58219328578887264</c:v>
                </c:pt>
                <c:pt idx="887">
                  <c:v>0.59014741807659887</c:v>
                </c:pt>
                <c:pt idx="888">
                  <c:v>0.59816645801202639</c:v>
                </c:pt>
                <c:pt idx="889">
                  <c:v>0.60625151503102592</c:v>
                </c:pt>
                <c:pt idx="890">
                  <c:v>0.61440372849780145</c:v>
                </c:pt>
                <c:pt idx="891">
                  <c:v>0.6226242687992779</c:v>
                </c:pt>
                <c:pt idx="892">
                  <c:v>0.63091433849014211</c:v>
                </c:pt>
                <c:pt idx="893">
                  <c:v>0.63927517349138174</c:v>
                </c:pt>
                <c:pt idx="894">
                  <c:v>0.64770804434535567</c:v>
                </c:pt>
                <c:pt idx="895">
                  <c:v>0.65621425753063178</c:v>
                </c:pt>
                <c:pt idx="896">
                  <c:v>0.6647951568400462</c:v>
                </c:pt>
                <c:pt idx="897">
                  <c:v>0.67345212482566963</c:v>
                </c:pt>
                <c:pt idx="898">
                  <c:v>0.68218658431462942</c:v>
                </c:pt>
                <c:pt idx="899">
                  <c:v>0.69099999999999961</c:v>
                </c:pt>
                <c:pt idx="900">
                  <c:v>0.6998938801112764</c:v>
                </c:pt>
                <c:pt idx="901">
                  <c:v>0.70886977816926666</c:v>
                </c:pt>
                <c:pt idx="902">
                  <c:v>0.71792929483057377</c:v>
                </c:pt>
                <c:pt idx="903">
                  <c:v>0.72707407982723449</c:v>
                </c:pt>
                <c:pt idx="904">
                  <c:v>0.73630583400746441</c:v>
                </c:pt>
                <c:pt idx="905">
                  <c:v>0.74562631148391523</c:v>
                </c:pt>
                <c:pt idx="906">
                  <c:v>0.75503732189632411</c:v>
                </c:pt>
                <c:pt idx="907">
                  <c:v>0.76454073279595414</c:v>
                </c:pt>
                <c:pt idx="908">
                  <c:v>0.77413847215978615</c:v>
                </c:pt>
                <c:pt idx="909">
                  <c:v>0.78383253104304562</c:v>
                </c:pt>
                <c:pt idx="910">
                  <c:v>0.79362496637931057</c:v>
                </c:pt>
                <c:pt idx="911">
                  <c:v>0.80351790393817868</c:v>
                </c:pt>
                <c:pt idx="912">
                  <c:v>0.81351354145126986</c:v>
                </c:pt>
                <c:pt idx="913">
                  <c:v>0.82361415191820908</c:v>
                </c:pt>
                <c:pt idx="914">
                  <c:v>0.83382208710518757</c:v>
                </c:pt>
                <c:pt idx="915">
                  <c:v>0.84413978124974021</c:v>
                </c:pt>
                <c:pt idx="916">
                  <c:v>0.85456975498651944</c:v>
                </c:pt>
                <c:pt idx="917">
                  <c:v>0.8651146195101016</c:v>
                </c:pt>
                <c:pt idx="918">
                  <c:v>0.87577708099222273</c:v>
                </c:pt>
                <c:pt idx="919">
                  <c:v>0.88655994527237525</c:v>
                </c:pt>
                <c:pt idx="920">
                  <c:v>0.89746612284232963</c:v>
                </c:pt>
                <c:pt idx="921">
                  <c:v>0.90849863414701215</c:v>
                </c:pt>
                <c:pt idx="922">
                  <c:v>0.91966061522615272</c:v>
                </c:pt>
                <c:pt idx="923">
                  <c:v>0.93095532372338519</c:v>
                </c:pt>
                <c:pt idx="924">
                  <c:v>0.94238614529192266</c:v>
                </c:pt>
                <c:pt idx="925">
                  <c:v>0.95395660042868069</c:v>
                </c:pt>
                <c:pt idx="926">
                  <c:v>0.96567035177174165</c:v>
                </c:pt>
                <c:pt idx="927">
                  <c:v>0.97753121189942416</c:v>
                </c:pt>
                <c:pt idx="928">
                  <c:v>0.9895431516729597</c:v>
                </c:pt>
                <c:pt idx="929">
                  <c:v>1.0017103091689337</c:v>
                </c:pt>
                <c:pt idx="930">
                  <c:v>1.0140369992523142</c:v>
                </c:pt>
                <c:pt idx="931">
                  <c:v>1.026527723846042</c:v>
                </c:pt>
                <c:pt idx="932">
                  <c:v>1.0391871829589916</c:v>
                </c:pt>
                <c:pt idx="933">
                  <c:v>1.052020286540575</c:v>
                </c:pt>
                <c:pt idx="934">
                  <c:v>1.0650321672375715</c:v>
                </c:pt>
                <c:pt idx="935">
                  <c:v>1.0782281941369403</c:v>
                </c:pt>
                <c:pt idx="936">
                  <c:v>1.0916139875876105</c:v>
                </c:pt>
                <c:pt idx="937">
                  <c:v>1.1051954352046249</c:v>
                </c:pt>
                <c:pt idx="938">
                  <c:v>1.118978709170795</c:v>
                </c:pt>
                <c:pt idx="939">
                  <c:v>1.1329702849642818</c:v>
                </c:pt>
                <c:pt idx="940">
                  <c:v>1.1471769616556733</c:v>
                </c:pt>
                <c:pt idx="941">
                  <c:v>1.1616058839352319</c:v>
                </c:pt>
                <c:pt idx="942">
                  <c:v>1.1762645660505417</c:v>
                </c:pt>
                <c:pt idx="943">
                  <c:v>1.1911609178571054</c:v>
                </c:pt>
                <c:pt idx="944">
                  <c:v>1.2063032732099277</c:v>
                </c:pt>
                <c:pt idx="945">
                  <c:v>1.2217004209534079</c:v>
                </c:pt>
                <c:pt idx="946">
                  <c:v>1.2373616388004782</c:v>
                </c:pt>
                <c:pt idx="947">
                  <c:v>1.2532967304306881</c:v>
                </c:pt>
                <c:pt idx="948">
                  <c:v>1.2695160661816915</c:v>
                </c:pt>
                <c:pt idx="949">
                  <c:v>1.2860306277604607</c:v>
                </c:pt>
                <c:pt idx="950">
                  <c:v>1.3028520574607771</c:v>
                </c:pt>
                <c:pt idx="951">
                  <c:v>1.3199927124436981</c:v>
                </c:pt>
                <c:pt idx="952">
                  <c:v>1.3374657247196975</c:v>
                </c:pt>
                <c:pt idx="953">
                  <c:v>1.3552850675671988</c:v>
                </c:pt>
                <c:pt idx="954">
                  <c:v>1.373465629235207</c:v>
                </c:pt>
                <c:pt idx="955">
                  <c:v>1.3920232949109606</c:v>
                </c:pt>
                <c:pt idx="956">
                  <c:v>1.4109750380912605</c:v>
                </c:pt>
                <c:pt idx="957">
                  <c:v>1.4303390226835615</c:v>
                </c:pt>
                <c:pt idx="958">
                  <c:v>1.4501347173864092</c:v>
                </c:pt>
                <c:pt idx="959">
                  <c:v>1.4703830241664941</c:v>
                </c:pt>
                <c:pt idx="960">
                  <c:v>1.4911064229714359</c:v>
                </c:pt>
                <c:pt idx="961">
                  <c:v>1.5123291352061274</c:v>
                </c:pt>
                <c:pt idx="962">
                  <c:v>1.5340773089720909</c:v>
                </c:pt>
                <c:pt idx="963">
                  <c:v>1.5563792296442789</c:v>
                </c:pt>
                <c:pt idx="964">
                  <c:v>1.57926556006425</c:v>
                </c:pt>
                <c:pt idx="965">
                  <c:v>1.6027696154965412</c:v>
                </c:pt>
                <c:pt idx="966">
                  <c:v>1.6269276795701608</c:v>
                </c:pt>
                <c:pt idx="967">
                  <c:v>1.6517793687668649</c:v>
                </c:pt>
                <c:pt idx="968">
                  <c:v>1.677368054697908</c:v>
                </c:pt>
                <c:pt idx="969">
                  <c:v>1.7037413555316796</c:v>
                </c:pt>
                <c:pt idx="970">
                  <c:v>1.7309517106305541</c:v>
                </c:pt>
                <c:pt idx="971">
                  <c:v>1.7590570559081478</c:v>
                </c:pt>
                <c:pt idx="972">
                  <c:v>1.7881216218757867</c:v>
                </c:pt>
                <c:pt idx="973">
                  <c:v>1.8182168821508449</c:v>
                </c:pt>
                <c:pt idx="974">
                  <c:v>1.8494226878250859</c:v>
                </c:pt>
                <c:pt idx="975">
                  <c:v>1.8818286332080261</c:v>
                </c:pt>
                <c:pt idx="976">
                  <c:v>1.9155357120235106</c:v>
                </c:pt>
                <c:pt idx="977">
                  <c:v>1.950658341527113</c:v>
                </c:pt>
                <c:pt idx="978">
                  <c:v>1.9873268572501916</c:v>
                </c:pt>
                <c:pt idx="979">
                  <c:v>2.0256906161740389</c:v>
                </c:pt>
                <c:pt idx="980">
                  <c:v>2.0659218956517136</c:v>
                </c:pt>
                <c:pt idx="981">
                  <c:v>2.1082208463507404</c:v>
                </c:pt>
                <c:pt idx="982">
                  <c:v>2.1528218609345768</c:v>
                </c:pt>
                <c:pt idx="983">
                  <c:v>2.2000018738936324</c:v>
                </c:pt>
                <c:pt idx="984">
                  <c:v>2.2500913411250707</c:v>
                </c:pt>
                <c:pt idx="985">
                  <c:v>2.3034890100247951</c:v>
                </c:pt>
                <c:pt idx="986">
                  <c:v>2.3606821682565928</c:v>
                </c:pt>
                <c:pt idx="987">
                  <c:v>2.4222750075567947</c:v>
                </c:pt>
                <c:pt idx="988">
                  <c:v>2.4890293493849711</c:v>
                </c:pt>
                <c:pt idx="989">
                  <c:v>2.5619248225702913</c:v>
                </c:pt>
                <c:pt idx="990">
                  <c:v>2.6422508346962559</c:v>
                </c:pt>
                <c:pt idx="991">
                  <c:v>2.7317529084029974</c:v>
                </c:pt>
                <c:pt idx="992">
                  <c:v>2.832877192031579</c:v>
                </c:pt>
                <c:pt idx="993">
                  <c:v>2.9492046325228127</c:v>
                </c:pt>
                <c:pt idx="994">
                  <c:v>3.0862843951318015</c:v>
                </c:pt>
                <c:pt idx="995">
                  <c:v>3.2534087143041766</c:v>
                </c:pt>
                <c:pt idx="996">
                  <c:v>3.4679893297234559</c:v>
                </c:pt>
                <c:pt idx="997">
                  <c:v>3.7690978640010733</c:v>
                </c:pt>
                <c:pt idx="998">
                  <c:v>4.2813468028433901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E-4A4A-891E-FA57D80AB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11663"/>
        <c:axId val="85571765"/>
      </c:scatterChart>
      <c:valAx>
        <c:axId val="28211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Q̂_U,SL(p)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571765"/>
        <c:crosses val="autoZero"/>
        <c:crossBetween val="midCat"/>
      </c:valAx>
      <c:valAx>
        <c:axId val="855717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Q̂_U,SB(p)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2116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Fitted Q̂_U,SB vs Q̂_U,SL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 = 0.001 … 0.999</c:v>
          </c:tx>
          <c:spPr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'Example 2 (invalid)'!$D$66:$D$1064</c:f>
              <c:numCache>
                <c:formatCode>0.000000</c:formatCode>
                <c:ptCount val="999"/>
                <c:pt idx="0">
                  <c:v>4.0144721408631474</c:v>
                </c:pt>
                <c:pt idx="1">
                  <c:v>3.7016596620193223</c:v>
                </c:pt>
                <c:pt idx="2">
                  <c:v>3.5135971636674768</c:v>
                </c:pt>
                <c:pt idx="3">
                  <c:v>3.3769615589398567</c:v>
                </c:pt>
                <c:pt idx="4">
                  <c:v>3.2686919189178365</c:v>
                </c:pt>
                <c:pt idx="5">
                  <c:v>3.1784815702425115</c:v>
                </c:pt>
                <c:pt idx="6">
                  <c:v>3.1008144819423515</c:v>
                </c:pt>
                <c:pt idx="7">
                  <c:v>3.0323873625817193</c:v>
                </c:pt>
                <c:pt idx="8">
                  <c:v>2.9710626542491134</c:v>
                </c:pt>
                <c:pt idx="9">
                  <c:v>2.9153761771177447</c:v>
                </c:pt>
                <c:pt idx="10">
                  <c:v>2.8642802692935083</c:v>
                </c:pt>
                <c:pt idx="11">
                  <c:v>2.8169989280205963</c:v>
                </c:pt>
                <c:pt idx="12">
                  <c:v>2.7729409920801711</c:v>
                </c:pt>
                <c:pt idx="13">
                  <c:v>2.7316455014341114</c:v>
                </c:pt>
                <c:pt idx="14">
                  <c:v>2.6927458959751478</c:v>
                </c:pt>
                <c:pt idx="15">
                  <c:v>2.6559457532951241</c:v>
                </c:pt>
                <c:pt idx="16">
                  <c:v>2.6210018677343765</c:v>
                </c:pt>
                <c:pt idx="17">
                  <c:v>2.5877121540269536</c:v>
                </c:pt>
                <c:pt idx="18">
                  <c:v>2.5559068117641166</c:v>
                </c:pt>
                <c:pt idx="19">
                  <c:v>2.5254417483974221</c:v>
                </c:pt>
                <c:pt idx="20">
                  <c:v>2.4961936007008547</c:v>
                </c:pt>
                <c:pt idx="21">
                  <c:v>2.4680559094199817</c:v>
                </c:pt>
                <c:pt idx="22">
                  <c:v>2.4409361402559977</c:v>
                </c:pt>
                <c:pt idx="23">
                  <c:v>2.4147533356365156</c:v>
                </c:pt>
                <c:pt idx="24">
                  <c:v>2.3894362432267497</c:v>
                </c:pt>
                <c:pt idx="25">
                  <c:v>2.3649218093538638</c:v>
                </c:pt>
                <c:pt idx="26">
                  <c:v>2.3411539550017397</c:v>
                </c:pt>
                <c:pt idx="27">
                  <c:v>2.3180825729496584</c:v>
                </c:pt>
                <c:pt idx="28">
                  <c:v>2.2956626996808129</c:v>
                </c:pt>
                <c:pt idx="29">
                  <c:v>2.2738538266627706</c:v>
                </c:pt>
                <c:pt idx="30">
                  <c:v>2.2526193237040273</c:v>
                </c:pt>
                <c:pt idx="31">
                  <c:v>2.2319259531386964</c:v>
                </c:pt>
                <c:pt idx="32">
                  <c:v>2.2117434581536477</c:v>
                </c:pt>
                <c:pt idx="33">
                  <c:v>2.1920442120473496</c:v>
                </c:pt>
                <c:pt idx="34">
                  <c:v>2.1728029178808042</c:v>
                </c:pt>
                <c:pt idx="35">
                  <c:v>2.1539963500515031</c:v>
                </c:pt>
                <c:pt idx="36">
                  <c:v>2.1356031309392862</c:v>
                </c:pt>
                <c:pt idx="37">
                  <c:v>2.1176035370467452</c:v>
                </c:pt>
                <c:pt idx="38">
                  <c:v>2.0999793300665375</c:v>
                </c:pt>
                <c:pt idx="39">
                  <c:v>2.082713609113974</c:v>
                </c:pt>
                <c:pt idx="40">
                  <c:v>2.0657906810103985</c:v>
                </c:pt>
                <c:pt idx="41">
                  <c:v>2.0491959460257605</c:v>
                </c:pt>
                <c:pt idx="42">
                  <c:v>2.0329157969135498</c:v>
                </c:pt>
                <c:pt idx="43">
                  <c:v>2.0169375294182008</c:v>
                </c:pt>
                <c:pt idx="44">
                  <c:v>2.0012492627198553</c:v>
                </c:pt>
                <c:pt idx="45">
                  <c:v>1.9858398685162881</c:v>
                </c:pt>
                <c:pt idx="46">
                  <c:v>1.970698907636447</c:v>
                </c:pt>
                <c:pt idx="47">
                  <c:v>1.955816573242056</c:v>
                </c:pt>
                <c:pt idx="48">
                  <c:v>1.9411836398091351</c:v>
                </c:pt>
                <c:pt idx="49">
                  <c:v>1.926791417194873</c:v>
                </c:pt>
                <c:pt idx="50">
                  <c:v>1.9126317091909892</c:v>
                </c:pt>
                <c:pt idx="51">
                  <c:v>1.8986967760456119</c:v>
                </c:pt>
                <c:pt idx="52">
                  <c:v>1.884979300504297</c:v>
                </c:pt>
                <c:pt idx="53">
                  <c:v>1.8714723569792584</c:v>
                </c:pt>
                <c:pt idx="54">
                  <c:v>1.8581693835057234</c:v>
                </c:pt>
                <c:pt idx="55">
                  <c:v>1.8450641561870644</c:v>
                </c:pt>
                <c:pt idx="56">
                  <c:v>1.8321507658670613</c:v>
                </c:pt>
                <c:pt idx="57">
                  <c:v>1.819423596799274</c:v>
                </c:pt>
                <c:pt idx="58">
                  <c:v>1.8068773071108284</c:v>
                </c:pt>
                <c:pt idx="59">
                  <c:v>1.7945068108815772</c:v>
                </c:pt>
                <c:pt idx="60">
                  <c:v>1.7823072616801765</c:v>
                </c:pt>
                <c:pt idx="61">
                  <c:v>1.7702740374164883</c:v>
                </c:pt>
                <c:pt idx="62">
                  <c:v>1.7584027263853708</c:v>
                </c:pt>
                <c:pt idx="63">
                  <c:v>1.7466891143905561</c:v>
                </c:pt>
                <c:pt idx="64">
                  <c:v>1.735129172849295</c:v>
                </c:pt>
                <c:pt idx="65">
                  <c:v>1.723719047789015</c:v>
                </c:pt>
                <c:pt idx="66">
                  <c:v>1.7124550496564312</c:v>
                </c:pt>
                <c:pt idx="67">
                  <c:v>1.7013336438678026</c:v>
                </c:pt>
                <c:pt idx="68">
                  <c:v>1.6903514420361945</c:v>
                </c:pt>
                <c:pt idx="69">
                  <c:v>1.6795051938180419</c:v>
                </c:pt>
                <c:pt idx="70">
                  <c:v>1.6687917793269755</c:v>
                </c:pt>
                <c:pt idx="71">
                  <c:v>1.6582082020679172</c:v>
                </c:pt>
                <c:pt idx="72">
                  <c:v>1.647751582348957</c:v>
                </c:pt>
                <c:pt idx="73">
                  <c:v>1.6374191511325256</c:v>
                </c:pt>
                <c:pt idx="74">
                  <c:v>1.6272082442909497</c:v>
                </c:pt>
                <c:pt idx="75">
                  <c:v>1.6171162972347068</c:v>
                </c:pt>
                <c:pt idx="76">
                  <c:v>1.6071408398845364</c:v>
                </c:pt>
                <c:pt idx="77">
                  <c:v>1.597279491961173</c:v>
                </c:pt>
                <c:pt idx="78">
                  <c:v>1.5875299585687555</c:v>
                </c:pt>
                <c:pt idx="79">
                  <c:v>1.5778900260500786</c:v>
                </c:pt>
                <c:pt idx="80">
                  <c:v>1.5683575580937132</c:v>
                </c:pt>
                <c:pt idx="81">
                  <c:v>1.558930492074722</c:v>
                </c:pt>
                <c:pt idx="82">
                  <c:v>1.5496068356122468</c:v>
                </c:pt>
                <c:pt idx="83">
                  <c:v>1.5403846633286102</c:v>
                </c:pt>
                <c:pt idx="84">
                  <c:v>1.5312621137958402</c:v>
                </c:pt>
                <c:pt idx="85">
                  <c:v>1.5222373866566765</c:v>
                </c:pt>
                <c:pt idx="86">
                  <c:v>1.5133087399081355</c:v>
                </c:pt>
                <c:pt idx="87">
                  <c:v>1.5044744873366716</c:v>
                </c:pt>
                <c:pt idx="88">
                  <c:v>1.4957329960948162</c:v>
                </c:pt>
                <c:pt idx="89">
                  <c:v>1.4870826844099607</c:v>
                </c:pt>
                <c:pt idx="90">
                  <c:v>1.4785220194166775</c:v>
                </c:pt>
                <c:pt idx="91">
                  <c:v>1.470049515104594</c:v>
                </c:pt>
                <c:pt idx="92">
                  <c:v>1.4616637303744677</c:v>
                </c:pt>
                <c:pt idx="93">
                  <c:v>1.4533632671956216</c:v>
                </c:pt>
                <c:pt idx="94">
                  <c:v>1.4451467688584239</c:v>
                </c:pt>
                <c:pt idx="95">
                  <c:v>1.4370129183159359</c:v>
                </c:pt>
                <c:pt idx="96">
                  <c:v>1.4289604366092883</c:v>
                </c:pt>
                <c:pt idx="97">
                  <c:v>1.4209880813717155</c:v>
                </c:pt>
                <c:pt idx="98">
                  <c:v>1.4130946454065469</c:v>
                </c:pt>
                <c:pt idx="99">
                  <c:v>1.4052789553347766</c:v>
                </c:pt>
                <c:pt idx="100">
                  <c:v>1.3975398703081243</c:v>
                </c:pt>
                <c:pt idx="101">
                  <c:v>1.3898762807837994</c:v>
                </c:pt>
                <c:pt idx="102">
                  <c:v>1.3822871073574099</c:v>
                </c:pt>
                <c:pt idx="103">
                  <c:v>1.3747712996507198</c:v>
                </c:pt>
                <c:pt idx="104">
                  <c:v>1.3673278352511526</c:v>
                </c:pt>
                <c:pt idx="105">
                  <c:v>1.3599557187001707</c:v>
                </c:pt>
                <c:pt idx="106">
                  <c:v>1.3526539805278057</c:v>
                </c:pt>
                <c:pt idx="107">
                  <c:v>1.3454216763308411</c:v>
                </c:pt>
                <c:pt idx="108">
                  <c:v>1.3382578858922569</c:v>
                </c:pt>
                <c:pt idx="109">
                  <c:v>1.331161712339735</c:v>
                </c:pt>
                <c:pt idx="110">
                  <c:v>1.3241322813411358</c:v>
                </c:pt>
                <c:pt idx="111">
                  <c:v>1.3171687403350054</c:v>
                </c:pt>
                <c:pt idx="112">
                  <c:v>1.3102702577942764</c:v>
                </c:pt>
                <c:pt idx="113">
                  <c:v>1.3034360225214454</c:v>
                </c:pt>
                <c:pt idx="114">
                  <c:v>1.2966652429736099</c:v>
                </c:pt>
                <c:pt idx="115">
                  <c:v>1.2899571466158499</c:v>
                </c:pt>
                <c:pt idx="116">
                  <c:v>1.2833109793015203</c:v>
                </c:pt>
                <c:pt idx="117">
                  <c:v>1.2767260046781082</c:v>
                </c:pt>
                <c:pt idx="118">
                  <c:v>1.2702015036173935</c:v>
                </c:pt>
                <c:pt idx="119">
                  <c:v>1.2637367736687111</c:v>
                </c:pt>
                <c:pt idx="120">
                  <c:v>1.2573311285341995</c:v>
                </c:pt>
                <c:pt idx="121">
                  <c:v>1.2509838975649574</c:v>
                </c:pt>
                <c:pt idx="122">
                  <c:v>1.2446944252771255</c:v>
                </c:pt>
                <c:pt idx="123">
                  <c:v>1.2384620708869332</c:v>
                </c:pt>
                <c:pt idx="124">
                  <c:v>1.2322862078638204</c:v>
                </c:pt>
                <c:pt idx="125">
                  <c:v>1.2261662235007911</c:v>
                </c:pt>
                <c:pt idx="126">
                  <c:v>1.2201015185011983</c:v>
                </c:pt>
                <c:pt idx="127">
                  <c:v>1.2140915065812046</c:v>
                </c:pt>
                <c:pt idx="128">
                  <c:v>1.2081356140872035</c:v>
                </c:pt>
                <c:pt idx="129">
                  <c:v>1.202233279627525</c:v>
                </c:pt>
                <c:pt idx="130">
                  <c:v>1.1963839537177796</c:v>
                </c:pt>
                <c:pt idx="131">
                  <c:v>1.1905870984392426</c:v>
                </c:pt>
                <c:pt idx="132">
                  <c:v>1.1848421871096879</c:v>
                </c:pt>
                <c:pt idx="133">
                  <c:v>1.179148703966139</c:v>
                </c:pt>
                <c:pt idx="134">
                  <c:v>1.1735061438590091</c:v>
                </c:pt>
                <c:pt idx="135">
                  <c:v>1.1679140119571421</c:v>
                </c:pt>
                <c:pt idx="136">
                  <c:v>1.1623718234632843</c:v>
                </c:pt>
                <c:pt idx="137">
                  <c:v>1.1568791033395462</c:v>
                </c:pt>
                <c:pt idx="138">
                  <c:v>1.1514353860424296</c:v>
                </c:pt>
                <c:pt idx="139">
                  <c:v>1.1460402152670155</c:v>
                </c:pt>
                <c:pt idx="140">
                  <c:v>1.1406931436999421</c:v>
                </c:pt>
                <c:pt idx="141">
                  <c:v>1.1353937327807953</c:v>
                </c:pt>
                <c:pt idx="142">
                  <c:v>1.1301415524715779</c:v>
                </c:pt>
                <c:pt idx="143">
                  <c:v>1.1249361810339238</c:v>
                </c:pt>
                <c:pt idx="144">
                  <c:v>1.1197772048137387</c:v>
                </c:pt>
                <c:pt idx="145">
                  <c:v>1.1146642180329802</c:v>
                </c:pt>
                <c:pt idx="146">
                  <c:v>1.1095968225882822</c:v>
                </c:pt>
                <c:pt idx="147">
                  <c:v>1.1045746278561583</c:v>
                </c:pt>
                <c:pt idx="148">
                  <c:v>1.0995972505045215</c:v>
                </c:pt>
                <c:pt idx="149">
                  <c:v>1.0946643143102772</c:v>
                </c:pt>
                <c:pt idx="150">
                  <c:v>1.0897754499827492</c:v>
                </c:pt>
                <c:pt idx="151">
                  <c:v>1.0849302949927198</c:v>
                </c:pt>
                <c:pt idx="152">
                  <c:v>1.0801284934068607</c:v>
                </c:pt>
                <c:pt idx="153">
                  <c:v>1.0753696957273604</c:v>
                </c:pt>
                <c:pt idx="154">
                  <c:v>1.07065355873654</c:v>
                </c:pt>
                <c:pt idx="155">
                  <c:v>1.0659797453462798</c:v>
                </c:pt>
                <c:pt idx="156">
                  <c:v>1.0613479244520729</c:v>
                </c:pt>
                <c:pt idx="157">
                  <c:v>1.056757770791533</c:v>
                </c:pt>
                <c:pt idx="158">
                  <c:v>1.0522089648071964</c:v>
                </c:pt>
                <c:pt idx="159">
                  <c:v>1.0477011925134585</c:v>
                </c:pt>
                <c:pt idx="160">
                  <c:v>1.0432341453674949</c:v>
                </c:pt>
                <c:pt idx="161">
                  <c:v>1.0388075201440237</c:v>
                </c:pt>
                <c:pt idx="162">
                  <c:v>1.0344210188137719</c:v>
                </c:pt>
                <c:pt idx="163">
                  <c:v>1.030074348425511</c:v>
                </c:pt>
                <c:pt idx="164">
                  <c:v>1.0257672209915385</c:v>
                </c:pt>
                <c:pt idx="165">
                  <c:v>1.0214993533764847</c:v>
                </c:pt>
                <c:pt idx="166">
                  <c:v>1.0172704671893218</c:v>
                </c:pt>
                <c:pt idx="167">
                  <c:v>1.0130802886784729</c:v>
                </c:pt>
                <c:pt idx="168">
                  <c:v>1.0089285486299067</c:v>
                </c:pt>
                <c:pt idx="169">
                  <c:v>1.004814982268122</c:v>
                </c:pt>
                <c:pt idx="170">
                  <c:v>1.0007393291599129</c:v>
                </c:pt>
                <c:pt idx="171">
                  <c:v>0.99670133312083387</c:v>
                </c:pt>
                <c:pt idx="172">
                  <c:v>0.99270074212426107</c:v>
                </c:pt>
                <c:pt idx="173">
                  <c:v>0.98873730821297245</c:v>
                </c:pt>
                <c:pt idx="174">
                  <c:v>0.98481078741315575</c:v>
                </c:pt>
                <c:pt idx="175">
                  <c:v>0.98092093965076632</c:v>
                </c:pt>
                <c:pt idx="176">
                  <c:v>0.97706752867016222</c:v>
                </c:pt>
                <c:pt idx="177">
                  <c:v>0.97325032195493</c:v>
                </c:pt>
                <c:pt idx="178">
                  <c:v>0.96946909065084474</c:v>
                </c:pt>
                <c:pt idx="179">
                  <c:v>0.96572360949088298</c:v>
                </c:pt>
                <c:pt idx="180">
                  <c:v>0.96201365672222883</c:v>
                </c:pt>
                <c:pt idx="181">
                  <c:v>0.95833901403520749</c:v>
                </c:pt>
                <c:pt idx="182">
                  <c:v>0.95469946649408488</c:v>
                </c:pt>
                <c:pt idx="183">
                  <c:v>0.95109480246967637</c:v>
                </c:pt>
                <c:pt idx="184">
                  <c:v>0.94752481357370222</c:v>
                </c:pt>
                <c:pt idx="185">
                  <c:v>0.94398929459484249</c:v>
                </c:pt>
                <c:pt idx="186">
                  <c:v>0.94048804343643289</c:v>
                </c:pt>
                <c:pt idx="187">
                  <c:v>0.93702086105575111</c:v>
                </c:pt>
                <c:pt idx="188">
                  <c:v>0.93358755140485017</c:v>
                </c:pt>
                <c:pt idx="189">
                  <c:v>0.93018792137288231</c:v>
                </c:pt>
                <c:pt idx="190">
                  <c:v>0.92682178072987798</c:v>
                </c:pt>
                <c:pt idx="191">
                  <c:v>0.92348894207192589</c:v>
                </c:pt>
                <c:pt idx="192">
                  <c:v>0.92018922076772247</c:v>
                </c:pt>
                <c:pt idx="193">
                  <c:v>0.9169224349064391</c:v>
                </c:pt>
                <c:pt idx="194">
                  <c:v>0.91368840524687678</c:v>
                </c:pt>
                <c:pt idx="195">
                  <c:v>0.91048695516786293</c:v>
                </c:pt>
                <c:pt idx="196">
                  <c:v>0.90731791061986011</c:v>
                </c:pt>
                <c:pt idx="197">
                  <c:v>0.90418110007774555</c:v>
                </c:pt>
                <c:pt idx="198">
                  <c:v>0.90107635449473089</c:v>
                </c:pt>
                <c:pt idx="199">
                  <c:v>0.89800350725738731</c:v>
                </c:pt>
                <c:pt idx="200">
                  <c:v>0.89496239414174528</c:v>
                </c:pt>
                <c:pt idx="201">
                  <c:v>0.89195285327043683</c:v>
                </c:pt>
                <c:pt idx="202">
                  <c:v>0.88897472507085129</c:v>
                </c:pt>
                <c:pt idx="203">
                  <c:v>0.88602785223427594</c:v>
                </c:pt>
                <c:pt idx="204">
                  <c:v>0.8831120796759917</c:v>
                </c:pt>
                <c:pt idx="205">
                  <c:v>0.88022725449630257</c:v>
                </c:pt>
                <c:pt idx="206">
                  <c:v>0.87737322594246292</c:v>
                </c:pt>
                <c:pt idx="207">
                  <c:v>0.87454984537148817</c:v>
                </c:pt>
                <c:pt idx="208">
                  <c:v>0.87175696621381671</c:v>
                </c:pt>
                <c:pt idx="209">
                  <c:v>0.8689944439378039</c:v>
                </c:pt>
                <c:pt idx="210">
                  <c:v>0.866262136015024</c:v>
                </c:pt>
                <c:pt idx="211">
                  <c:v>0.8635599018863549</c:v>
                </c:pt>
                <c:pt idx="212">
                  <c:v>0.8608876029288326</c:v>
                </c:pt>
                <c:pt idx="213">
                  <c:v>0.85824510242324292</c:v>
                </c:pt>
                <c:pt idx="214">
                  <c:v>0.85563226552244154</c:v>
                </c:pt>
                <c:pt idx="215">
                  <c:v>0.85304895922037738</c:v>
                </c:pt>
                <c:pt idx="216">
                  <c:v>0.85049505232179978</c:v>
                </c:pt>
                <c:pt idx="217">
                  <c:v>0.84797041541263418</c:v>
                </c:pt>
                <c:pt idx="218">
                  <c:v>0.84547492083100795</c:v>
                </c:pt>
                <c:pt idx="219">
                  <c:v>0.8430084426389074</c:v>
                </c:pt>
                <c:pt idx="220">
                  <c:v>0.84057085659445219</c:v>
                </c:pt>
                <c:pt idx="221">
                  <c:v>0.83816204012476969</c:v>
                </c:pt>
                <c:pt idx="222">
                  <c:v>0.83578187229945167</c:v>
                </c:pt>
                <c:pt idx="223">
                  <c:v>0.83343023380458381</c:v>
                </c:pt>
                <c:pt idx="224">
                  <c:v>0.83110700691732786</c:v>
                </c:pt>
                <c:pt idx="225">
                  <c:v>0.82881207548104385</c:v>
                </c:pt>
                <c:pt idx="226">
                  <c:v>0.82654532488094179</c:v>
                </c:pt>
                <c:pt idx="227">
                  <c:v>0.82430664202024373</c:v>
                </c:pt>
                <c:pt idx="228">
                  <c:v>0.82209591529685011</c:v>
                </c:pt>
                <c:pt idx="229">
                  <c:v>0.8199130345804897</c:v>
                </c:pt>
                <c:pt idx="230">
                  <c:v>0.81775789119034958</c:v>
                </c:pt>
                <c:pt idx="231">
                  <c:v>0.81563037787316728</c:v>
                </c:pt>
                <c:pt idx="232">
                  <c:v>0.81353038878177497</c:v>
                </c:pt>
                <c:pt idx="233">
                  <c:v>0.8114578194540869</c:v>
                </c:pt>
                <c:pt idx="234">
                  <c:v>0.80941256679251561</c:v>
                </c:pt>
                <c:pt idx="235">
                  <c:v>0.80739452904380982</c:v>
                </c:pt>
                <c:pt idx="236">
                  <c:v>0.8054036057793017</c:v>
                </c:pt>
                <c:pt idx="237">
                  <c:v>0.80343969787555314</c:v>
                </c:pt>
                <c:pt idx="238">
                  <c:v>0.80150270749539476</c:v>
                </c:pt>
                <c:pt idx="239">
                  <c:v>0.79959253806934361</c:v>
                </c:pt>
                <c:pt idx="240">
                  <c:v>0.79770909427739423</c:v>
                </c:pt>
                <c:pt idx="241">
                  <c:v>0.79585228203117309</c:v>
                </c:pt>
                <c:pt idx="242">
                  <c:v>0.7940220084564461</c:v>
                </c:pt>
                <c:pt idx="243">
                  <c:v>0.79221818187597404</c:v>
                </c:pt>
                <c:pt idx="244">
                  <c:v>0.7904407117927047</c:v>
                </c:pt>
                <c:pt idx="245">
                  <c:v>0.78868950887329681</c:v>
                </c:pt>
                <c:pt idx="246">
                  <c:v>0.78696448493196525</c:v>
                </c:pt>
                <c:pt idx="247">
                  <c:v>0.78526555291464173</c:v>
                </c:pt>
                <c:pt idx="248">
                  <c:v>0.78359262688344367</c:v>
                </c:pt>
                <c:pt idx="249">
                  <c:v>0.78194562200144291</c:v>
                </c:pt>
                <c:pt idx="250">
                  <c:v>0.78032445451773058</c:v>
                </c:pt>
                <c:pt idx="251">
                  <c:v>0.77872904175276614</c:v>
                </c:pt>
                <c:pt idx="252">
                  <c:v>0.77715930208401063</c:v>
                </c:pt>
                <c:pt idx="253">
                  <c:v>0.77561515493183053</c:v>
                </c:pt>
                <c:pt idx="254">
                  <c:v>0.77409652074567459</c:v>
                </c:pt>
                <c:pt idx="255">
                  <c:v>0.77260332099050755</c:v>
                </c:pt>
                <c:pt idx="256">
                  <c:v>0.77113547813350525</c:v>
                </c:pt>
                <c:pt idx="257">
                  <c:v>0.76969291563099873</c:v>
                </c:pt>
                <c:pt idx="258">
                  <c:v>0.7682755579156616</c:v>
                </c:pt>
                <c:pt idx="259">
                  <c:v>0.76688333038394074</c:v>
                </c:pt>
                <c:pt idx="260">
                  <c:v>0.76551615938372009</c:v>
                </c:pt>
                <c:pt idx="261">
                  <c:v>0.76417397220221284</c:v>
                </c:pt>
                <c:pt idx="262">
                  <c:v>0.76285669705408077</c:v>
                </c:pt>
                <c:pt idx="263">
                  <c:v>0.76156426306977132</c:v>
                </c:pt>
                <c:pt idx="264">
                  <c:v>0.76029660028407042</c:v>
                </c:pt>
                <c:pt idx="265">
                  <c:v>0.75905363962486627</c:v>
                </c:pt>
                <c:pt idx="266">
                  <c:v>0.75783531290211781</c:v>
                </c:pt>
                <c:pt idx="267">
                  <c:v>0.75664155279702605</c:v>
                </c:pt>
                <c:pt idx="268">
                  <c:v>0.7554722928514026</c:v>
                </c:pt>
                <c:pt idx="269">
                  <c:v>0.75432746745723001</c:v>
                </c:pt>
                <c:pt idx="270">
                  <c:v>0.75320701184641403</c:v>
                </c:pt>
                <c:pt idx="271">
                  <c:v>0.75211086208071742</c:v>
                </c:pt>
                <c:pt idx="272">
                  <c:v>0.75103895504187912</c:v>
                </c:pt>
                <c:pt idx="273">
                  <c:v>0.7499912284219078</c:v>
                </c:pt>
                <c:pt idx="274">
                  <c:v>0.74896762071355083</c:v>
                </c:pt>
                <c:pt idx="275">
                  <c:v>0.74796807120093411</c:v>
                </c:pt>
                <c:pt idx="276">
                  <c:v>0.74699251995036842</c:v>
                </c:pt>
                <c:pt idx="277">
                  <c:v>0.74604090780131815</c:v>
                </c:pt>
                <c:pt idx="278">
                  <c:v>0.74511317635753227</c:v>
                </c:pt>
                <c:pt idx="279">
                  <c:v>0.7442092679783312</c:v>
                </c:pt>
                <c:pt idx="280">
                  <c:v>0.74332912577004751</c:v>
                </c:pt>
                <c:pt idx="281">
                  <c:v>0.74247269357761836</c:v>
                </c:pt>
                <c:pt idx="282">
                  <c:v>0.74163991597632439</c:v>
                </c:pt>
                <c:pt idx="283">
                  <c:v>0.74083073826367452</c:v>
                </c:pt>
                <c:pt idx="284">
                  <c:v>0.74004510645143251</c:v>
                </c:pt>
                <c:pt idx="285">
                  <c:v>0.73928296725778297</c:v>
                </c:pt>
                <c:pt idx="286">
                  <c:v>0.73854426809963336</c:v>
                </c:pt>
                <c:pt idx="287">
                  <c:v>0.7378289570850507</c:v>
                </c:pt>
                <c:pt idx="288">
                  <c:v>0.73713698300582808</c:v>
                </c:pt>
                <c:pt idx="289">
                  <c:v>0.73646829533018254</c:v>
                </c:pt>
                <c:pt idx="290">
                  <c:v>0.7358228441955762</c:v>
                </c:pt>
                <c:pt idx="291">
                  <c:v>0.73520058040166381</c:v>
                </c:pt>
                <c:pt idx="292">
                  <c:v>0.73460145540335986</c:v>
                </c:pt>
                <c:pt idx="293">
                  <c:v>0.73402542130402681</c:v>
                </c:pt>
                <c:pt idx="294">
                  <c:v>0.73347243084877811</c:v>
                </c:pt>
                <c:pt idx="295">
                  <c:v>0.73294243741789833</c:v>
                </c:pt>
                <c:pt idx="296">
                  <c:v>0.73243539502037402</c:v>
                </c:pt>
                <c:pt idx="297">
                  <c:v>0.73195125828753649</c:v>
                </c:pt>
                <c:pt idx="298">
                  <c:v>0.73148998246681129</c:v>
                </c:pt>
                <c:pt idx="299">
                  <c:v>0.73105152341557789</c:v>
                </c:pt>
                <c:pt idx="300">
                  <c:v>0.73063583759512807</c:v>
                </c:pt>
                <c:pt idx="301">
                  <c:v>0.73024288206473309</c:v>
                </c:pt>
                <c:pt idx="302">
                  <c:v>0.72987261447580698</c:v>
                </c:pt>
                <c:pt idx="303">
                  <c:v>0.7295249930661718</c:v>
                </c:pt>
                <c:pt idx="304">
                  <c:v>0.72919997665441816</c:v>
                </c:pt>
                <c:pt idx="305">
                  <c:v>0.7288975246343623</c:v>
                </c:pt>
                <c:pt idx="306">
                  <c:v>0.72861759696959583</c:v>
                </c:pt>
                <c:pt idx="307">
                  <c:v>0.72836015418812905</c:v>
                </c:pt>
                <c:pt idx="308">
                  <c:v>0.72812515737712258</c:v>
                </c:pt>
                <c:pt idx="309">
                  <c:v>0.72791256817771066</c:v>
                </c:pt>
                <c:pt idx="310">
                  <c:v>0.72772234877990816</c:v>
                </c:pt>
                <c:pt idx="311">
                  <c:v>0.72755446191760709</c:v>
                </c:pt>
                <c:pt idx="312">
                  <c:v>0.72740887086365424</c:v>
                </c:pt>
                <c:pt idx="313">
                  <c:v>0.72728553942501351</c:v>
                </c:pt>
                <c:pt idx="314">
                  <c:v>0.72718443193800897</c:v>
                </c:pt>
                <c:pt idx="315">
                  <c:v>0.72710551326364836</c:v>
                </c:pt>
                <c:pt idx="316">
                  <c:v>0.72704874878302395</c:v>
                </c:pt>
                <c:pt idx="317">
                  <c:v>0.7270141043927929</c:v>
                </c:pt>
                <c:pt idx="318">
                  <c:v>0.72700154650073112</c:v>
                </c:pt>
                <c:pt idx="319">
                  <c:v>0.7270110420213638</c:v>
                </c:pt>
                <c:pt idx="320">
                  <c:v>0.72704255837166865</c:v>
                </c:pt>
                <c:pt idx="321">
                  <c:v>0.72709606346685129</c:v>
                </c:pt>
                <c:pt idx="322">
                  <c:v>0.72717152571619192</c:v>
                </c:pt>
                <c:pt idx="323">
                  <c:v>0.72726891401896188</c:v>
                </c:pt>
                <c:pt idx="324">
                  <c:v>0.72738819776040886</c:v>
                </c:pt>
                <c:pt idx="325">
                  <c:v>0.7275293468078099</c:v>
                </c:pt>
                <c:pt idx="326">
                  <c:v>0.72769233150659041</c:v>
                </c:pt>
                <c:pt idx="327">
                  <c:v>0.72787712267651061</c:v>
                </c:pt>
                <c:pt idx="328">
                  <c:v>0.72808369160791253</c:v>
                </c:pt>
                <c:pt idx="329">
                  <c:v>0.72831201005803536</c:v>
                </c:pt>
                <c:pt idx="330">
                  <c:v>0.7285620502473884</c:v>
                </c:pt>
                <c:pt idx="331">
                  <c:v>0.72883378485618922</c:v>
                </c:pt>
                <c:pt idx="332">
                  <c:v>0.72912718702085966</c:v>
                </c:pt>
                <c:pt idx="333">
                  <c:v>0.72944223033058364</c:v>
                </c:pt>
                <c:pt idx="334">
                  <c:v>0.72977888882392083</c:v>
                </c:pt>
                <c:pt idx="335">
                  <c:v>0.73013713698548099</c:v>
                </c:pt>
                <c:pt idx="336">
                  <c:v>0.73051694974265247</c:v>
                </c:pt>
                <c:pt idx="337">
                  <c:v>0.73091830246238909</c:v>
                </c:pt>
                <c:pt idx="338">
                  <c:v>0.73134117094804918</c:v>
                </c:pt>
                <c:pt idx="339">
                  <c:v>0.73178553143629288</c:v>
                </c:pt>
                <c:pt idx="340">
                  <c:v>0.7322513605940284</c:v>
                </c:pt>
                <c:pt idx="341">
                  <c:v>0.73273863551541496</c:v>
                </c:pt>
                <c:pt idx="342">
                  <c:v>0.7332473337189146</c:v>
                </c:pt>
                <c:pt idx="343">
                  <c:v>0.73377743314439736</c:v>
                </c:pt>
                <c:pt idx="344">
                  <c:v>0.73432891215029561</c:v>
                </c:pt>
                <c:pt idx="345">
                  <c:v>0.73490174951080767</c:v>
                </c:pt>
                <c:pt idx="346">
                  <c:v>0.73549592441315226</c:v>
                </c:pt>
                <c:pt idx="347">
                  <c:v>0.73611141645486888</c:v>
                </c:pt>
                <c:pt idx="348">
                  <c:v>0.73674820564116783</c:v>
                </c:pt>
                <c:pt idx="349">
                  <c:v>0.73740627238232526</c:v>
                </c:pt>
                <c:pt idx="350">
                  <c:v>0.73808559749112623</c:v>
                </c:pt>
                <c:pt idx="351">
                  <c:v>0.7387861621803522</c:v>
                </c:pt>
                <c:pt idx="352">
                  <c:v>0.7395079480603135</c:v>
                </c:pt>
                <c:pt idx="353">
                  <c:v>0.74025093713642709</c:v>
                </c:pt>
                <c:pt idx="354">
                  <c:v>0.74101511180683688</c:v>
                </c:pt>
                <c:pt idx="355">
                  <c:v>0.74180045486007828</c:v>
                </c:pt>
                <c:pt idx="356">
                  <c:v>0.74260694947278505</c:v>
                </c:pt>
                <c:pt idx="357">
                  <c:v>0.74343457920743705</c:v>
                </c:pt>
                <c:pt idx="358">
                  <c:v>0.74428332801015151</c:v>
                </c:pt>
                <c:pt idx="359">
                  <c:v>0.7451531802085134</c:v>
                </c:pt>
                <c:pt idx="360">
                  <c:v>0.74604412050944724</c:v>
                </c:pt>
                <c:pt idx="361">
                  <c:v>0.74695613399712846</c:v>
                </c:pt>
                <c:pt idx="362">
                  <c:v>0.74788920613093401</c:v>
                </c:pt>
                <c:pt idx="363">
                  <c:v>0.74884332274343202</c:v>
                </c:pt>
                <c:pt idx="364">
                  <c:v>0.74981847003841007</c:v>
                </c:pt>
                <c:pt idx="365">
                  <c:v>0.75081463458894038</c:v>
                </c:pt>
                <c:pt idx="366">
                  <c:v>0.75183180333548405</c:v>
                </c:pt>
                <c:pt idx="367">
                  <c:v>0.75286996358403047</c:v>
                </c:pt>
                <c:pt idx="368">
                  <c:v>0.75392910300427518</c:v>
                </c:pt>
                <c:pt idx="369">
                  <c:v>0.75500920962783169</c:v>
                </c:pt>
                <c:pt idx="370">
                  <c:v>0.75611027184648083</c:v>
                </c:pt>
                <c:pt idx="371">
                  <c:v>0.75723227841045448</c:v>
                </c:pt>
                <c:pt idx="372">
                  <c:v>0.75837521842675426</c:v>
                </c:pt>
                <c:pt idx="373">
                  <c:v>0.75953908135750381</c:v>
                </c:pt>
                <c:pt idx="374">
                  <c:v>0.76072385701833778</c:v>
                </c:pt>
                <c:pt idx="375">
                  <c:v>0.76192953557682053</c:v>
                </c:pt>
                <c:pt idx="376">
                  <c:v>0.76315610755090169</c:v>
                </c:pt>
                <c:pt idx="377">
                  <c:v>0.76440356380740226</c:v>
                </c:pt>
                <c:pt idx="378">
                  <c:v>0.76567189556053483</c:v>
                </c:pt>
                <c:pt idx="379">
                  <c:v>0.76696109437045457</c:v>
                </c:pt>
                <c:pt idx="380">
                  <c:v>0.76827115214184349</c:v>
                </c:pt>
                <c:pt idx="381">
                  <c:v>0.76960206112252472</c:v>
                </c:pt>
                <c:pt idx="382">
                  <c:v>0.7709538139021096</c:v>
                </c:pt>
                <c:pt idx="383">
                  <c:v>0.77232640341067427</c:v>
                </c:pt>
                <c:pt idx="384">
                  <c:v>0.77371982291746733</c:v>
                </c:pt>
                <c:pt idx="385">
                  <c:v>0.77513406602964763</c:v>
                </c:pt>
                <c:pt idx="386">
                  <c:v>0.77656912669105238</c:v>
                </c:pt>
                <c:pt idx="387">
                  <c:v>0.77802499918099466</c:v>
                </c:pt>
                <c:pt idx="388">
                  <c:v>0.77950167811308924</c:v>
                </c:pt>
                <c:pt idx="389">
                  <c:v>0.78099915843411016</c:v>
                </c:pt>
                <c:pt idx="390">
                  <c:v>0.78251743542287355</c:v>
                </c:pt>
                <c:pt idx="391">
                  <c:v>0.784056504689152</c:v>
                </c:pt>
                <c:pt idx="392">
                  <c:v>0.78561636217261532</c:v>
                </c:pt>
                <c:pt idx="393">
                  <c:v>0.78719700414180049</c:v>
                </c:pt>
                <c:pt idx="394">
                  <c:v>0.78879842719310822</c:v>
                </c:pt>
                <c:pt idx="395">
                  <c:v>0.79042062824982806</c:v>
                </c:pt>
                <c:pt idx="396">
                  <c:v>0.7920636045611904</c:v>
                </c:pt>
                <c:pt idx="397">
                  <c:v>0.79372735370144565</c:v>
                </c:pt>
                <c:pt idx="398">
                  <c:v>0.79541187356896881</c:v>
                </c:pt>
                <c:pt idx="399">
                  <c:v>0.79711716238539321</c:v>
                </c:pt>
                <c:pt idx="400">
                  <c:v>0.79884321869476893</c:v>
                </c:pt>
                <c:pt idx="401">
                  <c:v>0.80059004136274758</c:v>
                </c:pt>
                <c:pt idx="402">
                  <c:v>0.80235762957579293</c:v>
                </c:pt>
                <c:pt idx="403">
                  <c:v>0.80414598284041816</c:v>
                </c:pt>
                <c:pt idx="404">
                  <c:v>0.8059551009824476</c:v>
                </c:pt>
                <c:pt idx="405">
                  <c:v>0.80778498414630473</c:v>
                </c:pt>
                <c:pt idx="406">
                  <c:v>0.80963563279432371</c:v>
                </c:pt>
                <c:pt idx="407">
                  <c:v>0.81150704770608939</c:v>
                </c:pt>
                <c:pt idx="408">
                  <c:v>0.81339922997779834</c:v>
                </c:pt>
                <c:pt idx="409">
                  <c:v>0.8153121810216456</c:v>
                </c:pt>
                <c:pt idx="410">
                  <c:v>0.81724590256523932</c:v>
                </c:pt>
                <c:pt idx="411">
                  <c:v>0.81920039665103261</c:v>
                </c:pt>
                <c:pt idx="412">
                  <c:v>0.82117566563578803</c:v>
                </c:pt>
                <c:pt idx="413">
                  <c:v>0.82317171219005936</c:v>
                </c:pt>
                <c:pt idx="414">
                  <c:v>0.8251885392977012</c:v>
                </c:pt>
                <c:pt idx="415">
                  <c:v>0.82722615025539958</c:v>
                </c:pt>
                <c:pt idx="416">
                  <c:v>0.82928454867223</c:v>
                </c:pt>
                <c:pt idx="417">
                  <c:v>0.83136373846923317</c:v>
                </c:pt>
                <c:pt idx="418">
                  <c:v>0.83346372387902112</c:v>
                </c:pt>
                <c:pt idx="419">
                  <c:v>0.83558450944539997</c:v>
                </c:pt>
                <c:pt idx="420">
                  <c:v>0.83772610002302061</c:v>
                </c:pt>
                <c:pt idx="421">
                  <c:v>0.83988850077704924</c:v>
                </c:pt>
                <c:pt idx="422">
                  <c:v>0.84207171718286367</c:v>
                </c:pt>
                <c:pt idx="423">
                  <c:v>0.84427575502576835</c:v>
                </c:pt>
                <c:pt idx="424">
                  <c:v>0.84650062040073715</c:v>
                </c:pt>
                <c:pt idx="425">
                  <c:v>0.84874631971217396</c:v>
                </c:pt>
                <c:pt idx="426">
                  <c:v>0.8510128596737</c:v>
                </c:pt>
                <c:pt idx="427">
                  <c:v>0.85330024730795873</c:v>
                </c:pt>
                <c:pt idx="428">
                  <c:v>0.85560848994644867</c:v>
                </c:pt>
                <c:pt idx="429">
                  <c:v>0.85793759522937263</c:v>
                </c:pt>
                <c:pt idx="430">
                  <c:v>0.86028757110551479</c:v>
                </c:pt>
                <c:pt idx="431">
                  <c:v>0.86265842583213437</c:v>
                </c:pt>
                <c:pt idx="432">
                  <c:v>0.86505016797488632</c:v>
                </c:pt>
                <c:pt idx="433">
                  <c:v>0.86746280640775919</c:v>
                </c:pt>
                <c:pt idx="434">
                  <c:v>0.86989635031303969</c:v>
                </c:pt>
                <c:pt idx="435">
                  <c:v>0.87235080918129371</c:v>
                </c:pt>
                <c:pt idx="436">
                  <c:v>0.87482619281137519</c:v>
                </c:pt>
                <c:pt idx="437">
                  <c:v>0.87732251131045058</c:v>
                </c:pt>
                <c:pt idx="438">
                  <c:v>0.87983977509404954</c:v>
                </c:pt>
                <c:pt idx="439">
                  <c:v>0.88237799488613411</c:v>
                </c:pt>
                <c:pt idx="440">
                  <c:v>0.88493718171919267</c:v>
                </c:pt>
                <c:pt idx="441">
                  <c:v>0.88751734693435136</c:v>
                </c:pt>
                <c:pt idx="442">
                  <c:v>0.89011850218151078</c:v>
                </c:pt>
                <c:pt idx="443">
                  <c:v>0.89274065941950143</c:v>
                </c:pt>
                <c:pt idx="444">
                  <c:v>0.89538383091626306</c:v>
                </c:pt>
                <c:pt idx="445">
                  <c:v>0.89804802924904115</c:v>
                </c:pt>
                <c:pt idx="446">
                  <c:v>0.90073326730461178</c:v>
                </c:pt>
                <c:pt idx="447">
                  <c:v>0.90343955827951916</c:v>
                </c:pt>
                <c:pt idx="448">
                  <c:v>0.90616691568034258</c:v>
                </c:pt>
                <c:pt idx="449">
                  <c:v>0.90891535332397844</c:v>
                </c:pt>
                <c:pt idx="450">
                  <c:v>0.91168488533794834</c:v>
                </c:pt>
                <c:pt idx="451">
                  <c:v>0.91447552616072436</c:v>
                </c:pt>
                <c:pt idx="452">
                  <c:v>0.91728729054208014</c:v>
                </c:pt>
                <c:pt idx="453">
                  <c:v>0.92012019354345742</c:v>
                </c:pt>
                <c:pt idx="454">
                  <c:v>0.92297425053836091</c:v>
                </c:pt>
                <c:pt idx="455">
                  <c:v>0.925849477212768</c:v>
                </c:pt>
                <c:pt idx="456">
                  <c:v>0.92874588956556414</c:v>
                </c:pt>
                <c:pt idx="457">
                  <c:v>0.9316635039089971</c:v>
                </c:pt>
                <c:pt idx="458">
                  <c:v>0.93460233686915517</c:v>
                </c:pt>
                <c:pt idx="459">
                  <c:v>0.93756240538646241</c:v>
                </c:pt>
                <c:pt idx="460">
                  <c:v>0.94054372671620134</c:v>
                </c:pt>
                <c:pt idx="461">
                  <c:v>0.94354631842905068</c:v>
                </c:pt>
                <c:pt idx="462">
                  <c:v>0.94657019841165058</c:v>
                </c:pt>
                <c:pt idx="463">
                  <c:v>0.94961538486718322</c:v>
                </c:pt>
                <c:pt idx="464">
                  <c:v>0.95268189631598188</c:v>
                </c:pt>
                <c:pt idx="465">
                  <c:v>0.95576975159615407</c:v>
                </c:pt>
                <c:pt idx="466">
                  <c:v>0.95887896986423371</c:v>
                </c:pt>
                <c:pt idx="467">
                  <c:v>0.96200957059584846</c:v>
                </c:pt>
                <c:pt idx="468">
                  <c:v>0.96516157358641386</c:v>
                </c:pt>
                <c:pt idx="469">
                  <c:v>0.96833499895184638</c:v>
                </c:pt>
                <c:pt idx="470">
                  <c:v>0.97152986712929867</c:v>
                </c:pt>
                <c:pt idx="471">
                  <c:v>0.97474619887791769</c:v>
                </c:pt>
                <c:pt idx="472">
                  <c:v>0.97798401527962475</c:v>
                </c:pt>
                <c:pt idx="473">
                  <c:v>0.9812433377399159</c:v>
                </c:pt>
                <c:pt idx="474">
                  <c:v>0.98452418798868657</c:v>
                </c:pt>
                <c:pt idx="475">
                  <c:v>0.98782658808107771</c:v>
                </c:pt>
                <c:pt idx="476">
                  <c:v>0.99115056039834304</c:v>
                </c:pt>
                <c:pt idx="477">
                  <c:v>0.99449612764874085</c:v>
                </c:pt>
                <c:pt idx="478">
                  <c:v>0.99786331286844587</c:v>
                </c:pt>
                <c:pt idx="479">
                  <c:v>1.0012521394224858</c:v>
                </c:pt>
                <c:pt idx="480">
                  <c:v>1.0046626310056992</c:v>
                </c:pt>
                <c:pt idx="481">
                  <c:v>1.0080948116437158</c:v>
                </c:pt>
                <c:pt idx="482">
                  <c:v>1.0115487056939609</c:v>
                </c:pt>
                <c:pt idx="483">
                  <c:v>1.0150243378466826</c:v>
                </c:pt>
                <c:pt idx="484">
                  <c:v>1.018521733125999</c:v>
                </c:pt>
                <c:pt idx="485">
                  <c:v>1.0220409168909754</c:v>
                </c:pt>
                <c:pt idx="486">
                  <c:v>1.0255819148367151</c:v>
                </c:pt>
                <c:pt idx="487">
                  <c:v>1.0291447529954836</c:v>
                </c:pt>
                <c:pt idx="488">
                  <c:v>1.032729457737849</c:v>
                </c:pt>
                <c:pt idx="489">
                  <c:v>1.0363360557738481</c:v>
                </c:pt>
                <c:pt idx="490">
                  <c:v>1.0399645741541794</c:v>
                </c:pt>
                <c:pt idx="491">
                  <c:v>1.0436150402714146</c:v>
                </c:pt>
                <c:pt idx="492">
                  <c:v>1.0472874818612381</c:v>
                </c:pt>
                <c:pt idx="493">
                  <c:v>1.0509819270037097</c:v>
                </c:pt>
                <c:pt idx="494">
                  <c:v>1.0546984041245502</c:v>
                </c:pt>
                <c:pt idx="495">
                  <c:v>1.0584369419964534</c:v>
                </c:pt>
                <c:pt idx="496">
                  <c:v>1.0621975697404216</c:v>
                </c:pt>
                <c:pt idx="497">
                  <c:v>1.065980316827126</c:v>
                </c:pt>
                <c:pt idx="498">
                  <c:v>1.0697852130782919</c:v>
                </c:pt>
                <c:pt idx="499">
                  <c:v>1.0736122886681096</c:v>
                </c:pt>
                <c:pt idx="500">
                  <c:v>1.0774615741246705</c:v>
                </c:pt>
                <c:pt idx="501">
                  <c:v>1.0813331003314268</c:v>
                </c:pt>
                <c:pt idx="502">
                  <c:v>1.0852268985286793</c:v>
                </c:pt>
                <c:pt idx="503">
                  <c:v>1.0891430003150897</c:v>
                </c:pt>
                <c:pt idx="504">
                  <c:v>1.0930814376492193</c:v>
                </c:pt>
                <c:pt idx="505">
                  <c:v>1.0970422428510933</c:v>
                </c:pt>
                <c:pt idx="506">
                  <c:v>1.1010254486037907</c:v>
                </c:pt>
                <c:pt idx="507">
                  <c:v>1.1050310879550633</c:v>
                </c:pt>
                <c:pt idx="508">
                  <c:v>1.1090591943189796</c:v>
                </c:pt>
                <c:pt idx="509">
                  <c:v>1.1131098014775942</c:v>
                </c:pt>
                <c:pt idx="510">
                  <c:v>1.1171829435826484</c:v>
                </c:pt>
                <c:pt idx="511">
                  <c:v>1.1212786551572942</c:v>
                </c:pt>
                <c:pt idx="512">
                  <c:v>1.1253969710978478</c:v>
                </c:pt>
                <c:pt idx="513">
                  <c:v>1.1295379266755703</c:v>
                </c:pt>
                <c:pt idx="514">
                  <c:v>1.133701557538477</c:v>
                </c:pt>
                <c:pt idx="515">
                  <c:v>1.1378878997131747</c:v>
                </c:pt>
                <c:pt idx="516">
                  <c:v>1.1420969896067263</c:v>
                </c:pt>
                <c:pt idx="517">
                  <c:v>1.1463288640085472</c:v>
                </c:pt>
                <c:pt idx="518">
                  <c:v>1.1505835600923258</c:v>
                </c:pt>
                <c:pt idx="519">
                  <c:v>1.1548611154179784</c:v>
                </c:pt>
                <c:pt idx="520">
                  <c:v>1.1591615679336313</c:v>
                </c:pt>
                <c:pt idx="521">
                  <c:v>1.1634849559776304</c:v>
                </c:pt>
                <c:pt idx="522">
                  <c:v>1.1678313182805855</c:v>
                </c:pt>
                <c:pt idx="523">
                  <c:v>1.1722006939674405</c:v>
                </c:pt>
                <c:pt idx="524">
                  <c:v>1.1765931225595774</c:v>
                </c:pt>
                <c:pt idx="525">
                  <c:v>1.1810086439769483</c:v>
                </c:pt>
                <c:pt idx="526">
                  <c:v>1.1854472985402422</c:v>
                </c:pt>
                <c:pt idx="527">
                  <c:v>1.1899091269730779</c:v>
                </c:pt>
                <c:pt idx="528">
                  <c:v>1.1943941704042342</c:v>
                </c:pt>
                <c:pt idx="529">
                  <c:v>1.1989024703699092</c:v>
                </c:pt>
                <c:pt idx="530">
                  <c:v>1.203434068816011</c:v>
                </c:pt>
                <c:pt idx="531">
                  <c:v>1.207989008100484</c:v>
                </c:pt>
                <c:pt idx="532">
                  <c:v>1.2125673309956653</c:v>
                </c:pt>
                <c:pt idx="533">
                  <c:v>1.2171690806906759</c:v>
                </c:pt>
                <c:pt idx="534">
                  <c:v>1.2217943007938459</c:v>
                </c:pt>
                <c:pt idx="535">
                  <c:v>1.2264430353351723</c:v>
                </c:pt>
                <c:pt idx="536">
                  <c:v>1.2311153287688115</c:v>
                </c:pt>
                <c:pt idx="537">
                  <c:v>1.2358112259756076</c:v>
                </c:pt>
                <c:pt idx="538">
                  <c:v>1.2405307722656538</c:v>
                </c:pt>
                <c:pt idx="539">
                  <c:v>1.2452740133808908</c:v>
                </c:pt>
                <c:pt idx="540">
                  <c:v>1.2500409954977409</c:v>
                </c:pt>
                <c:pt idx="541">
                  <c:v>1.2548317652297758</c:v>
                </c:pt>
                <c:pt idx="542">
                  <c:v>1.2596463696304243</c:v>
                </c:pt>
                <c:pt idx="543">
                  <c:v>1.2644848561957156</c:v>
                </c:pt>
                <c:pt idx="544">
                  <c:v>1.2693472728670572</c:v>
                </c:pt>
                <c:pt idx="545">
                  <c:v>1.2742336680340565</c:v>
                </c:pt>
                <c:pt idx="546">
                  <c:v>1.279144090537373</c:v>
                </c:pt>
                <c:pt idx="547">
                  <c:v>1.2840785896716163</c:v>
                </c:pt>
                <c:pt idx="548">
                  <c:v>1.2890372151882776</c:v>
                </c:pt>
                <c:pt idx="549">
                  <c:v>1.2940200172987033</c:v>
                </c:pt>
                <c:pt idx="550">
                  <c:v>1.299027046677107</c:v>
                </c:pt>
                <c:pt idx="551">
                  <c:v>1.3040583544636242</c:v>
                </c:pt>
                <c:pt idx="552">
                  <c:v>1.3091139922674042</c:v>
                </c:pt>
                <c:pt idx="553">
                  <c:v>1.3141940121697457</c:v>
                </c:pt>
                <c:pt idx="554">
                  <c:v>1.319298466727274</c:v>
                </c:pt>
                <c:pt idx="555">
                  <c:v>1.3244274089751589</c:v>
                </c:pt>
                <c:pt idx="556">
                  <c:v>1.3295808924303751</c:v>
                </c:pt>
                <c:pt idx="557">
                  <c:v>1.3347589710950103</c:v>
                </c:pt>
                <c:pt idx="558">
                  <c:v>1.3399616994596082</c:v>
                </c:pt>
                <c:pt idx="559">
                  <c:v>1.3451891325065646</c:v>
                </c:pt>
                <c:pt idx="560">
                  <c:v>1.3504413257135635</c:v>
                </c:pt>
                <c:pt idx="561">
                  <c:v>1.3557183350570574</c:v>
                </c:pt>
                <c:pt idx="562">
                  <c:v>1.3610202170157968</c:v>
                </c:pt>
                <c:pt idx="563">
                  <c:v>1.3663470285744057</c:v>
                </c:pt>
                <c:pt idx="564">
                  <c:v>1.3716988272269983</c:v>
                </c:pt>
                <c:pt idx="565">
                  <c:v>1.3770756709808523</c:v>
                </c:pt>
                <c:pt idx="566">
                  <c:v>1.3824776183601211</c:v>
                </c:pt>
                <c:pt idx="567">
                  <c:v>1.3879047284096027</c:v>
                </c:pt>
                <c:pt idx="568">
                  <c:v>1.3933570606985504</c:v>
                </c:pt>
                <c:pt idx="569">
                  <c:v>1.3988346753245393</c:v>
                </c:pt>
                <c:pt idx="570">
                  <c:v>1.40433763291738</c:v>
                </c:pt>
                <c:pt idx="571">
                  <c:v>1.4098659946430843</c:v>
                </c:pt>
                <c:pt idx="572">
                  <c:v>1.4154198222078807</c:v>
                </c:pt>
                <c:pt idx="573">
                  <c:v>1.4209991778622872</c:v>
                </c:pt>
                <c:pt idx="574">
                  <c:v>1.4266041244052323</c:v>
                </c:pt>
                <c:pt idx="575">
                  <c:v>1.4322347251882295</c:v>
                </c:pt>
                <c:pt idx="576">
                  <c:v>1.437891044119612</c:v>
                </c:pt>
                <c:pt idx="577">
                  <c:v>1.4435731456688148</c:v>
                </c:pt>
                <c:pt idx="578">
                  <c:v>1.4492810948707191</c:v>
                </c:pt>
                <c:pt idx="579">
                  <c:v>1.4550149573300484</c:v>
                </c:pt>
                <c:pt idx="580">
                  <c:v>1.4607747992258253</c:v>
                </c:pt>
                <c:pt idx="581">
                  <c:v>1.4665606873158847</c:v>
                </c:pt>
                <c:pt idx="582">
                  <c:v>1.4723726889414455</c:v>
                </c:pt>
                <c:pt idx="583">
                  <c:v>1.4782108720317437</c:v>
                </c:pt>
                <c:pt idx="584">
                  <c:v>1.4840753051087228</c:v>
                </c:pt>
                <c:pt idx="585">
                  <c:v>1.4899660572917883</c:v>
                </c:pt>
                <c:pt idx="586">
                  <c:v>1.4958831983026237</c:v>
                </c:pt>
                <c:pt idx="587">
                  <c:v>1.5018267984700677</c:v>
                </c:pt>
                <c:pt idx="588">
                  <c:v>1.5077969287350559</c:v>
                </c:pt>
                <c:pt idx="589">
                  <c:v>1.5137936606556275</c:v>
                </c:pt>
                <c:pt idx="590">
                  <c:v>1.5198170664119977</c:v>
                </c:pt>
                <c:pt idx="591">
                  <c:v>1.5258672188116942</c:v>
                </c:pt>
                <c:pt idx="592">
                  <c:v>1.5319441912947653</c:v>
                </c:pt>
                <c:pt idx="593">
                  <c:v>1.5380480579390499</c:v>
                </c:pt>
                <c:pt idx="594">
                  <c:v>1.5441788934655227</c:v>
                </c:pt>
                <c:pt idx="595">
                  <c:v>1.5503367732437054</c:v>
                </c:pt>
                <c:pt idx="596">
                  <c:v>1.5565217732971508</c:v>
                </c:pt>
                <c:pt idx="597">
                  <c:v>1.5627339703089982</c:v>
                </c:pt>
                <c:pt idx="598">
                  <c:v>1.5689734416276029</c:v>
                </c:pt>
                <c:pt idx="599">
                  <c:v>1.575240265272237</c:v>
                </c:pt>
                <c:pt idx="600">
                  <c:v>1.5815345199388688</c:v>
                </c:pt>
                <c:pt idx="601">
                  <c:v>1.5878562850060165</c:v>
                </c:pt>
                <c:pt idx="602">
                  <c:v>1.5942056405406788</c:v>
                </c:pt>
                <c:pt idx="603">
                  <c:v>1.6005826673043446</c:v>
                </c:pt>
                <c:pt idx="604">
                  <c:v>1.6069874467590828</c:v>
                </c:pt>
                <c:pt idx="605">
                  <c:v>1.6134200610737104</c:v>
                </c:pt>
                <c:pt idx="606">
                  <c:v>1.6198805931300457</c:v>
                </c:pt>
                <c:pt idx="607">
                  <c:v>1.6263691265292417</c:v>
                </c:pt>
                <c:pt idx="608">
                  <c:v>1.6328857455982047</c:v>
                </c:pt>
                <c:pt idx="609">
                  <c:v>1.6394305353960985</c:v>
                </c:pt>
                <c:pt idx="610">
                  <c:v>1.6460035817209351</c:v>
                </c:pt>
                <c:pt idx="611">
                  <c:v>1.6526049711162536</c:v>
                </c:pt>
                <c:pt idx="612">
                  <c:v>1.6592347908778871</c:v>
                </c:pt>
                <c:pt idx="613">
                  <c:v>1.6658931290608225</c:v>
                </c:pt>
                <c:pt idx="614">
                  <c:v>1.6725800744861501</c:v>
                </c:pt>
                <c:pt idx="615">
                  <c:v>1.6792957167481062</c:v>
                </c:pt>
                <c:pt idx="616">
                  <c:v>1.686040146221214</c:v>
                </c:pt>
                <c:pt idx="617">
                  <c:v>1.6928134540675144</c:v>
                </c:pt>
                <c:pt idx="618">
                  <c:v>1.6996157322439021</c:v>
                </c:pt>
                <c:pt idx="619">
                  <c:v>1.7064470735095527</c:v>
                </c:pt>
                <c:pt idx="620">
                  <c:v>1.7133075714334569</c:v>
                </c:pt>
                <c:pt idx="621">
                  <c:v>1.7201973204020531</c:v>
                </c:pt>
                <c:pt idx="622">
                  <c:v>1.7271164156269632</c:v>
                </c:pt>
                <c:pt idx="623">
                  <c:v>1.7340649531528367</c:v>
                </c:pt>
                <c:pt idx="624">
                  <c:v>1.741043029865301</c:v>
                </c:pt>
                <c:pt idx="625">
                  <c:v>1.7480507434990153</c:v>
                </c:pt>
                <c:pt idx="626">
                  <c:v>1.7550881926458415</c:v>
                </c:pt>
                <c:pt idx="627">
                  <c:v>1.7621554767631229</c:v>
                </c:pt>
                <c:pt idx="628">
                  <c:v>1.7692526961820771</c:v>
                </c:pt>
                <c:pt idx="629">
                  <c:v>1.7763799521163051</c:v>
                </c:pt>
                <c:pt idx="630">
                  <c:v>1.7835373466704172</c:v>
                </c:pt>
                <c:pt idx="631">
                  <c:v>1.7907249828487772</c:v>
                </c:pt>
                <c:pt idx="632">
                  <c:v>1.7979429645643692</c:v>
                </c:pt>
                <c:pt idx="633">
                  <c:v>1.8051913966477844</c:v>
                </c:pt>
                <c:pt idx="634">
                  <c:v>1.812470384856337</c:v>
                </c:pt>
                <c:pt idx="635">
                  <c:v>1.8197800358833025</c:v>
                </c:pt>
                <c:pt idx="636">
                  <c:v>1.827120457367287</c:v>
                </c:pt>
                <c:pt idx="637">
                  <c:v>1.834491757901727</c:v>
                </c:pt>
                <c:pt idx="638">
                  <c:v>1.8418940470445224</c:v>
                </c:pt>
                <c:pt idx="639">
                  <c:v>1.8493274353278049</c:v>
                </c:pt>
                <c:pt idx="640">
                  <c:v>1.8567920342678412</c:v>
                </c:pt>
                <c:pt idx="641">
                  <c:v>1.8642879563750812</c:v>
                </c:pt>
                <c:pt idx="642">
                  <c:v>1.8718153151643404</c:v>
                </c:pt>
                <c:pt idx="643">
                  <c:v>1.8793742251651346</c:v>
                </c:pt>
                <c:pt idx="644">
                  <c:v>1.8869648019321539</c:v>
                </c:pt>
                <c:pt idx="645">
                  <c:v>1.8945871620558912</c:v>
                </c:pt>
                <c:pt idx="646">
                  <c:v>1.9022414231734173</c:v>
                </c:pt>
                <c:pt idx="647">
                  <c:v>1.9099277039793159</c:v>
                </c:pt>
                <c:pt idx="648">
                  <c:v>1.9176461242367675</c:v>
                </c:pt>
                <c:pt idx="649">
                  <c:v>1.9253968047887984</c:v>
                </c:pt>
                <c:pt idx="650">
                  <c:v>1.9331798675696892</c:v>
                </c:pt>
                <c:pt idx="651">
                  <c:v>1.9409954356165489</c:v>
                </c:pt>
                <c:pt idx="652">
                  <c:v>1.9488436330810515</c:v>
                </c:pt>
                <c:pt idx="653">
                  <c:v>1.9567245852413515</c:v>
                </c:pt>
                <c:pt idx="654">
                  <c:v>1.9646384185141621</c:v>
                </c:pt>
                <c:pt idx="655">
                  <c:v>1.9725852604670189</c:v>
                </c:pt>
                <c:pt idx="656">
                  <c:v>1.9805652398307134</c:v>
                </c:pt>
                <c:pt idx="657">
                  <c:v>1.9885784865119169</c:v>
                </c:pt>
                <c:pt idx="658">
                  <c:v>1.9966251316059831</c:v>
                </c:pt>
                <c:pt idx="659">
                  <c:v>2.0047053074099415</c:v>
                </c:pt>
                <c:pt idx="660">
                  <c:v>2.0128191474356822</c:v>
                </c:pt>
                <c:pt idx="661">
                  <c:v>2.0209667864233363</c:v>
                </c:pt>
                <c:pt idx="662">
                  <c:v>2.0291483603548524</c:v>
                </c:pt>
                <c:pt idx="663">
                  <c:v>2.0373640064677767</c:v>
                </c:pt>
                <c:pt idx="664">
                  <c:v>2.045613863269236</c:v>
                </c:pt>
                <c:pt idx="665">
                  <c:v>2.053898070550134</c:v>
                </c:pt>
                <c:pt idx="666">
                  <c:v>2.0622167693995537</c:v>
                </c:pt>
                <c:pt idx="667">
                  <c:v>2.0705701022193819</c:v>
                </c:pt>
                <c:pt idx="668">
                  <c:v>2.0789582127391508</c:v>
                </c:pt>
                <c:pt idx="669">
                  <c:v>2.0873812460311036</c:v>
                </c:pt>
                <c:pt idx="670">
                  <c:v>2.0958393485254874</c:v>
                </c:pt>
                <c:pt idx="671">
                  <c:v>2.1043326680260828</c:v>
                </c:pt>
                <c:pt idx="672">
                  <c:v>2.1128613537259628</c:v>
                </c:pt>
                <c:pt idx="673">
                  <c:v>2.1214255562234987</c:v>
                </c:pt>
                <c:pt idx="674">
                  <c:v>2.1300254275386048</c:v>
                </c:pt>
                <c:pt idx="675">
                  <c:v>2.1386611211292386</c:v>
                </c:pt>
                <c:pt idx="676">
                  <c:v>2.1473327919081493</c:v>
                </c:pt>
                <c:pt idx="677">
                  <c:v>2.1560405962598876</c:v>
                </c:pt>
                <c:pt idx="678">
                  <c:v>2.1647846920580815</c:v>
                </c:pt>
                <c:pt idx="679">
                  <c:v>2.1735652386829725</c:v>
                </c:pt>
                <c:pt idx="680">
                  <c:v>2.1823823970392313</c:v>
                </c:pt>
                <c:pt idx="681">
                  <c:v>2.1912363295740507</c:v>
                </c:pt>
                <c:pt idx="682">
                  <c:v>2.2001272002955181</c:v>
                </c:pt>
                <c:pt idx="683">
                  <c:v>2.209055174791283</c:v>
                </c:pt>
                <c:pt idx="684">
                  <c:v>2.2180204202475089</c:v>
                </c:pt>
                <c:pt idx="685">
                  <c:v>2.2270231054681355</c:v>
                </c:pt>
                <c:pt idx="686">
                  <c:v>2.2360634008944382</c:v>
                </c:pt>
                <c:pt idx="687">
                  <c:v>2.2451414786248995</c:v>
                </c:pt>
                <c:pt idx="688">
                  <c:v>2.2542575124354038</c:v>
                </c:pt>
                <c:pt idx="689">
                  <c:v>2.2634116777997422</c:v>
                </c:pt>
                <c:pt idx="690">
                  <c:v>2.2726041519104596</c:v>
                </c:pt>
                <c:pt idx="691">
                  <c:v>2.2818351137000286</c:v>
                </c:pt>
                <c:pt idx="692">
                  <c:v>2.2911047438623666</c:v>
                </c:pt>
                <c:pt idx="693">
                  <c:v>2.3004132248747049</c:v>
                </c:pt>
                <c:pt idx="694">
                  <c:v>2.3097607410198076</c:v>
                </c:pt>
                <c:pt idx="695">
                  <c:v>2.3191474784085546</c:v>
                </c:pt>
                <c:pt idx="696">
                  <c:v>2.3285736250028957</c:v>
                </c:pt>
                <c:pt idx="697">
                  <c:v>2.3380393706391751</c:v>
                </c:pt>
                <c:pt idx="698">
                  <c:v>2.3475449070518475</c:v>
                </c:pt>
                <c:pt idx="699">
                  <c:v>2.3570904278975764</c:v>
                </c:pt>
                <c:pt idx="700">
                  <c:v>2.3666761287797375</c:v>
                </c:pt>
                <c:pt idx="701">
                  <c:v>2.3763022072733269</c:v>
                </c:pt>
                <c:pt idx="702">
                  <c:v>2.3859688629502824</c:v>
                </c:pt>
                <c:pt idx="703">
                  <c:v>2.3956762974052324</c:v>
                </c:pt>
                <c:pt idx="704">
                  <c:v>2.4054247142816685</c:v>
                </c:pt>
                <c:pt idx="705">
                  <c:v>2.415214319298566</c:v>
                </c:pt>
                <c:pt idx="706">
                  <c:v>2.4250453202774516</c:v>
                </c:pt>
                <c:pt idx="707">
                  <c:v>2.4349179271699235</c:v>
                </c:pt>
                <c:pt idx="708">
                  <c:v>2.4448323520856485</c:v>
                </c:pt>
                <c:pt idx="709">
                  <c:v>2.4547888093208265</c:v>
                </c:pt>
                <c:pt idx="710">
                  <c:v>2.4647875153871497</c:v>
                </c:pt>
                <c:pt idx="711">
                  <c:v>2.474828689041253</c:v>
                </c:pt>
                <c:pt idx="712">
                  <c:v>2.4849125513146735</c:v>
                </c:pt>
                <c:pt idx="713">
                  <c:v>2.4950393255443291</c:v>
                </c:pt>
                <c:pt idx="714">
                  <c:v>2.5052092374035202</c:v>
                </c:pt>
                <c:pt idx="715">
                  <c:v>2.5154225149334768</c:v>
                </c:pt>
                <c:pt idx="716">
                  <c:v>2.5256793885754507</c:v>
                </c:pt>
                <c:pt idx="717">
                  <c:v>2.5359800912033736</c:v>
                </c:pt>
                <c:pt idx="718">
                  <c:v>2.5463248581570865</c:v>
                </c:pt>
                <c:pt idx="719">
                  <c:v>2.5567139272761552</c:v>
                </c:pt>
                <c:pt idx="720">
                  <c:v>2.5671475389342868</c:v>
                </c:pt>
                <c:pt idx="721">
                  <c:v>2.5776259360743525</c:v>
                </c:pt>
                <c:pt idx="722">
                  <c:v>2.588149364244039</c:v>
                </c:pt>
                <c:pt idx="723">
                  <c:v>2.5987180716321361</c:v>
                </c:pt>
                <c:pt idx="724">
                  <c:v>2.6093323091054734</c:v>
                </c:pt>
                <c:pt idx="725">
                  <c:v>2.619992330246526</c:v>
                </c:pt>
                <c:pt idx="726">
                  <c:v>2.6306983913916948</c:v>
                </c:pt>
                <c:pt idx="727">
                  <c:v>2.6414507516702885</c:v>
                </c:pt>
                <c:pt idx="728">
                  <c:v>2.6522496730442069</c:v>
                </c:pt>
                <c:pt idx="729">
                  <c:v>2.6630954203483577</c:v>
                </c:pt>
                <c:pt idx="730">
                  <c:v>2.6739882613318073</c:v>
                </c:pt>
                <c:pt idx="731">
                  <c:v>2.6849284666996933</c:v>
                </c:pt>
                <c:pt idx="732">
                  <c:v>2.6959163101559129</c:v>
                </c:pt>
                <c:pt idx="733">
                  <c:v>2.7069520684465957</c:v>
                </c:pt>
                <c:pt idx="734">
                  <c:v>2.7180360214043939</c:v>
                </c:pt>
                <c:pt idx="735">
                  <c:v>2.7291684519935977</c:v>
                </c:pt>
                <c:pt idx="736">
                  <c:v>2.7403496463560901</c:v>
                </c:pt>
                <c:pt idx="737">
                  <c:v>2.7515798938581808</c:v>
                </c:pt>
                <c:pt idx="738">
                  <c:v>2.762859487138309</c:v>
                </c:pt>
                <c:pt idx="739">
                  <c:v>2.774188722155662</c:v>
                </c:pt>
                <c:pt idx="740">
                  <c:v>2.7855678982397172</c:v>
                </c:pt>
                <c:pt idx="741">
                  <c:v>2.7969973181407299</c:v>
                </c:pt>
                <c:pt idx="742">
                  <c:v>2.808477288081189</c:v>
                </c:pt>
                <c:pt idx="743">
                  <c:v>2.8200081178082663</c:v>
                </c:pt>
                <c:pt idx="744">
                  <c:v>2.8315901206472791</c:v>
                </c:pt>
                <c:pt idx="745">
                  <c:v>2.8432236135561886</c:v>
                </c:pt>
                <c:pt idx="746">
                  <c:v>2.8549089171811648</c:v>
                </c:pt>
                <c:pt idx="747">
                  <c:v>2.8666463559132356</c:v>
                </c:pt>
                <c:pt idx="748">
                  <c:v>2.8784362579460492</c:v>
                </c:pt>
                <c:pt idx="749">
                  <c:v>2.890278955334777</c:v>
                </c:pt>
                <c:pt idx="750">
                  <c:v>2.9021747840561787</c:v>
                </c:pt>
                <c:pt idx="751">
                  <c:v>2.9141240840698694</c:v>
                </c:pt>
                <c:pt idx="752">
                  <c:v>2.9261271993808036</c:v>
                </c:pt>
                <c:pt idx="753">
                  <c:v>2.9381844781030093</c:v>
                </c:pt>
                <c:pt idx="754">
                  <c:v>2.9502962725246156</c:v>
                </c:pt>
                <c:pt idx="755">
                  <c:v>2.9624629391741806</c:v>
                </c:pt>
                <c:pt idx="756">
                  <c:v>2.9746848388883738</c:v>
                </c:pt>
                <c:pt idx="757">
                  <c:v>2.9869623368810405</c:v>
                </c:pt>
                <c:pt idx="758">
                  <c:v>2.9992958028136649</c:v>
                </c:pt>
                <c:pt idx="759">
                  <c:v>3.0116856108672958</c:v>
                </c:pt>
                <c:pt idx="760">
                  <c:v>3.0241321398159502</c:v>
                </c:pt>
                <c:pt idx="761">
                  <c:v>3.036635773101533</c:v>
                </c:pt>
                <c:pt idx="762">
                  <c:v>3.0491968989103255</c:v>
                </c:pt>
                <c:pt idx="763">
                  <c:v>3.0618159102510614</c:v>
                </c:pt>
                <c:pt idx="764">
                  <c:v>3.0744932050346483</c:v>
                </c:pt>
                <c:pt idx="765">
                  <c:v>3.0872291861555623</c:v>
                </c:pt>
                <c:pt idx="766">
                  <c:v>3.1000242615749745</c:v>
                </c:pt>
                <c:pt idx="767">
                  <c:v>3.1128788444056346</c:v>
                </c:pt>
                <c:pt idx="768">
                  <c:v>3.1257933529985684</c:v>
                </c:pt>
                <c:pt idx="769">
                  <c:v>3.1387682110316417</c:v>
                </c:pt>
                <c:pt idx="770">
                  <c:v>3.151803847600017</c:v>
                </c:pt>
                <c:pt idx="771">
                  <c:v>3.1649006973085805</c:v>
                </c:pt>
                <c:pt idx="772">
                  <c:v>3.1780592003663655</c:v>
                </c:pt>
                <c:pt idx="773">
                  <c:v>3.191279802683046</c:v>
                </c:pt>
                <c:pt idx="774">
                  <c:v>3.204562955967535</c:v>
                </c:pt>
                <c:pt idx="775">
                  <c:v>3.217909117828758</c:v>
                </c:pt>
                <c:pt idx="776">
                  <c:v>3.2313187518786575</c:v>
                </c:pt>
                <c:pt idx="777">
                  <c:v>3.2447923278374819</c:v>
                </c:pt>
                <c:pt idx="778">
                  <c:v>3.2583303216414188</c:v>
                </c:pt>
                <c:pt idx="779">
                  <c:v>3.271933215552655</c:v>
                </c:pt>
                <c:pt idx="780">
                  <c:v>3.2856014982718968</c:v>
                </c:pt>
                <c:pt idx="781">
                  <c:v>3.2993356650534498</c:v>
                </c:pt>
                <c:pt idx="782">
                  <c:v>3.3131362178229091</c:v>
                </c:pt>
                <c:pt idx="783">
                  <c:v>3.3270036652975312</c:v>
                </c:pt>
                <c:pt idx="784">
                  <c:v>3.3409385231093758</c:v>
                </c:pt>
                <c:pt idx="785">
                  <c:v>3.3549413139312776</c:v>
                </c:pt>
                <c:pt idx="786">
                  <c:v>3.3690125676057421</c:v>
                </c:pt>
                <c:pt idx="787">
                  <c:v>3.3831528212768327</c:v>
                </c:pt>
                <c:pt idx="788">
                  <c:v>3.3973626195251443</c:v>
                </c:pt>
                <c:pt idx="789">
                  <c:v>3.4116425145059468</c:v>
                </c:pt>
                <c:pt idx="790">
                  <c:v>3.4259930660905895</c:v>
                </c:pt>
                <c:pt idx="791">
                  <c:v>3.4404148420112524</c:v>
                </c:pt>
                <c:pt idx="792">
                  <c:v>3.4549084180091563</c:v>
                </c:pt>
                <c:pt idx="793">
                  <c:v>3.469474377986312</c:v>
                </c:pt>
                <c:pt idx="794">
                  <c:v>3.4841133141609273</c:v>
                </c:pt>
                <c:pt idx="795">
                  <c:v>3.4988258272265687</c:v>
                </c:pt>
                <c:pt idx="796">
                  <c:v>3.5136125265151925</c:v>
                </c:pt>
                <c:pt idx="797">
                  <c:v>3.5284740301641508</c:v>
                </c:pt>
                <c:pt idx="798">
                  <c:v>3.5434109652873085</c:v>
                </c:pt>
                <c:pt idx="799">
                  <c:v>3.5584239681503669</c:v>
                </c:pt>
                <c:pt idx="800">
                  <c:v>3.5735136843505444</c:v>
                </c:pt>
                <c:pt idx="801">
                  <c:v>3.5886807690007254</c:v>
                </c:pt>
                <c:pt idx="802">
                  <c:v>3.6039258869182289</c:v>
                </c:pt>
                <c:pt idx="803">
                  <c:v>3.6192497128183256</c:v>
                </c:pt>
                <c:pt idx="804">
                  <c:v>3.6346529315126435</c:v>
                </c:pt>
                <c:pt idx="805">
                  <c:v>3.6501362381126334</c:v>
                </c:pt>
                <c:pt idx="806">
                  <c:v>3.6657003382382269</c:v>
                </c:pt>
                <c:pt idx="807">
                  <c:v>3.6813459482318525</c:v>
                </c:pt>
                <c:pt idx="808">
                  <c:v>3.6970737953779955</c:v>
                </c:pt>
                <c:pt idx="809">
                  <c:v>3.7128846181284425</c:v>
                </c:pt>
                <c:pt idx="810">
                  <c:v>3.7287791663334189</c:v>
                </c:pt>
                <c:pt idx="811">
                  <c:v>3.7447582014787875</c:v>
                </c:pt>
                <c:pt idx="812">
                  <c:v>3.7608224969295048</c:v>
                </c:pt>
                <c:pt idx="813">
                  <c:v>3.7769728381795522</c:v>
                </c:pt>
                <c:pt idx="814">
                  <c:v>3.7932100231085029</c:v>
                </c:pt>
                <c:pt idx="815">
                  <c:v>3.8095348622450036</c:v>
                </c:pt>
                <c:pt idx="816">
                  <c:v>3.8259481790373409</c:v>
                </c:pt>
                <c:pt idx="817">
                  <c:v>3.8424508101313553</c:v>
                </c:pt>
                <c:pt idx="818">
                  <c:v>3.8590436056559252</c:v>
                </c:pt>
                <c:pt idx="819">
                  <c:v>3.8757274295162887</c:v>
                </c:pt>
                <c:pt idx="820">
                  <c:v>3.8925031596954431</c:v>
                </c:pt>
                <c:pt idx="821">
                  <c:v>3.9093716885639127</c:v>
                </c:pt>
                <c:pt idx="822">
                  <c:v>3.9263339231981451</c:v>
                </c:pt>
                <c:pt idx="823">
                  <c:v>3.9433907857078481</c:v>
                </c:pt>
                <c:pt idx="824">
                  <c:v>3.960543213572548</c:v>
                </c:pt>
                <c:pt idx="825">
                  <c:v>3.9777921599877111</c:v>
                </c:pt>
                <c:pt idx="826">
                  <c:v>3.9951385942207294</c:v>
                </c:pt>
                <c:pt idx="827">
                  <c:v>4.0125835019771312</c:v>
                </c:pt>
                <c:pt idx="828">
                  <c:v>4.0301278857773575</c:v>
                </c:pt>
                <c:pt idx="829">
                  <c:v>4.0477727653444955</c:v>
                </c:pt>
                <c:pt idx="830">
                  <c:v>4.0655191780033206</c:v>
                </c:pt>
                <c:pt idx="831">
                  <c:v>4.0833681790910799</c:v>
                </c:pt>
                <c:pt idx="832">
                  <c:v>4.1013208423804191</c:v>
                </c:pt>
                <c:pt idx="833">
                  <c:v>4.1193782605148845</c:v>
                </c:pt>
                <c:pt idx="834">
                  <c:v>4.1375415454574567</c:v>
                </c:pt>
                <c:pt idx="835">
                  <c:v>4.1558118289526034</c:v>
                </c:pt>
                <c:pt idx="836">
                  <c:v>4.174190263002318</c:v>
                </c:pt>
                <c:pt idx="837">
                  <c:v>4.1926780203566683</c:v>
                </c:pt>
                <c:pt idx="838">
                  <c:v>4.2112762950193998</c:v>
                </c:pt>
                <c:pt idx="839">
                  <c:v>4.2299863027691451</c:v>
                </c:pt>
                <c:pt idx="840">
                  <c:v>4.2488092816968166</c:v>
                </c:pt>
                <c:pt idx="841">
                  <c:v>4.2677464927598043</c:v>
                </c:pt>
                <c:pt idx="842">
                  <c:v>4.2867992203535987</c:v>
                </c:pt>
                <c:pt idx="843">
                  <c:v>4.3059687729015295</c:v>
                </c:pt>
                <c:pt idx="844">
                  <c:v>4.3252564834632761</c:v>
                </c:pt>
                <c:pt idx="845">
                  <c:v>4.3446637103629158</c:v>
                </c:pt>
                <c:pt idx="846">
                  <c:v>4.3641918378372324</c:v>
                </c:pt>
                <c:pt idx="847">
                  <c:v>4.3838422767051082</c:v>
                </c:pt>
                <c:pt idx="848">
                  <c:v>4.4036164650588061</c:v>
                </c:pt>
                <c:pt idx="849">
                  <c:v>4.4235158689780203</c:v>
                </c:pt>
                <c:pt idx="850">
                  <c:v>4.443541983267604</c:v>
                </c:pt>
                <c:pt idx="851">
                  <c:v>4.463696332219925</c:v>
                </c:pt>
                <c:pt idx="852">
                  <c:v>4.4839804704028321</c:v>
                </c:pt>
                <c:pt idx="853">
                  <c:v>4.5043959834743106</c:v>
                </c:pt>
                <c:pt idx="854">
                  <c:v>4.5249444890248665</c:v>
                </c:pt>
                <c:pt idx="855">
                  <c:v>4.5456276374488382</c:v>
                </c:pt>
                <c:pt idx="856">
                  <c:v>4.5664471128458057</c:v>
                </c:pt>
                <c:pt idx="857">
                  <c:v>4.5874046339533665</c:v>
                </c:pt>
                <c:pt idx="858">
                  <c:v>4.6085019551126027</c:v>
                </c:pt>
                <c:pt idx="859">
                  <c:v>4.6297408672676248</c:v>
                </c:pt>
                <c:pt idx="860">
                  <c:v>4.6511231990006525</c:v>
                </c:pt>
                <c:pt idx="861">
                  <c:v>4.6726508176041568</c:v>
                </c:pt>
                <c:pt idx="862">
                  <c:v>4.6943256301916856</c:v>
                </c:pt>
                <c:pt idx="863">
                  <c:v>4.7161495848490453</c:v>
                </c:pt>
                <c:pt idx="864">
                  <c:v>4.7381246718276318</c:v>
                </c:pt>
                <c:pt idx="865">
                  <c:v>4.7602529247817778</c:v>
                </c:pt>
                <c:pt idx="866">
                  <c:v>4.7825364220520683</c:v>
                </c:pt>
                <c:pt idx="867">
                  <c:v>4.8049772879967234</c:v>
                </c:pt>
                <c:pt idx="868">
                  <c:v>4.8275776943732076</c:v>
                </c:pt>
                <c:pt idx="869">
                  <c:v>4.8503398617723681</c:v>
                </c:pt>
                <c:pt idx="870">
                  <c:v>4.8732660611075262</c:v>
                </c:pt>
                <c:pt idx="871">
                  <c:v>4.8963586151610796</c:v>
                </c:pt>
                <c:pt idx="872">
                  <c:v>4.9196199001912948</c:v>
                </c:pt>
                <c:pt idx="873">
                  <c:v>4.9430523476021397</c:v>
                </c:pt>
                <c:pt idx="874">
                  <c:v>4.9666584456791529</c:v>
                </c:pt>
                <c:pt idx="875">
                  <c:v>4.9904407413945213</c:v>
                </c:pt>
                <c:pt idx="876">
                  <c:v>5.0144018422847001</c:v>
                </c:pt>
                <c:pt idx="877">
                  <c:v>5.0385444184041184</c:v>
                </c:pt>
                <c:pt idx="878">
                  <c:v>5.0628712043587178</c:v>
                </c:pt>
                <c:pt idx="879">
                  <c:v>5.0873850014232591</c:v>
                </c:pt>
                <c:pt idx="880">
                  <c:v>5.1120886797466021</c:v>
                </c:pt>
                <c:pt idx="881">
                  <c:v>5.1369851806493863</c:v>
                </c:pt>
                <c:pt idx="882">
                  <c:v>5.162077519018796</c:v>
                </c:pt>
                <c:pt idx="883">
                  <c:v>5.1873687858054183</c:v>
                </c:pt>
                <c:pt idx="884">
                  <c:v>5.2128621506274264</c:v>
                </c:pt>
                <c:pt idx="885">
                  <c:v>5.2385608644877344</c:v>
                </c:pt>
                <c:pt idx="886">
                  <c:v>5.2644682626100341</c:v>
                </c:pt>
                <c:pt idx="887">
                  <c:v>5.2905877674000434</c:v>
                </c:pt>
                <c:pt idx="888">
                  <c:v>5.3169228915386642</c:v>
                </c:pt>
                <c:pt idx="889">
                  <c:v>5.3434772412141918</c:v>
                </c:pt>
                <c:pt idx="890">
                  <c:v>5.3702545195011506</c:v>
                </c:pt>
                <c:pt idx="891">
                  <c:v>5.3972585298938265</c:v>
                </c:pt>
                <c:pt idx="892">
                  <c:v>5.4244931800031218</c:v>
                </c:pt>
                <c:pt idx="893">
                  <c:v>5.4519624854258453</c:v>
                </c:pt>
                <c:pt idx="894">
                  <c:v>5.4796705737962492</c:v>
                </c:pt>
                <c:pt idx="895">
                  <c:v>5.5076216890302057</c:v>
                </c:pt>
                <c:pt idx="896">
                  <c:v>5.5358201957731588</c:v>
                </c:pt>
                <c:pt idx="897">
                  <c:v>5.5642705840637152</c:v>
                </c:pt>
                <c:pt idx="898">
                  <c:v>5.5929774742255862</c:v>
                </c:pt>
                <c:pt idx="899">
                  <c:v>5.6219456220014443</c:v>
                </c:pt>
                <c:pt idx="900">
                  <c:v>5.651179923943241</c:v>
                </c:pt>
                <c:pt idx="901">
                  <c:v>5.6806854230745163</c:v>
                </c:pt>
                <c:pt idx="902">
                  <c:v>5.710467314841412</c:v>
                </c:pt>
                <c:pt idx="903">
                  <c:v>5.7405309533702304</c:v>
                </c:pt>
                <c:pt idx="904">
                  <c:v>5.7708818580507568</c:v>
                </c:pt>
                <c:pt idx="905">
                  <c:v>5.8015257204659196</c:v>
                </c:pt>
                <c:pt idx="906">
                  <c:v>5.832468411689959</c:v>
                </c:pt>
                <c:pt idx="907">
                  <c:v>5.8637159899788953</c:v>
                </c:pt>
                <c:pt idx="908">
                  <c:v>5.8952747088789366</c:v>
                </c:pt>
                <c:pt idx="909">
                  <c:v>5.9271510257804323</c:v>
                </c:pt>
                <c:pt idx="910">
                  <c:v>5.9593516109471363</c:v>
                </c:pt>
                <c:pt idx="911">
                  <c:v>5.9918833570528793</c:v>
                </c:pt>
                <c:pt idx="912">
                  <c:v>6.0247533892603311</c:v>
                </c:pt>
                <c:pt idx="913">
                  <c:v>6.057969075879317</c:v>
                </c:pt>
                <c:pt idx="914">
                  <c:v>6.0915380396452257</c:v>
                </c:pt>
                <c:pt idx="915">
                  <c:v>6.1254681696613762</c:v>
                </c:pt>
                <c:pt idx="916">
                  <c:v>6.1597676340529022</c:v>
                </c:pt>
                <c:pt idx="917">
                  <c:v>6.1944448933837286</c:v>
                </c:pt>
                <c:pt idx="918">
                  <c:v>6.2295087148926171</c:v>
                </c:pt>
                <c:pt idx="919">
                  <c:v>6.2649681876091634</c:v>
                </c:pt>
                <c:pt idx="920">
                  <c:v>6.3008327384159015</c:v>
                </c:pt>
                <c:pt idx="921">
                  <c:v>6.3371121491286395</c:v>
                </c:pt>
                <c:pt idx="922">
                  <c:v>6.3738165746735786</c:v>
                </c:pt>
                <c:pt idx="923">
                  <c:v>6.4109565624469909</c:v>
                </c:pt>
                <c:pt idx="924">
                  <c:v>6.4485430729511446</c:v>
                </c:pt>
                <c:pt idx="925">
                  <c:v>6.4865875018089341</c:v>
                </c:pt>
                <c:pt idx="926">
                  <c:v>6.5251017032694616</c:v>
                </c:pt>
                <c:pt idx="927">
                  <c:v>6.564098015327545</c:v>
                </c:pt>
                <c:pt idx="928">
                  <c:v>6.6035892865922694</c:v>
                </c:pt>
                <c:pt idx="929">
                  <c:v>6.6435889050529191</c:v>
                </c:pt>
                <c:pt idx="930">
                  <c:v>6.6841108289057303</c:v>
                </c:pt>
                <c:pt idx="931">
                  <c:v>6.7251696196213882</c:v>
                </c:pt>
                <c:pt idx="932">
                  <c:v>6.7667804774519578</c:v>
                </c:pt>
                <c:pt idx="933">
                  <c:v>6.8089592795967384</c:v>
                </c:pt>
                <c:pt idx="934">
                  <c:v>6.8517226212699613</c:v>
                </c:pt>
                <c:pt idx="935">
                  <c:v>6.8950878599395615</c:v>
                </c:pt>
                <c:pt idx="936">
                  <c:v>6.9390731630359088</c:v>
                </c:pt>
                <c:pt idx="937">
                  <c:v>6.9836975594627368</c:v>
                </c:pt>
                <c:pt idx="938">
                  <c:v>7.0289809952803601</c:v>
                </c:pt>
                <c:pt idx="939">
                  <c:v>7.0749443939738539</c:v>
                </c:pt>
                <c:pt idx="940">
                  <c:v>7.1216097217675536</c:v>
                </c:pt>
                <c:pt idx="941">
                  <c:v>7.1690000585021663</c:v>
                </c:pt>
                <c:pt idx="942">
                  <c:v>7.2171396746535956</c:v>
                </c:pt>
                <c:pt idx="943">
                  <c:v>7.2660541151442732</c:v>
                </c:pt>
                <c:pt idx="944">
                  <c:v>7.3157702906796631</c:v>
                </c:pt>
                <c:pt idx="945">
                  <c:v>7.3663165774365886</c:v>
                </c:pt>
                <c:pt idx="946">
                  <c:v>7.4177229260381026</c:v>
                </c:pt>
                <c:pt idx="947">
                  <c:v>7.4700209808739473</c:v>
                </c:pt>
                <c:pt idx="948">
                  <c:v>7.5232442109695103</c:v>
                </c:pt>
                <c:pt idx="949">
                  <c:v>7.5774280537726453</c:v>
                </c:pt>
                <c:pt idx="950">
                  <c:v>7.6326100734211071</c:v>
                </c:pt>
                <c:pt idx="951">
                  <c:v>7.6888301352786392</c:v>
                </c:pt>
                <c:pt idx="952">
                  <c:v>7.7461305987909386</c:v>
                </c:pt>
                <c:pt idx="953">
                  <c:v>7.8045565310210554</c:v>
                </c:pt>
                <c:pt idx="954">
                  <c:v>7.8641559435864927</c:v>
                </c:pt>
                <c:pt idx="955">
                  <c:v>7.9249800561478994</c:v>
                </c:pt>
                <c:pt idx="956">
                  <c:v>7.9870835901056463</c:v>
                </c:pt>
                <c:pt idx="957">
                  <c:v>8.0505250967621329</c:v>
                </c:pt>
                <c:pt idx="958">
                  <c:v>8.1153673249251543</c:v>
                </c:pt>
                <c:pt idx="959">
                  <c:v>8.1816776337867729</c:v>
                </c:pt>
                <c:pt idx="960">
                  <c:v>8.2495284579451429</c:v>
                </c:pt>
                <c:pt idx="961">
                  <c:v>8.3189978326842997</c:v>
                </c:pt>
                <c:pt idx="962">
                  <c:v>8.3901699891404959</c:v>
                </c:pt>
                <c:pt idx="963">
                  <c:v>8.4631360308288599</c:v>
                </c:pt>
                <c:pt idx="964">
                  <c:v>8.5379947052649143</c:v>
                </c:pt>
                <c:pt idx="965">
                  <c:v>8.6148532872005088</c:v>
                </c:pt>
                <c:pt idx="966">
                  <c:v>8.6938285934433903</c:v>
                </c:pt>
                <c:pt idx="967">
                  <c:v>8.7750481535284983</c:v>
                </c:pt>
                <c:pt idx="968">
                  <c:v>8.8586515658993363</c:v>
                </c:pt>
                <c:pt idx="969">
                  <c:v>8.9447920760619226</c:v>
                </c:pt>
                <c:pt idx="970">
                  <c:v>9.0336384218229426</c:v>
                </c:pt>
                <c:pt idx="971">
                  <c:v>9.1253770018009916</c:v>
                </c:pt>
                <c:pt idx="972">
                  <c:v>9.2202144376995854</c:v>
                </c:pt>
                <c:pt idx="973">
                  <c:v>9.3183806194486998</c:v>
                </c:pt>
                <c:pt idx="974">
                  <c:v>9.4201323467818856</c:v>
                </c:pt>
                <c:pt idx="975">
                  <c:v>9.5257577132667954</c:v>
                </c:pt>
                <c:pt idx="976">
                  <c:v>9.6355814223103131</c:v>
                </c:pt>
                <c:pt idx="977">
                  <c:v>9.7499712836402495</c:v>
                </c:pt>
                <c:pt idx="978">
                  <c:v>9.8693462197094277</c:v>
                </c:pt>
                <c:pt idx="979">
                  <c:v>9.9941862240280841</c:v>
                </c:pt>
                <c:pt idx="980">
                  <c:v>10.12504487221884</c:v>
                </c:pt>
                <c:pt idx="981">
                  <c:v>10.262565214128481</c:v>
                </c:pt>
                <c:pt idx="982">
                  <c:v>10.407500207043125</c:v>
                </c:pt>
                <c:pt idx="983">
                  <c:v>10.56073934287404</c:v>
                </c:pt>
                <c:pt idx="984">
                  <c:v>10.723343869875963</c:v>
                </c:pt>
                <c:pt idx="985">
                  <c:v>10.896594170653168</c:v>
                </c:pt>
                <c:pt idx="986">
                  <c:v>11.082054709432642</c:v>
                </c:pt>
                <c:pt idx="987">
                  <c:v>11.281665001486841</c:v>
                </c:pt>
                <c:pt idx="988">
                  <c:v>11.497870220473629</c:v>
                </c:pt>
                <c:pt idx="989">
                  <c:v>11.733814174425802</c:v>
                </c:pt>
                <c:pt idx="990">
                  <c:v>11.993634215576662</c:v>
                </c:pt>
                <c:pt idx="991">
                  <c:v>12.282930439191571</c:v>
                </c:pt>
                <c:pt idx="992">
                  <c:v>12.609549601864908</c:v>
                </c:pt>
                <c:pt idx="993">
                  <c:v>12.984977007748466</c:v>
                </c:pt>
                <c:pt idx="994">
                  <c:v>13.427008115244538</c:v>
                </c:pt>
                <c:pt idx="995">
                  <c:v>13.96543756335064</c:v>
                </c:pt>
                <c:pt idx="996">
                  <c:v>14.656086123900678</c:v>
                </c:pt>
                <c:pt idx="997">
                  <c:v>15.624195622746921</c:v>
                </c:pt>
                <c:pt idx="998">
                  <c:v>17.269140302856673</c:v>
                </c:pt>
              </c:numCache>
            </c:numRef>
          </c:xVal>
          <c:yVal>
            <c:numRef>
              <c:f>'Example 2 (invalid)'!$G$66:$G$1064</c:f>
              <c:numCache>
                <c:formatCode>0.000000</c:formatCode>
                <c:ptCount val="999"/>
                <c:pt idx="0">
                  <c:v>0.99951591131702333</c:v>
                </c:pt>
                <c:pt idx="1">
                  <c:v>0.81182842401072808</c:v>
                </c:pt>
                <c:pt idx="2">
                  <c:v>0.69899092499962023</c:v>
                </c:pt>
                <c:pt idx="3">
                  <c:v>0.61700956216304848</c:v>
                </c:pt>
                <c:pt idx="4">
                  <c:v>0.55204777814983697</c:v>
                </c:pt>
                <c:pt idx="5">
                  <c:v>0.49792156894464101</c:v>
                </c:pt>
                <c:pt idx="6">
                  <c:v>0.45132131596454528</c:v>
                </c:pt>
                <c:pt idx="7">
                  <c:v>0.41026504434816546</c:v>
                </c:pt>
                <c:pt idx="8">
                  <c:v>0.37347021934860214</c:v>
                </c:pt>
                <c:pt idx="9">
                  <c:v>0.3400583330697815</c:v>
                </c:pt>
                <c:pt idx="10">
                  <c:v>0.30940078837523943</c:v>
                </c:pt>
                <c:pt idx="11">
                  <c:v>0.28103198361149229</c:v>
                </c:pt>
                <c:pt idx="12">
                  <c:v>0.254597222047237</c:v>
                </c:pt>
                <c:pt idx="13">
                  <c:v>0.22981992765960113</c:v>
                </c:pt>
                <c:pt idx="14">
                  <c:v>0.20648016438422312</c:v>
                </c:pt>
                <c:pt idx="15">
                  <c:v>0.18440007877620879</c:v>
                </c:pt>
                <c:pt idx="16">
                  <c:v>0.1634337474397598</c:v>
                </c:pt>
                <c:pt idx="17">
                  <c:v>0.14345991921530654</c:v>
                </c:pt>
                <c:pt idx="18">
                  <c:v>0.1243767138576044</c:v>
                </c:pt>
                <c:pt idx="19">
                  <c:v>0.10609767583758778</c:v>
                </c:pt>
                <c:pt idx="20">
                  <c:v>8.8548787219647096E-2</c:v>
                </c:pt>
                <c:pt idx="21">
                  <c:v>7.1666172451123611E-2</c:v>
                </c:pt>
                <c:pt idx="22">
                  <c:v>5.5394310952733061E-2</c:v>
                </c:pt>
                <c:pt idx="23">
                  <c:v>3.9684628181043458E-2</c:v>
                </c:pt>
                <c:pt idx="24">
                  <c:v>2.4494372735183845E-2</c:v>
                </c:pt>
                <c:pt idx="25">
                  <c:v>9.7857124114528737E-3</c:v>
                </c:pt>
                <c:pt idx="26">
                  <c:v>-4.4750001998221656E-3</c:v>
                </c:pt>
                <c:pt idx="27">
                  <c:v>-1.8317829431070631E-2</c:v>
                </c:pt>
                <c:pt idx="28">
                  <c:v>-3.1769753392377975E-2</c:v>
                </c:pt>
                <c:pt idx="29">
                  <c:v>-4.4855077203203475E-2</c:v>
                </c:pt>
                <c:pt idx="30">
                  <c:v>-5.7595778978449808E-2</c:v>
                </c:pt>
                <c:pt idx="31">
                  <c:v>-7.0011801317647837E-2</c:v>
                </c:pt>
                <c:pt idx="32">
                  <c:v>-8.2121298308677648E-2</c:v>
                </c:pt>
                <c:pt idx="33">
                  <c:v>-9.3940845972455556E-2</c:v>
                </c:pt>
                <c:pt idx="34">
                  <c:v>-0.10548562247238324</c:v>
                </c:pt>
                <c:pt idx="35">
                  <c:v>-0.11676956316996412</c:v>
                </c:pt>
                <c:pt idx="36">
                  <c:v>-0.12780549463729418</c:v>
                </c:pt>
                <c:pt idx="37">
                  <c:v>-0.13860525097281817</c:v>
                </c:pt>
                <c:pt idx="38">
                  <c:v>-0.14917977516094316</c:v>
                </c:pt>
                <c:pt idx="39">
                  <c:v>-0.15953920773248154</c:v>
                </c:pt>
                <c:pt idx="40">
                  <c:v>-0.16969296459462679</c:v>
                </c:pt>
                <c:pt idx="41">
                  <c:v>-0.17964980558540899</c:v>
                </c:pt>
                <c:pt idx="42">
                  <c:v>-0.18941789505273565</c:v>
                </c:pt>
                <c:pt idx="43">
                  <c:v>-0.19900485554994507</c:v>
                </c:pt>
                <c:pt idx="44">
                  <c:v>-0.20841781556895222</c:v>
                </c:pt>
                <c:pt idx="45">
                  <c:v>-0.2176634520910925</c:v>
                </c:pt>
                <c:pt idx="46">
                  <c:v>-0.22674802861899757</c:v>
                </c:pt>
                <c:pt idx="47">
                  <c:v>-0.23567742925563229</c:v>
                </c:pt>
                <c:pt idx="48">
                  <c:v>-0.24445718931538529</c:v>
                </c:pt>
                <c:pt idx="49">
                  <c:v>-0.25309252288394246</c:v>
                </c:pt>
                <c:pt idx="50">
                  <c:v>-0.26158834768627193</c:v>
                </c:pt>
                <c:pt idx="51">
                  <c:v>-0.26994930757349866</c:v>
                </c:pt>
                <c:pt idx="52">
                  <c:v>-0.2781797928982872</c:v>
                </c:pt>
                <c:pt idx="53">
                  <c:v>-0.28628395901331105</c:v>
                </c:pt>
                <c:pt idx="54">
                  <c:v>-0.29426574309743181</c:v>
                </c:pt>
                <c:pt idx="55">
                  <c:v>-0.30212887948862743</c:v>
                </c:pt>
                <c:pt idx="56">
                  <c:v>-0.30987691368062942</c:v>
                </c:pt>
                <c:pt idx="57">
                  <c:v>-0.3175132151213016</c:v>
                </c:pt>
                <c:pt idx="58">
                  <c:v>-0.32504098893436861</c:v>
                </c:pt>
                <c:pt idx="59">
                  <c:v>-0.33246328667191927</c:v>
                </c:pt>
                <c:pt idx="60">
                  <c:v>-0.33978301619276019</c:v>
                </c:pt>
                <c:pt idx="61">
                  <c:v>-0.34700295075097287</c:v>
                </c:pt>
                <c:pt idx="62">
                  <c:v>-0.35412573736964292</c:v>
                </c:pt>
                <c:pt idx="63">
                  <c:v>-0.3611539045665324</c:v>
                </c:pt>
                <c:pt idx="64">
                  <c:v>-0.36808986949128863</c:v>
                </c:pt>
                <c:pt idx="65">
                  <c:v>-0.37493594452745693</c:v>
                </c:pt>
                <c:pt idx="66">
                  <c:v>-0.38169434340700681</c:v>
                </c:pt>
                <c:pt idx="67">
                  <c:v>-0.38836718688018412</c:v>
                </c:pt>
                <c:pt idx="68">
                  <c:v>-0.39495650797914905</c:v>
                </c:pt>
                <c:pt idx="69">
                  <c:v>-0.4014642569100404</c:v>
                </c:pt>
                <c:pt idx="70">
                  <c:v>-0.40789230560468059</c:v>
                </c:pt>
                <c:pt idx="71">
                  <c:v>-0.41424245196011555</c:v>
                </c:pt>
                <c:pt idx="72">
                  <c:v>-0.42051642379149157</c:v>
                </c:pt>
                <c:pt idx="73">
                  <c:v>-0.4267158825213504</c:v>
                </c:pt>
                <c:pt idx="74">
                  <c:v>-0.4328424266262958</c:v>
                </c:pt>
                <c:pt idx="75">
                  <c:v>-0.43889759486004176</c:v>
                </c:pt>
                <c:pt idx="76">
                  <c:v>-0.44488286927014364</c:v>
                </c:pt>
                <c:pt idx="77">
                  <c:v>-0.45079967802416188</c:v>
                </c:pt>
                <c:pt idx="78">
                  <c:v>-0.45664939805961269</c:v>
                </c:pt>
                <c:pt idx="79">
                  <c:v>-0.4624333575708186</c:v>
                </c:pt>
                <c:pt idx="80">
                  <c:v>-0.46815283834463761</c:v>
                </c:pt>
                <c:pt idx="81">
                  <c:v>-0.47380907795603244</c:v>
                </c:pt>
                <c:pt idx="82">
                  <c:v>-0.47940327183351772</c:v>
                </c:pt>
                <c:pt idx="83">
                  <c:v>-0.48493657520369959</c:v>
                </c:pt>
                <c:pt idx="84">
                  <c:v>-0.49041010492336179</c:v>
                </c:pt>
                <c:pt idx="85">
                  <c:v>-0.4958249412068596</c:v>
                </c:pt>
                <c:pt idx="86">
                  <c:v>-0.50118212925598438</c:v>
                </c:pt>
                <c:pt idx="87">
                  <c:v>-0.50648268079886294</c:v>
                </c:pt>
                <c:pt idx="88">
                  <c:v>-0.51172757554397608</c:v>
                </c:pt>
                <c:pt idx="89">
                  <c:v>-0.51691776255488908</c:v>
                </c:pt>
                <c:pt idx="90">
                  <c:v>-0.52205416155085937</c:v>
                </c:pt>
                <c:pt idx="91">
                  <c:v>-0.52713766413810914</c:v>
                </c:pt>
                <c:pt idx="92">
                  <c:v>-0.53216913497618501</c:v>
                </c:pt>
                <c:pt idx="93">
                  <c:v>-0.53714941288349261</c:v>
                </c:pt>
                <c:pt idx="94">
                  <c:v>-0.5420793118858116</c:v>
                </c:pt>
                <c:pt idx="95">
                  <c:v>-0.54695962221130423</c:v>
                </c:pt>
                <c:pt idx="96">
                  <c:v>-0.55179111123529268</c:v>
                </c:pt>
                <c:pt idx="97">
                  <c:v>-0.55657452437783661</c:v>
                </c:pt>
                <c:pt idx="98">
                  <c:v>-0.56131058595693784</c:v>
                </c:pt>
                <c:pt idx="99">
                  <c:v>-0.56600000000000006</c:v>
                </c:pt>
                <c:pt idx="100">
                  <c:v>-0.57064345101599079</c:v>
                </c:pt>
                <c:pt idx="101">
                  <c:v>-0.57524160473058594</c:v>
                </c:pt>
                <c:pt idx="102">
                  <c:v>-0.57979510878641971</c:v>
                </c:pt>
                <c:pt idx="103">
                  <c:v>-0.58430459341043428</c:v>
                </c:pt>
                <c:pt idx="104">
                  <c:v>-0.58877067205017419</c:v>
                </c:pt>
                <c:pt idx="105">
                  <c:v>-0.59319394198076347</c:v>
                </c:pt>
                <c:pt idx="106">
                  <c:v>-0.59757498488418248</c:v>
                </c:pt>
                <c:pt idx="107">
                  <c:v>-0.60191436740236104</c:v>
                </c:pt>
                <c:pt idx="108">
                  <c:v>-0.60621264166551159</c:v>
                </c:pt>
                <c:pt idx="109">
                  <c:v>-0.61047034579702464</c:v>
                </c:pt>
                <c:pt idx="110">
                  <c:v>-0.61468800439618421</c:v>
                </c:pt>
                <c:pt idx="111">
                  <c:v>-0.61886612899986249</c:v>
                </c:pt>
                <c:pt idx="112">
                  <c:v>-0.62300521852430002</c:v>
                </c:pt>
                <c:pt idx="113">
                  <c:v>-0.62710575968799853</c:v>
                </c:pt>
                <c:pt idx="114">
                  <c:v>-0.63116822741669987</c:v>
                </c:pt>
                <c:pt idx="115">
                  <c:v>-0.63519308523135565</c:v>
                </c:pt>
                <c:pt idx="116">
                  <c:v>-0.63918078561995362</c:v>
                </c:pt>
                <c:pt idx="117">
                  <c:v>-0.64313177039400071</c:v>
                </c:pt>
                <c:pt idx="118">
                  <c:v>-0.64704647103042956</c:v>
                </c:pt>
                <c:pt idx="119">
                  <c:v>-0.65092530899963896</c:v>
                </c:pt>
                <c:pt idx="120">
                  <c:v>-0.65476869608034627</c:v>
                </c:pt>
                <c:pt idx="121">
                  <c:v>-0.65857703466189133</c:v>
                </c:pt>
                <c:pt idx="122">
                  <c:v>-0.66235071803459045</c:v>
                </c:pt>
                <c:pt idx="123">
                  <c:v>-0.66609013066870593</c:v>
                </c:pt>
                <c:pt idx="124">
                  <c:v>-0.66979564848257334</c:v>
                </c:pt>
                <c:pt idx="125">
                  <c:v>-0.67346763910039131</c:v>
                </c:pt>
                <c:pt idx="126">
                  <c:v>-0.6771064621001468</c:v>
                </c:pt>
                <c:pt idx="127">
                  <c:v>-0.68071246925214313</c:v>
                </c:pt>
                <c:pt idx="128">
                  <c:v>-0.68428600474854373</c:v>
                </c:pt>
                <c:pt idx="129">
                  <c:v>-0.68782740542435095</c:v>
                </c:pt>
                <c:pt idx="130">
                  <c:v>-0.69133700097019801</c:v>
                </c:pt>
                <c:pt idx="131">
                  <c:v>-0.69481511413732</c:v>
                </c:pt>
                <c:pt idx="132">
                  <c:v>-0.69826206093505294</c:v>
                </c:pt>
                <c:pt idx="133">
                  <c:v>-0.70167815082118246</c:v>
                </c:pt>
                <c:pt idx="134">
                  <c:v>-0.70506368688546028</c:v>
                </c:pt>
                <c:pt idx="135">
                  <c:v>-0.70841896602658072</c:v>
                </c:pt>
                <c:pt idx="136">
                  <c:v>-0.71174427912289517</c:v>
                </c:pt>
                <c:pt idx="137">
                  <c:v>-0.71503991119713795</c:v>
                </c:pt>
                <c:pt idx="138">
                  <c:v>-0.71830614157540817</c:v>
                </c:pt>
                <c:pt idx="139">
                  <c:v>-0.7215432440406564</c:v>
                </c:pt>
                <c:pt idx="140">
                  <c:v>-0.72475148698090042</c:v>
                </c:pt>
                <c:pt idx="141">
                  <c:v>-0.72793113353238859</c:v>
                </c:pt>
                <c:pt idx="142">
                  <c:v>-0.73108244171791892</c:v>
                </c:pt>
                <c:pt idx="143">
                  <c:v>-0.73420566458051151</c:v>
                </c:pt>
                <c:pt idx="144">
                  <c:v>-0.7373010503126225</c:v>
                </c:pt>
                <c:pt idx="145">
                  <c:v>-0.7403688423810777</c:v>
                </c:pt>
                <c:pt idx="146">
                  <c:v>-0.74340927964789638</c:v>
                </c:pt>
                <c:pt idx="147">
                  <c:v>-0.74642259648717069</c:v>
                </c:pt>
                <c:pt idx="148">
                  <c:v>-0.74940902289815292</c:v>
                </c:pt>
                <c:pt idx="149">
                  <c:v>-0.75236878461469958</c:v>
                </c:pt>
                <c:pt idx="150">
                  <c:v>-0.75530210321121616</c:v>
                </c:pt>
                <c:pt idx="151">
                  <c:v>-0.75820919620523397</c:v>
                </c:pt>
                <c:pt idx="152">
                  <c:v>-0.76109027715674937</c:v>
                </c:pt>
                <c:pt idx="153">
                  <c:v>-0.76394555576444956</c:v>
                </c:pt>
                <c:pt idx="154">
                  <c:v>-0.76677523795894165</c:v>
                </c:pt>
                <c:pt idx="155">
                  <c:v>-0.76957952599309787</c:v>
                </c:pt>
                <c:pt idx="156">
                  <c:v>-0.77235861852962184</c:v>
                </c:pt>
                <c:pt idx="157">
                  <c:v>-0.77511271072594579</c:v>
                </c:pt>
                <c:pt idx="158">
                  <c:v>-0.77784199431654799</c:v>
                </c:pt>
                <c:pt idx="159">
                  <c:v>-0.78054665769279075</c:v>
                </c:pt>
                <c:pt idx="160">
                  <c:v>-0.78322688598036871</c:v>
                </c:pt>
                <c:pt idx="161">
                  <c:v>-0.78588286111445138</c:v>
                </c:pt>
                <c:pt idx="162">
                  <c:v>-0.78851476191260261</c:v>
                </c:pt>
                <c:pt idx="163">
                  <c:v>-0.79112276414555915</c:v>
                </c:pt>
                <c:pt idx="164">
                  <c:v>-0.79370704060594266</c:v>
                </c:pt>
                <c:pt idx="165">
                  <c:v>-0.79626776117497489</c:v>
                </c:pt>
                <c:pt idx="166">
                  <c:v>-0.79880509288727275</c:v>
                </c:pt>
                <c:pt idx="167">
                  <c:v>-0.80131919999378209</c:v>
                </c:pt>
                <c:pt idx="168">
                  <c:v>-0.80381024402292167</c:v>
                </c:pt>
                <c:pt idx="169">
                  <c:v>-0.80627838383999251</c:v>
                </c:pt>
                <c:pt idx="170">
                  <c:v>-0.80872377570491805</c:v>
                </c:pt>
                <c:pt idx="171">
                  <c:v>-0.81114657332836571</c:v>
                </c:pt>
                <c:pt idx="172">
                  <c:v>-0.81354692792630923</c:v>
                </c:pt>
                <c:pt idx="173">
                  <c:v>-0.81592498827308213</c:v>
                </c:pt>
                <c:pt idx="174">
                  <c:v>-0.81828090075297222</c:v>
                </c:pt>
                <c:pt idx="175">
                  <c:v>-0.82061480941040599</c:v>
                </c:pt>
                <c:pt idx="176">
                  <c:v>-0.82292685599876847</c:v>
                </c:pt>
                <c:pt idx="177">
                  <c:v>-0.82521718002790778</c:v>
                </c:pt>
                <c:pt idx="178">
                  <c:v>-0.82748591881035893</c:v>
                </c:pt>
                <c:pt idx="179">
                  <c:v>-0.82973320750633595</c:v>
                </c:pt>
                <c:pt idx="180">
                  <c:v>-0.83195917916752848</c:v>
                </c:pt>
                <c:pt idx="181">
                  <c:v>-0.83416396477974131</c:v>
                </c:pt>
                <c:pt idx="182">
                  <c:v>-0.83634769330441483</c:v>
                </c:pt>
                <c:pt idx="183">
                  <c:v>-0.83851049171906</c:v>
                </c:pt>
                <c:pt idx="184">
                  <c:v>-0.84065248505664436</c:v>
                </c:pt>
                <c:pt idx="185">
                  <c:v>-0.84277379644396022</c:v>
                </c:pt>
                <c:pt idx="186">
                  <c:v>-0.84487454713900612</c:v>
                </c:pt>
                <c:pt idx="187">
                  <c:v>-0.8469548565674152</c:v>
                </c:pt>
                <c:pt idx="188">
                  <c:v>-0.84901484235795566</c:v>
                </c:pt>
                <c:pt idx="189">
                  <c:v>-0.85105462037713653</c:v>
                </c:pt>
                <c:pt idx="190">
                  <c:v>-0.85307430476293888</c:v>
                </c:pt>
                <c:pt idx="191">
                  <c:v>-0.85507400795771038</c:v>
                </c:pt>
                <c:pt idx="192">
                  <c:v>-0.85705384074023228</c:v>
                </c:pt>
                <c:pt idx="193">
                  <c:v>-0.85901391225700219</c:v>
                </c:pt>
                <c:pt idx="194">
                  <c:v>-0.86095433005273991</c:v>
                </c:pt>
                <c:pt idx="195">
                  <c:v>-0.86287520010014807</c:v>
                </c:pt>
                <c:pt idx="196">
                  <c:v>-0.86477662682894973</c:v>
                </c:pt>
                <c:pt idx="197">
                  <c:v>-0.8666587131542185</c:v>
                </c:pt>
                <c:pt idx="198">
                  <c:v>-0.86852156050402751</c:v>
                </c:pt>
                <c:pt idx="199">
                  <c:v>-0.87036526884643328</c:v>
                </c:pt>
                <c:pt idx="200">
                  <c:v>-0.87218993671581857</c:v>
                </c:pt>
                <c:pt idx="201">
                  <c:v>-0.87399566123860362</c:v>
                </c:pt>
                <c:pt idx="202">
                  <c:v>-0.87578253815835494</c:v>
                </c:pt>
                <c:pt idx="203">
                  <c:v>-0.87755066186030017</c:v>
                </c:pt>
                <c:pt idx="204">
                  <c:v>-0.8793001253952708</c:v>
                </c:pt>
                <c:pt idx="205">
                  <c:v>-0.88103102050308435</c:v>
                </c:pt>
                <c:pt idx="206">
                  <c:v>-0.88274343763538798</c:v>
                </c:pt>
                <c:pt idx="207">
                  <c:v>-0.8844374659779729</c:v>
                </c:pt>
                <c:pt idx="208">
                  <c:v>-0.88611319347257589</c:v>
                </c:pt>
                <c:pt idx="209">
                  <c:v>-0.8877707068381836</c:v>
                </c:pt>
                <c:pt idx="210">
                  <c:v>-0.88941009159185147</c:v>
                </c:pt>
                <c:pt idx="211">
                  <c:v>-0.89103143206905289</c:v>
                </c:pt>
                <c:pt idx="212">
                  <c:v>-0.89263481144356627</c:v>
                </c:pt>
                <c:pt idx="213">
                  <c:v>-0.89422031174692018</c:v>
                </c:pt>
                <c:pt idx="214">
                  <c:v>-0.8957880138874007</c:v>
                </c:pt>
                <c:pt idx="215">
                  <c:v>-0.89733799766863931</c:v>
                </c:pt>
                <c:pt idx="216">
                  <c:v>-0.89887034180778591</c:v>
                </c:pt>
                <c:pt idx="217">
                  <c:v>-0.90038512395328529</c:v>
                </c:pt>
                <c:pt idx="218">
                  <c:v>-0.9018824207022611</c:v>
                </c:pt>
                <c:pt idx="219">
                  <c:v>-0.90336230761752134</c:v>
                </c:pt>
                <c:pt idx="220">
                  <c:v>-0.90482485924419442</c:v>
                </c:pt>
                <c:pt idx="221">
                  <c:v>-0.90627014912600401</c:v>
                </c:pt>
                <c:pt idx="222">
                  <c:v>-0.90769824982119485</c:v>
                </c:pt>
                <c:pt idx="223">
                  <c:v>-0.90910923291811552</c:v>
                </c:pt>
                <c:pt idx="224">
                  <c:v>-0.91050316905046902</c:v>
                </c:pt>
                <c:pt idx="225">
                  <c:v>-0.91188012791223949</c:v>
                </c:pt>
                <c:pt idx="226">
                  <c:v>-0.91324017827230086</c:v>
                </c:pt>
                <c:pt idx="227">
                  <c:v>-0.91458338798871963</c:v>
                </c:pt>
                <c:pt idx="228">
                  <c:v>-0.91590982402275567</c:v>
                </c:pt>
                <c:pt idx="229">
                  <c:v>-0.91721955245257214</c:v>
                </c:pt>
                <c:pt idx="230">
                  <c:v>-0.91851263848665621</c:v>
                </c:pt>
                <c:pt idx="231">
                  <c:v>-0.91978914647696541</c:v>
                </c:pt>
                <c:pt idx="232">
                  <c:v>-0.92104913993180082</c:v>
                </c:pt>
                <c:pt idx="233">
                  <c:v>-0.9222926815284137</c:v>
                </c:pt>
                <c:pt idx="234">
                  <c:v>-0.92351983312535657</c:v>
                </c:pt>
                <c:pt idx="235">
                  <c:v>-0.92473065577457991</c:v>
                </c:pt>
                <c:pt idx="236">
                  <c:v>-0.92592520973328485</c:v>
                </c:pt>
                <c:pt idx="237">
                  <c:v>-0.92710355447553372</c:v>
                </c:pt>
                <c:pt idx="238">
                  <c:v>-0.92826574870362888</c:v>
                </c:pt>
                <c:pt idx="239">
                  <c:v>-0.92941185035925977</c:v>
                </c:pt>
                <c:pt idx="240">
                  <c:v>-0.9305419166344292</c:v>
                </c:pt>
                <c:pt idx="241">
                  <c:v>-0.93165600398216186</c:v>
                </c:pt>
                <c:pt idx="242">
                  <c:v>-0.93275416812699818</c:v>
                </c:pt>
                <c:pt idx="243">
                  <c:v>-0.93383646407528142</c:v>
                </c:pt>
                <c:pt idx="244">
                  <c:v>-0.93490294612524305</c:v>
                </c:pt>
                <c:pt idx="245">
                  <c:v>-0.93595366787688761</c:v>
                </c:pt>
                <c:pt idx="246">
                  <c:v>-0.93698868224168674</c:v>
                </c:pt>
                <c:pt idx="247">
                  <c:v>-0.93800804145208083</c:v>
                </c:pt>
                <c:pt idx="248">
                  <c:v>-0.93901179707079963</c:v>
                </c:pt>
                <c:pt idx="249">
                  <c:v>-0.94000000000000017</c:v>
                </c:pt>
                <c:pt idx="250">
                  <c:v>-0.94097270049022741</c:v>
                </c:pt>
                <c:pt idx="251">
                  <c:v>-0.94192994814920605</c:v>
                </c:pt>
                <c:pt idx="252">
                  <c:v>-0.94287179195045956</c:v>
                </c:pt>
                <c:pt idx="253">
                  <c:v>-0.94379828024176726</c:v>
                </c:pt>
                <c:pt idx="254">
                  <c:v>-0.94470946075346118</c:v>
                </c:pt>
                <c:pt idx="255">
                  <c:v>-0.94560538060656141</c:v>
                </c:pt>
                <c:pt idx="256">
                  <c:v>-0.9464860863207627</c:v>
                </c:pt>
                <c:pt idx="257">
                  <c:v>-0.94735162382226679</c:v>
                </c:pt>
                <c:pt idx="258">
                  <c:v>-0.94820203845146889</c:v>
                </c:pt>
                <c:pt idx="259">
                  <c:v>-0.94903737497050122</c:v>
                </c:pt>
                <c:pt idx="260">
                  <c:v>-0.94985767757063377</c:v>
                </c:pt>
                <c:pt idx="261">
                  <c:v>-0.95066298987953812</c:v>
                </c:pt>
                <c:pt idx="262">
                  <c:v>-0.95145335496841743</c:v>
                </c:pt>
                <c:pt idx="263">
                  <c:v>-0.95222881535900283</c:v>
                </c:pt>
                <c:pt idx="264">
                  <c:v>-0.95298941303042362</c:v>
                </c:pt>
                <c:pt idx="265">
                  <c:v>-0.95373518942594604</c:v>
                </c:pt>
                <c:pt idx="266">
                  <c:v>-0.95446618545959527</c:v>
                </c:pt>
                <c:pt idx="267">
                  <c:v>-0.95518244152264997</c:v>
                </c:pt>
                <c:pt idx="268">
                  <c:v>-0.95588399749002417</c:v>
                </c:pt>
                <c:pt idx="269">
                  <c:v>-0.95657089272652795</c:v>
                </c:pt>
                <c:pt idx="270">
                  <c:v>-0.95724316609301741</c:v>
                </c:pt>
                <c:pt idx="271">
                  <c:v>-0.95790085595243535</c:v>
                </c:pt>
                <c:pt idx="272">
                  <c:v>-0.95854400017573826</c:v>
                </c:pt>
                <c:pt idx="273">
                  <c:v>-0.9591726361477213</c:v>
                </c:pt>
                <c:pt idx="274">
                  <c:v>-0.95978680077273526</c:v>
                </c:pt>
                <c:pt idx="275">
                  <c:v>-0.9603865304803052</c:v>
                </c:pt>
                <c:pt idx="276">
                  <c:v>-0.96097186123064493</c:v>
                </c:pt>
                <c:pt idx="277">
                  <c:v>-0.96154282852007489</c:v>
                </c:pt>
                <c:pt idx="278">
                  <c:v>-0.96209946738634633</c:v>
                </c:pt>
                <c:pt idx="279">
                  <c:v>-0.96264181241386715</c:v>
                </c:pt>
                <c:pt idx="280">
                  <c:v>-0.96316989773883721</c:v>
                </c:pt>
                <c:pt idx="281">
                  <c:v>-0.96368375705429477</c:v>
                </c:pt>
                <c:pt idx="282">
                  <c:v>-0.96418342361507126</c:v>
                </c:pt>
                <c:pt idx="283">
                  <c:v>-0.96466893024266098</c:v>
                </c:pt>
                <c:pt idx="284">
                  <c:v>-0.96514030933000616</c:v>
                </c:pt>
                <c:pt idx="285">
                  <c:v>-0.96559759284619595</c:v>
                </c:pt>
                <c:pt idx="286">
                  <c:v>-0.96604081234108585</c:v>
                </c:pt>
                <c:pt idx="287">
                  <c:v>-0.96646999894983554</c:v>
                </c:pt>
                <c:pt idx="288">
                  <c:v>-0.96688518339736906</c:v>
                </c:pt>
                <c:pt idx="289">
                  <c:v>-0.96728639600275623</c:v>
                </c:pt>
                <c:pt idx="290">
                  <c:v>-0.96767366668352017</c:v>
                </c:pt>
                <c:pt idx="291">
                  <c:v>-0.96804702495986772</c:v>
                </c:pt>
                <c:pt idx="292">
                  <c:v>-0.96840649995884975</c:v>
                </c:pt>
                <c:pt idx="293">
                  <c:v>-0.96875212041844949</c:v>
                </c:pt>
                <c:pt idx="294">
                  <c:v>-0.96908391469159882</c:v>
                </c:pt>
                <c:pt idx="295">
                  <c:v>-0.96940191075012683</c:v>
                </c:pt>
                <c:pt idx="296">
                  <c:v>-0.96970613618864143</c:v>
                </c:pt>
                <c:pt idx="297">
                  <c:v>-0.96999661822834393</c:v>
                </c:pt>
                <c:pt idx="298">
                  <c:v>-0.97027338372077909</c:v>
                </c:pt>
                <c:pt idx="299">
                  <c:v>-0.97053645915151898</c:v>
                </c:pt>
                <c:pt idx="300">
                  <c:v>-0.97078587064378907</c:v>
                </c:pt>
                <c:pt idx="301">
                  <c:v>-0.97102164396202595</c:v>
                </c:pt>
                <c:pt idx="302">
                  <c:v>-0.97124380451538173</c:v>
                </c:pt>
                <c:pt idx="303">
                  <c:v>-0.97145237736116274</c:v>
                </c:pt>
                <c:pt idx="304">
                  <c:v>-0.97164738720821475</c:v>
                </c:pt>
                <c:pt idx="305">
                  <c:v>-0.97182885842024835</c:v>
                </c:pt>
                <c:pt idx="306">
                  <c:v>-0.97199681501910828</c:v>
                </c:pt>
                <c:pt idx="307">
                  <c:v>-0.9721512806879884</c:v>
                </c:pt>
                <c:pt idx="308">
                  <c:v>-0.97229227877459223</c:v>
                </c:pt>
                <c:pt idx="309">
                  <c:v>-0.97241983229423945</c:v>
                </c:pt>
                <c:pt idx="310">
                  <c:v>-0.97253396393292091</c:v>
                </c:pt>
                <c:pt idx="311">
                  <c:v>-0.97263469605030162</c:v>
                </c:pt>
                <c:pt idx="312">
                  <c:v>-0.97272205068267337</c:v>
                </c:pt>
                <c:pt idx="313">
                  <c:v>-0.97279604954585763</c:v>
                </c:pt>
                <c:pt idx="314">
                  <c:v>-0.97285671403806051</c:v>
                </c:pt>
                <c:pt idx="315">
                  <c:v>-0.97290406524267681</c:v>
                </c:pt>
                <c:pt idx="316">
                  <c:v>-0.97293812393105139</c:v>
                </c:pt>
                <c:pt idx="317">
                  <c:v>-0.97295891056519013</c:v>
                </c:pt>
                <c:pt idx="318">
                  <c:v>-0.9729664453004272</c:v>
                </c:pt>
                <c:pt idx="319">
                  <c:v>-0.97296074798804766</c:v>
                </c:pt>
                <c:pt idx="320">
                  <c:v>-0.9729418381778645</c:v>
                </c:pt>
                <c:pt idx="321">
                  <c:v>-0.97290973512075507</c:v>
                </c:pt>
                <c:pt idx="322">
                  <c:v>-0.97286445777115071</c:v>
                </c:pt>
                <c:pt idx="323">
                  <c:v>-0.97280602478948874</c:v>
                </c:pt>
                <c:pt idx="324">
                  <c:v>-0.9727344545446206</c:v>
                </c:pt>
                <c:pt idx="325">
                  <c:v>-0.97264976511618007</c:v>
                </c:pt>
                <c:pt idx="326">
                  <c:v>-0.97255197429691154</c:v>
                </c:pt>
                <c:pt idx="327">
                  <c:v>-0.97244109959495939</c:v>
                </c:pt>
                <c:pt idx="328">
                  <c:v>-0.9723171582361182</c:v>
                </c:pt>
                <c:pt idx="329">
                  <c:v>-0.97218016716604461</c:v>
                </c:pt>
                <c:pt idx="330">
                  <c:v>-0.97203014305243274</c:v>
                </c:pt>
                <c:pt idx="331">
                  <c:v>-0.97186710228715234</c:v>
                </c:pt>
                <c:pt idx="332">
                  <c:v>-0.97169106098835001</c:v>
                </c:pt>
                <c:pt idx="333">
                  <c:v>-0.97150203500251564</c:v>
                </c:pt>
                <c:pt idx="334">
                  <c:v>-0.97130003990651326</c:v>
                </c:pt>
                <c:pt idx="335">
                  <c:v>-0.97108509100957729</c:v>
                </c:pt>
                <c:pt idx="336">
                  <c:v>-0.97085720335527437</c:v>
                </c:pt>
                <c:pt idx="337">
                  <c:v>-0.9706163917234325</c:v>
                </c:pt>
                <c:pt idx="338">
                  <c:v>-0.97036267063203641</c:v>
                </c:pt>
                <c:pt idx="339">
                  <c:v>-0.97009605433909007</c:v>
                </c:pt>
                <c:pt idx="340">
                  <c:v>-0.9698165568444489</c:v>
                </c:pt>
                <c:pt idx="341">
                  <c:v>-0.96952419189161698</c:v>
                </c:pt>
                <c:pt idx="342">
                  <c:v>-0.9692189729695172</c:v>
                </c:pt>
                <c:pt idx="343">
                  <c:v>-0.96890091331422745</c:v>
                </c:pt>
                <c:pt idx="344">
                  <c:v>-0.96857002591068841</c:v>
                </c:pt>
                <c:pt idx="345">
                  <c:v>-0.96822632349438131</c:v>
                </c:pt>
                <c:pt idx="346">
                  <c:v>-0.96786981855297438</c:v>
                </c:pt>
                <c:pt idx="347">
                  <c:v>-0.96750052332794456</c:v>
                </c:pt>
                <c:pt idx="348">
                  <c:v>-0.96711844981616524</c:v>
                </c:pt>
                <c:pt idx="349">
                  <c:v>-0.96672360977147065</c:v>
                </c:pt>
                <c:pt idx="350">
                  <c:v>-0.96631601470619</c:v>
                </c:pt>
                <c:pt idx="351">
                  <c:v>-0.96589567589265446</c:v>
                </c:pt>
                <c:pt idx="352">
                  <c:v>-0.96546260436467779</c:v>
                </c:pt>
                <c:pt idx="353">
                  <c:v>-0.96501681091900959</c:v>
                </c:pt>
                <c:pt idx="354">
                  <c:v>-0.96455830611676385</c:v>
                </c:pt>
                <c:pt idx="355">
                  <c:v>-0.96408710028481881</c:v>
                </c:pt>
                <c:pt idx="356">
                  <c:v>-0.96360320351719475</c:v>
                </c:pt>
                <c:pt idx="357">
                  <c:v>-0.96310662567640359</c:v>
                </c:pt>
                <c:pt idx="358">
                  <c:v>-0.96259737639477494</c:v>
                </c:pt>
                <c:pt idx="359">
                  <c:v>-0.96207546507575781</c:v>
                </c:pt>
                <c:pt idx="360">
                  <c:v>-0.96154090089519761</c:v>
                </c:pt>
                <c:pt idx="361">
                  <c:v>-0.96099369280258884</c:v>
                </c:pt>
                <c:pt idx="362">
                  <c:v>-0.96043384952230548</c:v>
                </c:pt>
                <c:pt idx="363">
                  <c:v>-0.95986137955480677</c:v>
                </c:pt>
                <c:pt idx="364">
                  <c:v>-0.95927629117781987</c:v>
                </c:pt>
                <c:pt idx="365">
                  <c:v>-0.95867859244750164</c:v>
                </c:pt>
                <c:pt idx="366">
                  <c:v>-0.95806829119957548</c:v>
                </c:pt>
                <c:pt idx="367">
                  <c:v>-0.95744539505044768</c:v>
                </c:pt>
                <c:pt idx="368">
                  <c:v>-0.95680991139830074</c:v>
                </c:pt>
                <c:pt idx="369">
                  <c:v>-0.95616184742416677</c:v>
                </c:pt>
                <c:pt idx="370">
                  <c:v>-0.95550121009297728</c:v>
                </c:pt>
                <c:pt idx="371">
                  <c:v>-0.95482800615459307</c:v>
                </c:pt>
                <c:pt idx="372">
                  <c:v>-0.95414224214481336</c:v>
                </c:pt>
                <c:pt idx="373">
                  <c:v>-0.95344392438636349</c:v>
                </c:pt>
                <c:pt idx="374">
                  <c:v>-0.95273305898986327</c:v>
                </c:pt>
                <c:pt idx="375">
                  <c:v>-0.95200965185477349</c:v>
                </c:pt>
                <c:pt idx="376">
                  <c:v>-0.95127370867032479</c:v>
                </c:pt>
                <c:pt idx="377">
                  <c:v>-0.95052523491642438</c:v>
                </c:pt>
                <c:pt idx="378">
                  <c:v>-0.94976423586454495</c:v>
                </c:pt>
                <c:pt idx="379">
                  <c:v>-0.94899071657859302</c:v>
                </c:pt>
                <c:pt idx="380">
                  <c:v>-0.94820468191575968</c:v>
                </c:pt>
                <c:pt idx="381">
                  <c:v>-0.94740613652735117</c:v>
                </c:pt>
                <c:pt idx="382">
                  <c:v>-0.94659508485960009</c:v>
                </c:pt>
                <c:pt idx="383">
                  <c:v>-0.94577153115446133</c:v>
                </c:pt>
                <c:pt idx="384">
                  <c:v>-0.94493547945038547</c:v>
                </c:pt>
                <c:pt idx="385">
                  <c:v>-0.94408693358307738</c:v>
                </c:pt>
                <c:pt idx="386">
                  <c:v>-0.9432258971862344</c:v>
                </c:pt>
                <c:pt idx="387">
                  <c:v>-0.9423523736922691</c:v>
                </c:pt>
                <c:pt idx="388">
                  <c:v>-0.94146636633301239</c:v>
                </c:pt>
                <c:pt idx="389">
                  <c:v>-0.94056787814039988</c:v>
                </c:pt>
                <c:pt idx="390">
                  <c:v>-0.93965691194714185</c:v>
                </c:pt>
                <c:pt idx="391">
                  <c:v>-0.93873347038737465</c:v>
                </c:pt>
                <c:pt idx="392">
                  <c:v>-0.93779755589729663</c:v>
                </c:pt>
                <c:pt idx="393">
                  <c:v>-0.93684917071578555</c:v>
                </c:pt>
                <c:pt idx="394">
                  <c:v>-0.93588831688500096</c:v>
                </c:pt>
                <c:pt idx="395">
                  <c:v>-0.93491499625096908</c:v>
                </c:pt>
                <c:pt idx="396">
                  <c:v>-0.93392921046415145</c:v>
                </c:pt>
                <c:pt idx="397">
                  <c:v>-0.93293096097999839</c:v>
                </c:pt>
                <c:pt idx="398">
                  <c:v>-0.93192024905948467</c:v>
                </c:pt>
                <c:pt idx="399">
                  <c:v>-0.93089707576962999</c:v>
                </c:pt>
                <c:pt idx="400">
                  <c:v>-0.92986144198400444</c:v>
                </c:pt>
                <c:pt idx="401">
                  <c:v>-0.92881334838321727</c:v>
                </c:pt>
                <c:pt idx="402">
                  <c:v>-0.92775279545539013</c:v>
                </c:pt>
                <c:pt idx="403">
                  <c:v>-0.92667978349661495</c:v>
                </c:pt>
                <c:pt idx="404">
                  <c:v>-0.92559431261139724</c:v>
                </c:pt>
                <c:pt idx="405">
                  <c:v>-0.9244963827130831</c:v>
                </c:pt>
                <c:pt idx="406">
                  <c:v>-0.92338599352427164</c:v>
                </c:pt>
                <c:pt idx="407">
                  <c:v>-0.92226314457721226</c:v>
                </c:pt>
                <c:pt idx="408">
                  <c:v>-0.92112783521418695</c:v>
                </c:pt>
                <c:pt idx="409">
                  <c:v>-0.91998006458787851</c:v>
                </c:pt>
                <c:pt idx="410">
                  <c:v>-0.91881983166172232</c:v>
                </c:pt>
                <c:pt idx="411">
                  <c:v>-0.91764713521024632</c:v>
                </c:pt>
                <c:pt idx="412">
                  <c:v>-0.91646197381939309</c:v>
                </c:pt>
                <c:pt idx="413">
                  <c:v>-0.91526434588683026</c:v>
                </c:pt>
                <c:pt idx="414">
                  <c:v>-0.91405424962224513</c:v>
                </c:pt>
                <c:pt idx="415">
                  <c:v>-0.91283168304762607</c:v>
                </c:pt>
                <c:pt idx="416">
                  <c:v>-0.91159664399752793</c:v>
                </c:pt>
                <c:pt idx="417">
                  <c:v>-0.91034913011932606</c:v>
                </c:pt>
                <c:pt idx="418">
                  <c:v>-0.90908913887345322</c:v>
                </c:pt>
                <c:pt idx="419">
                  <c:v>-0.90781666753362589</c:v>
                </c:pt>
                <c:pt idx="420">
                  <c:v>-0.9065317131870535</c:v>
                </c:pt>
                <c:pt idx="421">
                  <c:v>-0.9052342727346363</c:v>
                </c:pt>
                <c:pt idx="422">
                  <c:v>-0.90392434289114776</c:v>
                </c:pt>
                <c:pt idx="423">
                  <c:v>-0.90260192018540486</c:v>
                </c:pt>
                <c:pt idx="424">
                  <c:v>-0.90126700096042367</c:v>
                </c:pt>
                <c:pt idx="425">
                  <c:v>-0.89991958137356143</c:v>
                </c:pt>
                <c:pt idx="426">
                  <c:v>-0.89855965739664589</c:v>
                </c:pt>
                <c:pt idx="427">
                  <c:v>-0.89718722481609059</c:v>
                </c:pt>
                <c:pt idx="428">
                  <c:v>-0.89580227923299671</c:v>
                </c:pt>
                <c:pt idx="429">
                  <c:v>-0.89440481606324229</c:v>
                </c:pt>
                <c:pt idx="430">
                  <c:v>-0.89299483053755691</c:v>
                </c:pt>
                <c:pt idx="431">
                  <c:v>-0.89157231770158529</c:v>
                </c:pt>
                <c:pt idx="432">
                  <c:v>-0.8901372724159341</c:v>
                </c:pt>
                <c:pt idx="433">
                  <c:v>-0.88868968935621029</c:v>
                </c:pt>
                <c:pt idx="434">
                  <c:v>-0.88722956301304212</c:v>
                </c:pt>
                <c:pt idx="435">
                  <c:v>-0.88575688769208971</c:v>
                </c:pt>
                <c:pt idx="436">
                  <c:v>-0.88427165751404069</c:v>
                </c:pt>
                <c:pt idx="437">
                  <c:v>-0.88277386641459554</c:v>
                </c:pt>
                <c:pt idx="438">
                  <c:v>-0.8812635081444361</c:v>
                </c:pt>
                <c:pt idx="439">
                  <c:v>-0.87974057626918534</c:v>
                </c:pt>
                <c:pt idx="440">
                  <c:v>-0.87820506416935029</c:v>
                </c:pt>
                <c:pt idx="441">
                  <c:v>-0.87665696504025514</c:v>
                </c:pt>
                <c:pt idx="442">
                  <c:v>-0.87509627189195938</c:v>
                </c:pt>
                <c:pt idx="443">
                  <c:v>-0.87352297754916508</c:v>
                </c:pt>
                <c:pt idx="444">
                  <c:v>-0.87193707465110804</c:v>
                </c:pt>
                <c:pt idx="445">
                  <c:v>-0.87033855565144114</c:v>
                </c:pt>
                <c:pt idx="446">
                  <c:v>-0.86872741281809884</c:v>
                </c:pt>
                <c:pt idx="447">
                  <c:v>-0.86710363823315439</c:v>
                </c:pt>
                <c:pt idx="448">
                  <c:v>-0.86546722379266028</c:v>
                </c:pt>
                <c:pt idx="449">
                  <c:v>-0.86381816120647892</c:v>
                </c:pt>
                <c:pt idx="450">
                  <c:v>-0.86215644199809682</c:v>
                </c:pt>
                <c:pt idx="451">
                  <c:v>-0.86048205750443119</c:v>
                </c:pt>
                <c:pt idx="452">
                  <c:v>-0.85879499887561783</c:v>
                </c:pt>
                <c:pt idx="453">
                  <c:v>-0.85709525707479139</c:v>
                </c:pt>
                <c:pt idx="454">
                  <c:v>-0.85538282287784928</c:v>
                </c:pt>
                <c:pt idx="455">
                  <c:v>-0.8536576868732052</c:v>
                </c:pt>
                <c:pt idx="456">
                  <c:v>-0.85191983946152738</c:v>
                </c:pt>
                <c:pt idx="457">
                  <c:v>-0.85016927085546756</c:v>
                </c:pt>
                <c:pt idx="458">
                  <c:v>-0.84840597107937288</c:v>
                </c:pt>
                <c:pt idx="459">
                  <c:v>-0.84662992996898845</c:v>
                </c:pt>
                <c:pt idx="460">
                  <c:v>-0.84484113717114517</c:v>
                </c:pt>
                <c:pt idx="461">
                  <c:v>-0.84303958214343544</c:v>
                </c:pt>
                <c:pt idx="462">
                  <c:v>-0.84122525415387561</c:v>
                </c:pt>
                <c:pt idx="463">
                  <c:v>-0.83939814228055598</c:v>
                </c:pt>
                <c:pt idx="464">
                  <c:v>-0.83755823541127683</c:v>
                </c:pt>
                <c:pt idx="465">
                  <c:v>-0.8357055222431734</c:v>
                </c:pt>
                <c:pt idx="466">
                  <c:v>-0.83383999128232567</c:v>
                </c:pt>
                <c:pt idx="467">
                  <c:v>-0.83196163084335684</c:v>
                </c:pt>
                <c:pt idx="468">
                  <c:v>-0.83007042904901751</c:v>
                </c:pt>
                <c:pt idx="469">
                  <c:v>-0.82816637382975811</c:v>
                </c:pt>
                <c:pt idx="470">
                  <c:v>-0.82624945292328666</c:v>
                </c:pt>
                <c:pt idx="471">
                  <c:v>-0.82431965387411521</c:v>
                </c:pt>
                <c:pt idx="472">
                  <c:v>-0.82237696403309102</c:v>
                </c:pt>
                <c:pt idx="473">
                  <c:v>-0.82042137055691644</c:v>
                </c:pt>
                <c:pt idx="474">
                  <c:v>-0.81845286040765397</c:v>
                </c:pt>
                <c:pt idx="475">
                  <c:v>-0.81647142035221931</c:v>
                </c:pt>
                <c:pt idx="476">
                  <c:v>-0.81447703696186013</c:v>
                </c:pt>
                <c:pt idx="477">
                  <c:v>-0.81246969661162138</c:v>
                </c:pt>
                <c:pt idx="478">
                  <c:v>-0.81044938547979839</c:v>
                </c:pt>
                <c:pt idx="479">
                  <c:v>-0.80841608954737432</c:v>
                </c:pt>
                <c:pt idx="480">
                  <c:v>-0.8063697945974464</c:v>
                </c:pt>
                <c:pt idx="481">
                  <c:v>-0.80431048621463652</c:v>
                </c:pt>
                <c:pt idx="482">
                  <c:v>-0.80223814978448926</c:v>
                </c:pt>
                <c:pt idx="483">
                  <c:v>-0.80015277049285649</c:v>
                </c:pt>
                <c:pt idx="484">
                  <c:v>-0.79805433332526643</c:v>
                </c:pt>
                <c:pt idx="485">
                  <c:v>-0.79594282306628084</c:v>
                </c:pt>
                <c:pt idx="486">
                  <c:v>-0.79381822429883675</c:v>
                </c:pt>
                <c:pt idx="487">
                  <c:v>-0.7916805214035757</c:v>
                </c:pt>
                <c:pt idx="488">
                  <c:v>-0.78952969855815658</c:v>
                </c:pt>
                <c:pt idx="489">
                  <c:v>-0.7873657397365571</c:v>
                </c:pt>
                <c:pt idx="490">
                  <c:v>-0.78518862870835815</c:v>
                </c:pt>
                <c:pt idx="491">
                  <c:v>-0.78299834903801724</c:v>
                </c:pt>
                <c:pt idx="492">
                  <c:v>-0.7807948840841229</c:v>
                </c:pt>
                <c:pt idx="493">
                  <c:v>-0.77857821699864005</c:v>
                </c:pt>
                <c:pt idx="494">
                  <c:v>-0.77634833072613574</c:v>
                </c:pt>
                <c:pt idx="495">
                  <c:v>-0.77410520800299376</c:v>
                </c:pt>
                <c:pt idx="496">
                  <c:v>-0.77184883135661297</c:v>
                </c:pt>
                <c:pt idx="497">
                  <c:v>-0.76957918310459039</c:v>
                </c:pt>
                <c:pt idx="498">
                  <c:v>-0.76729624535389085</c:v>
                </c:pt>
                <c:pt idx="499">
                  <c:v>-0.76500000000000012</c:v>
                </c:pt>
                <c:pt idx="500">
                  <c:v>-0.76269042872606374</c:v>
                </c:pt>
                <c:pt idx="501">
                  <c:v>-0.76036751300200989</c:v>
                </c:pt>
                <c:pt idx="502">
                  <c:v>-0.75803123408365836</c:v>
                </c:pt>
                <c:pt idx="503">
                  <c:v>-0.75568157301181205</c:v>
                </c:pt>
                <c:pt idx="504">
                  <c:v>-0.75331851061133426</c:v>
                </c:pt>
                <c:pt idx="505">
                  <c:v>-0.75094202749021</c:v>
                </c:pt>
                <c:pt idx="506">
                  <c:v>-0.74855210403859151</c:v>
                </c:pt>
                <c:pt idx="507">
                  <c:v>-0.74614872042782798</c:v>
                </c:pt>
                <c:pt idx="508">
                  <c:v>-0.74373185660947816</c:v>
                </c:pt>
                <c:pt idx="509">
                  <c:v>-0.74130149231430942</c:v>
                </c:pt>
                <c:pt idx="510">
                  <c:v>-0.7388576070512769</c:v>
                </c:pt>
                <c:pt idx="511">
                  <c:v>-0.73640018010648933</c:v>
                </c:pt>
                <c:pt idx="512">
                  <c:v>-0.73392919054215722</c:v>
                </c:pt>
                <c:pt idx="513">
                  <c:v>-0.73144461719552389</c:v>
                </c:pt>
                <c:pt idx="514">
                  <c:v>-0.72894643867777964</c:v>
                </c:pt>
                <c:pt idx="515">
                  <c:v>-0.7264346333729611</c:v>
                </c:pt>
                <c:pt idx="516">
                  <c:v>-0.72390917943682997</c:v>
                </c:pt>
                <c:pt idx="517">
                  <c:v>-0.72137005479573768</c:v>
                </c:pt>
                <c:pt idx="518">
                  <c:v>-0.71881723714547063</c:v>
                </c:pt>
                <c:pt idx="519">
                  <c:v>-0.71625070395007873</c:v>
                </c:pt>
                <c:pt idx="520">
                  <c:v>-0.71367043244068717</c:v>
                </c:pt>
                <c:pt idx="521">
                  <c:v>-0.71107639961428759</c:v>
                </c:pt>
                <c:pt idx="522">
                  <c:v>-0.70846858223251452</c:v>
                </c:pt>
                <c:pt idx="523">
                  <c:v>-0.70584695682040166</c:v>
                </c:pt>
                <c:pt idx="524">
                  <c:v>-0.70321149966511953</c:v>
                </c:pt>
                <c:pt idx="525">
                  <c:v>-0.70056218681469695</c:v>
                </c:pt>
                <c:pt idx="526">
                  <c:v>-0.69789899407672062</c:v>
                </c:pt>
                <c:pt idx="527">
                  <c:v>-0.69522189701701931</c:v>
                </c:pt>
                <c:pt idx="528">
                  <c:v>-0.69253087095832533</c:v>
                </c:pt>
                <c:pt idx="529">
                  <c:v>-0.68982589097892044</c:v>
                </c:pt>
                <c:pt idx="530">
                  <c:v>-0.68710693191125916</c:v>
                </c:pt>
                <c:pt idx="531">
                  <c:v>-0.68437396834057551</c:v>
                </c:pt>
                <c:pt idx="532">
                  <c:v>-0.68162697460346688</c:v>
                </c:pt>
                <c:pt idx="533">
                  <c:v>-0.67886592478646046</c:v>
                </c:pt>
                <c:pt idx="534">
                  <c:v>-0.67609079272455841</c:v>
                </c:pt>
                <c:pt idx="535">
                  <c:v>-0.67330155199976249</c:v>
                </c:pt>
                <c:pt idx="536">
                  <c:v>-0.67049817593957906</c:v>
                </c:pt>
                <c:pt idx="537">
                  <c:v>-0.66768063761550134</c:v>
                </c:pt>
                <c:pt idx="538">
                  <c:v>-0.66484890984147371</c:v>
                </c:pt>
                <c:pt idx="539">
                  <c:v>-0.66200296517233137</c:v>
                </c:pt>
                <c:pt idx="540">
                  <c:v>-0.65914277590222137</c:v>
                </c:pt>
                <c:pt idx="541">
                  <c:v>-0.65626831406300046</c:v>
                </c:pt>
                <c:pt idx="542">
                  <c:v>-0.65337955142261117</c:v>
                </c:pt>
                <c:pt idx="543">
                  <c:v>-0.65047645948343669</c:v>
                </c:pt>
                <c:pt idx="544">
                  <c:v>-0.64755900948063161</c:v>
                </c:pt>
                <c:pt idx="545">
                  <c:v>-0.6446271723804321</c:v>
                </c:pt>
                <c:pt idx="546">
                  <c:v>-0.64168091887844214</c:v>
                </c:pt>
                <c:pt idx="547">
                  <c:v>-0.63872021939789614</c:v>
                </c:pt>
                <c:pt idx="548">
                  <c:v>-0.63574504408789934</c:v>
                </c:pt>
                <c:pt idx="549">
                  <c:v>-0.63275536282164391</c:v>
                </c:pt>
                <c:pt idx="550">
                  <c:v>-0.62975114519460174</c:v>
                </c:pt>
                <c:pt idx="551">
                  <c:v>-0.62673236052269132</c:v>
                </c:pt>
                <c:pt idx="552">
                  <c:v>-0.6236989778404235</c:v>
                </c:pt>
                <c:pt idx="553">
                  <c:v>-0.62065096589901847</c:v>
                </c:pt>
                <c:pt idx="554">
                  <c:v>-0.61758829316450148</c:v>
                </c:pt>
                <c:pt idx="555">
                  <c:v>-0.61451092781577066</c:v>
                </c:pt>
                <c:pt idx="556">
                  <c:v>-0.61141883774264083</c:v>
                </c:pt>
                <c:pt idx="557">
                  <c:v>-0.60831199054385987</c:v>
                </c:pt>
                <c:pt idx="558">
                  <c:v>-0.60519035352510109</c:v>
                </c:pt>
                <c:pt idx="559">
                  <c:v>-0.60205389369692708</c:v>
                </c:pt>
                <c:pt idx="560">
                  <c:v>-0.59890257777272782</c:v>
                </c:pt>
                <c:pt idx="561">
                  <c:v>-0.59573637216663144</c:v>
                </c:pt>
                <c:pt idx="562">
                  <c:v>-0.59255524299138784</c:v>
                </c:pt>
                <c:pt idx="563">
                  <c:v>-0.58935915605622269</c:v>
                </c:pt>
                <c:pt idx="564">
                  <c:v>-0.58614807686466697</c:v>
                </c:pt>
                <c:pt idx="565">
                  <c:v>-0.58292197061235462</c:v>
                </c:pt>
                <c:pt idx="566">
                  <c:v>-0.57968080218479323</c:v>
                </c:pt>
                <c:pt idx="567">
                  <c:v>-0.57642453615510436</c:v>
                </c:pt>
                <c:pt idx="568">
                  <c:v>-0.57315313678173574</c:v>
                </c:pt>
                <c:pt idx="569">
                  <c:v>-0.56986656800614233</c:v>
                </c:pt>
                <c:pt idx="570">
                  <c:v>-0.56656479345043798</c:v>
                </c:pt>
                <c:pt idx="571">
                  <c:v>-0.56324777641501544</c:v>
                </c:pt>
                <c:pt idx="572">
                  <c:v>-0.55991547987613755</c:v>
                </c:pt>
                <c:pt idx="573">
                  <c:v>-0.55656786648349355</c:v>
                </c:pt>
                <c:pt idx="574">
                  <c:v>-0.55320489855772659</c:v>
                </c:pt>
                <c:pt idx="575">
                  <c:v>-0.54982653808792825</c:v>
                </c:pt>
                <c:pt idx="576">
                  <c:v>-0.54643274672909881</c:v>
                </c:pt>
                <c:pt idx="577">
                  <c:v>-0.54302348579957704</c:v>
                </c:pt>
                <c:pt idx="578">
                  <c:v>-0.53959871627843459</c:v>
                </c:pt>
                <c:pt idx="579">
                  <c:v>-0.536158398802837</c:v>
                </c:pt>
                <c:pt idx="580">
                  <c:v>-0.5327024936653707</c:v>
                </c:pt>
                <c:pt idx="581">
                  <c:v>-0.52923096081133514</c:v>
                </c:pt>
                <c:pt idx="582">
                  <c:v>-0.52574375983599853</c:v>
                </c:pt>
                <c:pt idx="583">
                  <c:v>-0.52224084998181974</c:v>
                </c:pt>
                <c:pt idx="584">
                  <c:v>-0.51872219013563237</c:v>
                </c:pt>
                <c:pt idx="585">
                  <c:v>-0.51518773882579294</c:v>
                </c:pt>
                <c:pt idx="586">
                  <c:v>-0.51163745421929174</c:v>
                </c:pt>
                <c:pt idx="587">
                  <c:v>-0.50807129411882523</c:v>
                </c:pt>
                <c:pt idx="588">
                  <c:v>-0.50448921595983232</c:v>
                </c:pt>
                <c:pt idx="589">
                  <c:v>-0.50089117680748951</c:v>
                </c:pt>
                <c:pt idx="590">
                  <c:v>-0.49727713335366752</c:v>
                </c:pt>
                <c:pt idx="591">
                  <c:v>-0.49364704191384945</c:v>
                </c:pt>
                <c:pt idx="592">
                  <c:v>-0.49000085842400676</c:v>
                </c:pt>
                <c:pt idx="593">
                  <c:v>-0.48633853843743602</c:v>
                </c:pt>
                <c:pt idx="594">
                  <c:v>-0.48266003712155237</c:v>
                </c:pt>
                <c:pt idx="595">
                  <c:v>-0.47896530925464281</c:v>
                </c:pt>
                <c:pt idx="596">
                  <c:v>-0.47525430922257555</c:v>
                </c:pt>
                <c:pt idx="597">
                  <c:v>-0.47152699101546697</c:v>
                </c:pt>
                <c:pt idx="598">
                  <c:v>-0.46778330822430425</c:v>
                </c:pt>
                <c:pt idx="599">
                  <c:v>-0.46402321403752378</c:v>
                </c:pt>
                <c:pt idx="600">
                  <c:v>-0.4602466612375446</c:v>
                </c:pt>
                <c:pt idx="601">
                  <c:v>-0.456453602197256</c:v>
                </c:pt>
                <c:pt idx="602">
                  <c:v>-0.45264398887645868</c:v>
                </c:pt>
                <c:pt idx="603">
                  <c:v>-0.44881777281825913</c:v>
                </c:pt>
                <c:pt idx="604">
                  <c:v>-0.44497490514541638</c:v>
                </c:pt>
                <c:pt idx="605">
                  <c:v>-0.44111533655663981</c:v>
                </c:pt>
                <c:pt idx="606">
                  <c:v>-0.43723901732283849</c:v>
                </c:pt>
                <c:pt idx="607">
                  <c:v>-0.4333458972833209</c:v>
                </c:pt>
                <c:pt idx="608">
                  <c:v>-0.42943592584194323</c:v>
                </c:pt>
                <c:pt idx="609">
                  <c:v>-0.42550905196320687</c:v>
                </c:pt>
                <c:pt idx="610">
                  <c:v>-0.42156522416830489</c:v>
                </c:pt>
                <c:pt idx="611">
                  <c:v>-0.41760439053111387</c:v>
                </c:pt>
                <c:pt idx="612">
                  <c:v>-0.41362649867413365</c:v>
                </c:pt>
                <c:pt idx="613">
                  <c:v>-0.40963149576437236</c:v>
                </c:pt>
                <c:pt idx="614">
                  <c:v>-0.40561932850917587</c:v>
                </c:pt>
                <c:pt idx="615">
                  <c:v>-0.40158994315200219</c:v>
                </c:pt>
                <c:pt idx="616">
                  <c:v>-0.39754328546813766</c:v>
                </c:pt>
                <c:pt idx="617">
                  <c:v>-0.39347930076035731</c:v>
                </c:pt>
                <c:pt idx="618">
                  <c:v>-0.3893979338545247</c:v>
                </c:pt>
                <c:pt idx="619">
                  <c:v>-0.3852991290951342</c:v>
                </c:pt>
                <c:pt idx="620">
                  <c:v>-0.3811828303407917</c:v>
                </c:pt>
                <c:pt idx="621">
                  <c:v>-0.37704898095963413</c:v>
                </c:pt>
                <c:pt idx="622">
                  <c:v>-0.3728975238246881</c:v>
                </c:pt>
                <c:pt idx="623">
                  <c:v>-0.36872840130916379</c:v>
                </c:pt>
                <c:pt idx="624">
                  <c:v>-0.3645415552816853</c:v>
                </c:pt>
                <c:pt idx="625">
                  <c:v>-0.36033692710145676</c:v>
                </c:pt>
                <c:pt idx="626">
                  <c:v>-0.35611445761336108</c:v>
                </c:pt>
                <c:pt idx="627">
                  <c:v>-0.35187408714299218</c:v>
                </c:pt>
                <c:pt idx="628">
                  <c:v>-0.34761575549161972</c:v>
                </c:pt>
                <c:pt idx="629">
                  <c:v>-0.34333940193108292</c:v>
                </c:pt>
                <c:pt idx="630">
                  <c:v>-0.3390449651986156</c:v>
                </c:pt>
                <c:pt idx="631">
                  <c:v>-0.33473238349159962</c:v>
                </c:pt>
                <c:pt idx="632">
                  <c:v>-0.3304015944622446</c:v>
                </c:pt>
                <c:pt idx="633">
                  <c:v>-0.32605253521219524</c:v>
                </c:pt>
                <c:pt idx="634">
                  <c:v>-0.32168514228706363</c:v>
                </c:pt>
                <c:pt idx="635">
                  <c:v>-0.31729935167088436</c:v>
                </c:pt>
                <c:pt idx="636">
                  <c:v>-0.31289509878049371</c:v>
                </c:pt>
                <c:pt idx="637">
                  <c:v>-0.30847231845982981</c:v>
                </c:pt>
                <c:pt idx="638">
                  <c:v>-0.30403094497415251</c:v>
                </c:pt>
                <c:pt idx="639">
                  <c:v>-0.29957091200418318</c:v>
                </c:pt>
                <c:pt idx="640">
                  <c:v>-0.29509215264016114</c:v>
                </c:pt>
                <c:pt idx="641">
                  <c:v>-0.29059459937581733</c:v>
                </c:pt>
                <c:pt idx="642">
                  <c:v>-0.28607818410226171</c:v>
                </c:pt>
                <c:pt idx="643">
                  <c:v>-0.28154283810178526</c:v>
                </c:pt>
                <c:pt idx="644">
                  <c:v>-0.27698849204157361</c:v>
                </c:pt>
                <c:pt idx="645">
                  <c:v>-0.27241507596733139</c:v>
                </c:pt>
                <c:pt idx="646">
                  <c:v>-0.26782251929681555</c:v>
                </c:pt>
                <c:pt idx="647">
                  <c:v>-0.26321075081327644</c:v>
                </c:pt>
                <c:pt idx="648">
                  <c:v>-0.25857969865880559</c:v>
                </c:pt>
                <c:pt idx="649">
                  <c:v>-0.25392929032758693</c:v>
                </c:pt>
                <c:pt idx="650">
                  <c:v>-0.24925945265905233</c:v>
                </c:pt>
                <c:pt idx="651">
                  <c:v>-0.24457011183093674</c:v>
                </c:pt>
                <c:pt idx="652">
                  <c:v>-0.23986119335223502</c:v>
                </c:pt>
                <c:pt idx="653">
                  <c:v>-0.23513262205605523</c:v>
                </c:pt>
                <c:pt idx="654">
                  <c:v>-0.23038432209236867</c:v>
                </c:pt>
                <c:pt idx="655">
                  <c:v>-0.22561621692065476</c:v>
                </c:pt>
                <c:pt idx="656">
                  <c:v>-0.22082822930243798</c:v>
                </c:pt>
                <c:pt idx="657">
                  <c:v>-0.21602028129371581</c:v>
                </c:pt>
                <c:pt idx="658">
                  <c:v>-0.21119229423727617</c:v>
                </c:pt>
                <c:pt idx="659">
                  <c:v>-0.20634418875490124</c:v>
                </c:pt>
                <c:pt idx="660">
                  <c:v>-0.20147588473945668</c:v>
                </c:pt>
                <c:pt idx="661">
                  <c:v>-0.19658730134686425</c:v>
                </c:pt>
                <c:pt idx="662">
                  <c:v>-0.19167835698795452</c:v>
                </c:pt>
                <c:pt idx="663">
                  <c:v>-0.1867489693202001</c:v>
                </c:pt>
                <c:pt idx="664">
                  <c:v>-0.18179905523932438</c:v>
                </c:pt>
                <c:pt idx="665">
                  <c:v>-0.17682853087078568</c:v>
                </c:pt>
                <c:pt idx="666">
                  <c:v>-0.1718373115611338</c:v>
                </c:pt>
                <c:pt idx="667">
                  <c:v>-0.16682531186923677</c:v>
                </c:pt>
                <c:pt idx="668">
                  <c:v>-0.1617924455573754</c:v>
                </c:pt>
                <c:pt idx="669">
                  <c:v>-0.15673862558220392</c:v>
                </c:pt>
                <c:pt idx="670">
                  <c:v>-0.15166376408557364</c:v>
                </c:pt>
                <c:pt idx="671">
                  <c:v>-0.14656777238521632</c:v>
                </c:pt>
                <c:pt idx="672">
                  <c:v>-0.14145056096528827</c:v>
                </c:pt>
                <c:pt idx="673">
                  <c:v>-0.13631203946676673</c:v>
                </c:pt>
                <c:pt idx="674">
                  <c:v>-0.13115211667770305</c:v>
                </c:pt>
                <c:pt idx="675">
                  <c:v>-0.12597070052332299</c:v>
                </c:pt>
                <c:pt idx="676">
                  <c:v>-0.12076769805597659</c:v>
                </c:pt>
                <c:pt idx="677">
                  <c:v>-0.11554301544493331</c:v>
                </c:pt>
                <c:pt idx="678">
                  <c:v>-0.11029655796601701</c:v>
                </c:pt>
                <c:pt idx="679">
                  <c:v>-0.10502822999108252</c:v>
                </c:pt>
                <c:pt idx="680">
                  <c:v>-9.9737934977327136E-2</c:v>
                </c:pt>
                <c:pt idx="681">
                  <c:v>-9.4425575456435595E-2</c:v>
                </c:pt>
                <c:pt idx="682">
                  <c:v>-8.909105302355505E-2</c:v>
                </c:pt>
                <c:pt idx="683">
                  <c:v>-8.37342683260964E-2</c:v>
                </c:pt>
                <c:pt idx="684">
                  <c:v>-7.8355121052360754E-2</c:v>
                </c:pt>
                <c:pt idx="685">
                  <c:v>-7.2953509919984699E-2</c:v>
                </c:pt>
                <c:pt idx="686">
                  <c:v>-6.7529332664203051E-2</c:v>
                </c:pt>
                <c:pt idx="687">
                  <c:v>-6.2082486025926392E-2</c:v>
                </c:pt>
                <c:pt idx="688">
                  <c:v>-5.6612865739623763E-2</c:v>
                </c:pt>
                <c:pt idx="689">
                  <c:v>-5.1120366521020588E-2</c:v>
                </c:pt>
                <c:pt idx="690">
                  <c:v>-4.5604882054590123E-2</c:v>
                </c:pt>
                <c:pt idx="691">
                  <c:v>-4.0066304980848955E-2</c:v>
                </c:pt>
                <c:pt idx="692">
                  <c:v>-3.4504526883445907E-2</c:v>
                </c:pt>
                <c:pt idx="693">
                  <c:v>-2.8919438276043041E-2</c:v>
                </c:pt>
                <c:pt idx="694">
                  <c:v>-2.3310928588981539E-2</c:v>
                </c:pt>
                <c:pt idx="695">
                  <c:v>-1.767888615573332E-2</c:v>
                </c:pt>
                <c:pt idx="696">
                  <c:v>-1.2023198199128782E-2</c:v>
                </c:pt>
                <c:pt idx="697">
                  <c:v>-6.3437508173608825E-3</c:v>
                </c:pt>
                <c:pt idx="698">
                  <c:v>-6.4042896975746721E-4</c:v>
                </c:pt>
                <c:pt idx="699">
                  <c:v>5.0868835376797761E-3</c:v>
                </c:pt>
                <c:pt idx="700">
                  <c:v>1.083830406697639E-2</c:v>
                </c:pt>
                <c:pt idx="701">
                  <c:v>1.6613951163130025E-2</c:v>
                </c:pt>
                <c:pt idx="702">
                  <c:v>2.2413944569303568E-2</c:v>
                </c:pt>
                <c:pt idx="703">
                  <c:v>2.823840524227339E-2</c:v>
                </c:pt>
                <c:pt idx="704">
                  <c:v>3.4087455368134956E-2</c:v>
                </c:pt>
                <c:pt idx="705">
                  <c:v>3.99612183782736E-2</c:v>
                </c:pt>
                <c:pt idx="706">
                  <c:v>4.5859818965605037E-2</c:v>
                </c:pt>
                <c:pt idx="707">
                  <c:v>5.1783383101088154E-2</c:v>
                </c:pt>
                <c:pt idx="708">
                  <c:v>5.773203805052296E-2</c:v>
                </c:pt>
                <c:pt idx="709">
                  <c:v>6.3705912391629815E-2</c:v>
                </c:pt>
                <c:pt idx="710">
                  <c:v>6.9705136031423642E-2</c:v>
                </c:pt>
                <c:pt idx="711">
                  <c:v>7.5729840223885569E-2</c:v>
                </c:pt>
                <c:pt idx="712">
                  <c:v>8.1780157587938163E-2</c:v>
                </c:pt>
                <c:pt idx="713">
                  <c:v>8.7856222125731409E-2</c:v>
                </c:pt>
                <c:pt idx="714">
                  <c:v>9.3958169241246114E-2</c:v>
                </c:pt>
                <c:pt idx="715">
                  <c:v>0.10008613575921999</c:v>
                </c:pt>
                <c:pt idx="716">
                  <c:v>0.10624025994440439</c:v>
                </c:pt>
                <c:pt idx="717">
                  <c:v>0.11242068152115819</c:v>
                </c:pt>
                <c:pt idx="718">
                  <c:v>0.11862754169338585</c:v>
                </c:pt>
                <c:pt idx="719">
                  <c:v>0.12486098316482724</c:v>
                </c:pt>
                <c:pt idx="720">
                  <c:v>0.13112115015970588</c:v>
                </c:pt>
                <c:pt idx="721">
                  <c:v>0.13740818844374536</c:v>
                </c:pt>
                <c:pt idx="722">
                  <c:v>0.14372224534555733</c:v>
                </c:pt>
                <c:pt idx="723">
                  <c:v>0.1500634697784155</c:v>
                </c:pt>
                <c:pt idx="724">
                  <c:v>0.15643201226241815</c:v>
                </c:pt>
                <c:pt idx="725">
                  <c:v>0.1628280249470494</c:v>
                </c:pt>
                <c:pt idx="726">
                  <c:v>0.1692516616341509</c:v>
                </c:pt>
                <c:pt idx="727">
                  <c:v>0.17570307780130695</c:v>
                </c:pt>
                <c:pt idx="728">
                  <c:v>0.18218243062565809</c:v>
                </c:pt>
                <c:pt idx="729">
                  <c:v>0.18868987900814854</c:v>
                </c:pt>
                <c:pt idx="730">
                  <c:v>0.19522558359821829</c:v>
                </c:pt>
                <c:pt idx="731">
                  <c:v>0.20178970681895009</c:v>
                </c:pt>
                <c:pt idx="732">
                  <c:v>0.20838241289268172</c:v>
                </c:pt>
                <c:pt idx="733">
                  <c:v>0.2150038678670913</c:v>
                </c:pt>
                <c:pt idx="734">
                  <c:v>0.22165423964177039</c:v>
                </c:pt>
                <c:pt idx="735">
                  <c:v>0.22833369799529241</c:v>
                </c:pt>
                <c:pt idx="736">
                  <c:v>0.23504241461278819</c:v>
                </c:pt>
                <c:pt idx="737">
                  <c:v>0.2417805631140425</c:v>
                </c:pt>
                <c:pt idx="738">
                  <c:v>0.24854831908211933</c:v>
                </c:pt>
                <c:pt idx="739">
                  <c:v>0.25534586009253085</c:v>
                </c:pt>
                <c:pt idx="740">
                  <c:v>0.26217336574296413</c:v>
                </c:pt>
                <c:pt idx="741">
                  <c:v>0.26903101768357207</c:v>
                </c:pt>
                <c:pt idx="742">
                  <c:v>0.27591899964784755</c:v>
                </c:pt>
                <c:pt idx="743">
                  <c:v>0.28283749748409398</c:v>
                </c:pt>
                <c:pt idx="744">
                  <c:v>0.28978669918750138</c:v>
                </c:pt>
                <c:pt idx="745">
                  <c:v>0.29676679493284702</c:v>
                </c:pt>
                <c:pt idx="746">
                  <c:v>0.30377797710783261</c:v>
                </c:pt>
                <c:pt idx="747">
                  <c:v>0.31082044034707534</c:v>
                </c:pt>
                <c:pt idx="748">
                  <c:v>0.31789438156676353</c:v>
                </c:pt>
                <c:pt idx="749">
                  <c:v>0.32500000000000001</c:v>
                </c:pt>
                <c:pt idx="750">
                  <c:v>0.33213749723284131</c:v>
                </c:pt>
                <c:pt idx="751">
                  <c:v>0.33930707724105569</c:v>
                </c:pt>
                <c:pt idx="752">
                  <c:v>0.34650894642761609</c:v>
                </c:pt>
                <c:pt idx="753">
                  <c:v>0.3537433136609397</c:v>
                </c:pt>
                <c:pt idx="754">
                  <c:v>0.36101039031390336</c:v>
                </c:pt>
                <c:pt idx="755">
                  <c:v>0.36831039030364215</c:v>
                </c:pt>
                <c:pt idx="756">
                  <c:v>0.3756435301321584</c:v>
                </c:pt>
                <c:pt idx="757">
                  <c:v>0.38301002892775815</c:v>
                </c:pt>
                <c:pt idx="758">
                  <c:v>0.39041010848733293</c:v>
                </c:pt>
                <c:pt idx="759">
                  <c:v>0.39784399331951148</c:v>
                </c:pt>
                <c:pt idx="760">
                  <c:v>0.40531191068870398</c:v>
                </c:pt>
                <c:pt idx="761">
                  <c:v>0.41281409066005381</c:v>
                </c:pt>
                <c:pt idx="762">
                  <c:v>0.4203507661453294</c:v>
                </c:pt>
                <c:pt idx="763">
                  <c:v>0.42792217294977097</c:v>
                </c:pt>
                <c:pt idx="764">
                  <c:v>0.43552854981992284</c:v>
                </c:pt>
                <c:pt idx="765">
                  <c:v>0.44317013849247144</c:v>
                </c:pt>
                <c:pt idx="766">
                  <c:v>0.4508471837441187</c:v>
                </c:pt>
                <c:pt idx="767">
                  <c:v>0.45855993344251467</c:v>
                </c:pt>
                <c:pt idx="768">
                  <c:v>0.4663086385982752</c:v>
                </c:pt>
                <c:pt idx="769">
                  <c:v>0.47409355341811887</c:v>
                </c:pt>
                <c:pt idx="770">
                  <c:v>0.48191493535914398</c:v>
                </c:pt>
                <c:pt idx="771">
                  <c:v>0.48977304518428189</c:v>
                </c:pt>
                <c:pt idx="772">
                  <c:v>0.49766814701895334</c:v>
                </c:pt>
                <c:pt idx="773">
                  <c:v>0.50560050840896165</c:v>
                </c:pt>
                <c:pt idx="774">
                  <c:v>0.51357040037965485</c:v>
                </c:pt>
                <c:pt idx="775">
                  <c:v>0.5215780974963885</c:v>
                </c:pt>
                <c:pt idx="776">
                  <c:v>0.52962387792632859</c:v>
                </c:pt>
                <c:pt idx="777">
                  <c:v>0.53770802350162306</c:v>
                </c:pt>
                <c:pt idx="778">
                  <c:v>0.54583081978398529</c:v>
                </c:pt>
                <c:pt idx="779">
                  <c:v>0.55399255613072684</c:v>
                </c:pt>
                <c:pt idx="780">
                  <c:v>0.56219352576227188</c:v>
                </c:pt>
                <c:pt idx="781">
                  <c:v>0.57043402583120406</c:v>
                </c:pt>
                <c:pt idx="782">
                  <c:v>0.57871435749287958</c:v>
                </c:pt>
                <c:pt idx="783">
                  <c:v>0.58703482597765277</c:v>
                </c:pt>
                <c:pt idx="784">
                  <c:v>0.5953957406647592</c:v>
                </c:pt>
                <c:pt idx="785">
                  <c:v>0.60379741515790042</c:v>
                </c:pt>
                <c:pt idx="786">
                  <c:v>0.61224016736257925</c:v>
                </c:pt>
                <c:pt idx="787">
                  <c:v>0.62072431956523344</c:v>
                </c:pt>
                <c:pt idx="788">
                  <c:v>0.62925019851422048</c:v>
                </c:pt>
                <c:pt idx="789">
                  <c:v>0.63781813550270217</c:v>
                </c:pt>
                <c:pt idx="790">
                  <c:v>0.64642846645348762</c:v>
                </c:pt>
                <c:pt idx="791">
                  <c:v>0.65508153200588548</c:v>
                </c:pt>
                <c:pt idx="792">
                  <c:v>0.66377767760462758</c:v>
                </c:pt>
                <c:pt idx="793">
                  <c:v>0.67251725359092096</c:v>
                </c:pt>
                <c:pt idx="794">
                  <c:v>0.6813006152956903</c:v>
                </c:pt>
                <c:pt idx="795">
                  <c:v>0.69012812313507521</c:v>
                </c:pt>
                <c:pt idx="796">
                  <c:v>0.69900014270824928</c:v>
                </c:pt>
                <c:pt idx="797">
                  <c:v>0.70791704489762453</c:v>
                </c:pt>
                <c:pt idx="798">
                  <c:v>0.716879205971519</c:v>
                </c:pt>
                <c:pt idx="799">
                  <c:v>0.7258870076893541</c:v>
                </c:pt>
                <c:pt idx="800">
                  <c:v>0.73494083740946048</c:v>
                </c:pt>
                <c:pt idx="801">
                  <c:v>0.74404108819956905</c:v>
                </c:pt>
                <c:pt idx="802">
                  <c:v>0.75318815895007152</c:v>
                </c:pt>
                <c:pt idx="803">
                  <c:v>0.76238245449012931</c:v>
                </c:pt>
                <c:pt idx="804">
                  <c:v>0.77162438570671998</c:v>
                </c:pt>
                <c:pt idx="805">
                  <c:v>0.78091436966671401</c:v>
                </c:pt>
                <c:pt idx="806">
                  <c:v>0.79025282974206978</c:v>
                </c:pt>
                <c:pt idx="807">
                  <c:v>0.7996401957382453</c:v>
                </c:pt>
                <c:pt idx="808">
                  <c:v>0.80907690402593113</c:v>
                </c:pt>
                <c:pt idx="809">
                  <c:v>0.81856339767619934</c:v>
                </c:pt>
                <c:pt idx="810">
                  <c:v>0.8281001265991853</c:v>
                </c:pt>
                <c:pt idx="811">
                  <c:v>0.83768754768640619</c:v>
                </c:pt>
                <c:pt idx="812">
                  <c:v>0.8473261249568369</c:v>
                </c:pt>
                <c:pt idx="813">
                  <c:v>0.85701632970686525</c:v>
                </c:pt>
                <c:pt idx="814">
                  <c:v>0.86675864066423569</c:v>
                </c:pt>
                <c:pt idx="815">
                  <c:v>0.87655354414613595</c:v>
                </c:pt>
                <c:pt idx="816">
                  <c:v>0.88640153422153833</c:v>
                </c:pt>
                <c:pt idx="817">
                  <c:v>0.89630311287794684</c:v>
                </c:pt>
                <c:pt idx="818">
                  <c:v>0.90625879019268885</c:v>
                </c:pt>
                <c:pt idx="819">
                  <c:v>0.91626908450890709</c:v>
                </c:pt>
                <c:pt idx="820">
                  <c:v>0.92633452261640004</c:v>
                </c:pt>
                <c:pt idx="821">
                  <c:v>0.93645563993748171</c:v>
                </c:pt>
                <c:pt idx="822">
                  <c:v>0.94663298071802104</c:v>
                </c:pt>
                <c:pt idx="823">
                  <c:v>0.95686709822384264</c:v>
                </c:pt>
                <c:pt idx="824">
                  <c:v>0.96715855494266245</c:v>
                </c:pt>
                <c:pt idx="825">
                  <c:v>0.97750792279176069</c:v>
                </c:pt>
                <c:pt idx="826">
                  <c:v>0.9879157833315716</c:v>
                </c:pt>
                <c:pt idx="827">
                  <c:v>0.99838272798541228</c:v>
                </c:pt>
                <c:pt idx="828">
                  <c:v>1.0089093582655484</c:v>
                </c:pt>
                <c:pt idx="829">
                  <c:v>1.0194962860058312</c:v>
                </c:pt>
                <c:pt idx="830">
                  <c:v>1.0301441336011257</c:v>
                </c:pt>
                <c:pt idx="831">
                  <c:v>1.0408535342537819</c:v>
                </c:pt>
                <c:pt idx="832">
                  <c:v>1.0516251322273857</c:v>
                </c:pt>
                <c:pt idx="833">
                  <c:v>1.0624595831080643</c:v>
                </c:pt>
                <c:pt idx="834">
                  <c:v>1.073357554073608</c:v>
                </c:pt>
                <c:pt idx="835">
                  <c:v>1.0843197241706961</c:v>
                </c:pt>
                <c:pt idx="836">
                  <c:v>1.0953467846005247</c:v>
                </c:pt>
                <c:pt idx="837">
                  <c:v>1.1064394390131345</c:v>
                </c:pt>
                <c:pt idx="838">
                  <c:v>1.1175984038107736</c:v>
                </c:pt>
                <c:pt idx="839">
                  <c:v>1.1288244084606209</c:v>
                </c:pt>
                <c:pt idx="840">
                  <c:v>1.140118195817224</c:v>
                </c:pt>
                <c:pt idx="841">
                  <c:v>1.1514805224550164</c:v>
                </c:pt>
                <c:pt idx="842">
                  <c:v>1.162912159011293</c:v>
                </c:pt>
                <c:pt idx="843">
                  <c:v>1.1744138905400514</c:v>
                </c:pt>
                <c:pt idx="844">
                  <c:v>1.1859865168770996</c:v>
                </c:pt>
                <c:pt idx="845">
                  <c:v>1.1976308530168829</c:v>
                </c:pt>
                <c:pt idx="846">
                  <c:v>1.2093477295014732</c:v>
                </c:pt>
                <c:pt idx="847">
                  <c:v>1.2211379928221988</c:v>
                </c:pt>
                <c:pt idx="848">
                  <c:v>1.2330025058344176</c:v>
                </c:pt>
                <c:pt idx="849">
                  <c:v>1.2449421481859462</c:v>
                </c:pt>
                <c:pt idx="850">
                  <c:v>1.2569578167596964</c:v>
                </c:pt>
                <c:pt idx="851">
                  <c:v>1.2690504261310886</c:v>
                </c:pt>
                <c:pt idx="852">
                  <c:v>1.2812209090408333</c:v>
                </c:pt>
                <c:pt idx="853">
                  <c:v>1.2934702168837202</c:v>
                </c:pt>
                <c:pt idx="854">
                  <c:v>1.3057993202140539</c:v>
                </c:pt>
                <c:pt idx="855">
                  <c:v>1.3182092092684365</c:v>
                </c:pt>
                <c:pt idx="856">
                  <c:v>1.3307008945066174</c:v>
                </c:pt>
                <c:pt idx="857">
                  <c:v>1.3432754071711539</c:v>
                </c:pt>
                <c:pt idx="858">
                  <c:v>1.3559337998666956</c:v>
                </c:pt>
                <c:pt idx="859">
                  <c:v>1.368677147159709</c:v>
                </c:pt>
                <c:pt idx="860">
                  <c:v>1.3815065461995253</c:v>
                </c:pt>
                <c:pt idx="861">
                  <c:v>1.3944231173616279</c:v>
                </c:pt>
                <c:pt idx="862">
                  <c:v>1.4074280049141448</c:v>
                </c:pt>
                <c:pt idx="863">
                  <c:v>1.4205223777085607</c:v>
                </c:pt>
                <c:pt idx="864">
                  <c:v>1.4337074298957131</c:v>
                </c:pt>
                <c:pt idx="865">
                  <c:v>1.4469843816682002</c:v>
                </c:pt>
                <c:pt idx="866">
                  <c:v>1.4603544800303749</c:v>
                </c:pt>
                <c:pt idx="867">
                  <c:v>1.473818999597168</c:v>
                </c:pt>
                <c:pt idx="868">
                  <c:v>1.4873792434230584</c:v>
                </c:pt>
                <c:pt idx="869">
                  <c:v>1.5010365438625546</c:v>
                </c:pt>
                <c:pt idx="870">
                  <c:v>1.5147922634636493</c:v>
                </c:pt>
                <c:pt idx="871">
                  <c:v>1.5286477958957818</c:v>
                </c:pt>
                <c:pt idx="872">
                  <c:v>1.5426045669139108</c:v>
                </c:pt>
                <c:pt idx="873">
                  <c:v>1.5566640353604175</c:v>
                </c:pt>
                <c:pt idx="874">
                  <c:v>1.5708276942066255</c:v>
                </c:pt>
                <c:pt idx="875">
                  <c:v>1.5850970716358466</c:v>
                </c:pt>
                <c:pt idx="876">
                  <c:v>1.5994737321699537</c:v>
                </c:pt>
                <c:pt idx="877">
                  <c:v>1.6139592778416052</c:v>
                </c:pt>
                <c:pt idx="878">
                  <c:v>1.6285553494143648</c:v>
                </c:pt>
                <c:pt idx="879">
                  <c:v>1.6432636276530894</c:v>
                </c:pt>
                <c:pt idx="880">
                  <c:v>1.6580858346470955</c:v>
                </c:pt>
                <c:pt idx="881">
                  <c:v>1.6730237351887653</c:v>
                </c:pt>
                <c:pt idx="882">
                  <c:v>1.6880791382104112</c:v>
                </c:pt>
                <c:pt idx="883">
                  <c:v>1.7032538982823844</c:v>
                </c:pt>
                <c:pt idx="884">
                  <c:v>1.7185499171755896</c:v>
                </c:pt>
                <c:pt idx="885">
                  <c:v>1.7339691454917743</c:v>
                </c:pt>
                <c:pt idx="886">
                  <c:v>1.7495135843651544</c:v>
                </c:pt>
                <c:pt idx="887">
                  <c:v>1.7651852872391598</c:v>
                </c:pt>
                <c:pt idx="888">
                  <c:v>1.7809863617223323</c:v>
                </c:pt>
                <c:pt idx="889">
                  <c:v>1.7969189715276492</c:v>
                </c:pt>
                <c:pt idx="890">
                  <c:v>1.8129853384998238</c:v>
                </c:pt>
                <c:pt idx="891">
                  <c:v>1.8291877447354297</c:v>
                </c:pt>
                <c:pt idx="892">
                  <c:v>1.8455285348010069</c:v>
                </c:pt>
                <c:pt idx="893">
                  <c:v>1.8620101180546409</c:v>
                </c:pt>
                <c:pt idx="894">
                  <c:v>1.8786349710768833</c:v>
                </c:pt>
                <c:pt idx="895">
                  <c:v>1.8954056402172568</c:v>
                </c:pt>
                <c:pt idx="896">
                  <c:v>1.9123247442630289</c:v>
                </c:pt>
                <c:pt idx="897">
                  <c:v>1.9293949772373626</c:v>
                </c:pt>
                <c:pt idx="898">
                  <c:v>1.9466191113344851</c:v>
                </c:pt>
                <c:pt idx="899">
                  <c:v>1.9640000000000004</c:v>
                </c:pt>
                <c:pt idx="900">
                  <c:v>1.9815405811650781</c:v>
                </c:pt>
                <c:pt idx="901">
                  <c:v>1.9992438806438437</c:v>
                </c:pt>
                <c:pt idx="902">
                  <c:v>2.0171130157039809</c:v>
                </c:pt>
                <c:pt idx="903">
                  <c:v>2.0351511988212723</c:v>
                </c:pt>
                <c:pt idx="904">
                  <c:v>2.0533617416295877</c:v>
                </c:pt>
                <c:pt idx="905">
                  <c:v>2.0717480590786859</c:v>
                </c:pt>
                <c:pt idx="906">
                  <c:v>2.090313673813109</c:v>
                </c:pt>
                <c:pt idx="907">
                  <c:v>2.1090622207864707</c:v>
                </c:pt>
                <c:pt idx="908">
                  <c:v>2.127997452126495</c:v>
                </c:pt>
                <c:pt idx="909">
                  <c:v>2.1471232422673934</c:v>
                </c:pt>
                <c:pt idx="910">
                  <c:v>2.1664435933674158</c:v>
                </c:pt>
                <c:pt idx="911">
                  <c:v>2.1859626410308617</c:v>
                </c:pt>
                <c:pt idx="912">
                  <c:v>2.2056846603553319</c:v>
                </c:pt>
                <c:pt idx="913">
                  <c:v>2.2256140723267235</c:v>
                </c:pt>
                <c:pt idx="914">
                  <c:v>2.2457554505862687</c:v>
                </c:pt>
                <c:pt idx="915">
                  <c:v>2.2661135285959597</c:v>
                </c:pt>
                <c:pt idx="916">
                  <c:v>2.2866932072308752</c:v>
                </c:pt>
                <c:pt idx="917">
                  <c:v>2.3074995628293706</c:v>
                </c:pt>
                <c:pt idx="918">
                  <c:v>2.3285378557347038</c:v>
                </c:pt>
                <c:pt idx="919">
                  <c:v>2.3498135393646318</c:v>
                </c:pt>
                <c:pt idx="920">
                  <c:v>2.3713322698486747</c:v>
                </c:pt>
                <c:pt idx="921">
                  <c:v>2.3930999162763174</c:v>
                </c:pt>
                <c:pt idx="922">
                  <c:v>2.4151225716032805</c:v>
                </c:pt>
                <c:pt idx="923">
                  <c:v>2.4374065642673282</c:v>
                </c:pt>
                <c:pt idx="924">
                  <c:v>2.4599584705698199</c:v>
                </c:pt>
                <c:pt idx="925">
                  <c:v>2.4827851278844948</c:v>
                </c:pt>
                <c:pt idx="926">
                  <c:v>2.5058936487608108</c:v>
                </c:pt>
                <c:pt idx="927">
                  <c:v>2.5292914359956606</c:v>
                </c:pt>
                <c:pt idx="928">
                  <c:v>2.5529861987544953</c:v>
                </c:pt>
                <c:pt idx="929">
                  <c:v>2.576985969830885</c:v>
                </c:pt>
                <c:pt idx="930">
                  <c:v>2.6012991241425718</c:v>
                </c:pt>
                <c:pt idx="931">
                  <c:v>2.6259343985719665</c:v>
                </c:pt>
                <c:pt idx="932">
                  <c:v>2.6509009132703083</c:v>
                </c:pt>
                <c:pt idx="933">
                  <c:v>2.676208194557177</c:v>
                </c:pt>
                <c:pt idx="934">
                  <c:v>2.7018661995611106</c:v>
                </c:pt>
                <c:pt idx="935">
                  <c:v>2.7278853427628706</c:v>
                </c:pt>
                <c:pt idx="936">
                  <c:v>2.7542765246206788</c:v>
                </c:pt>
                <c:pt idx="937">
                  <c:v>2.7810511624767758</c:v>
                </c:pt>
                <c:pt idx="938">
                  <c:v>2.8082212239673496</c:v>
                </c:pt>
                <c:pt idx="939">
                  <c:v>2.8357992631834463</c:v>
                </c:pt>
                <c:pt idx="940">
                  <c:v>2.863798459859666</c:v>
                </c:pt>
                <c:pt idx="941">
                  <c:v>2.8922326619004335</c:v>
                </c:pt>
                <c:pt idx="942">
                  <c:v>2.9211164315912912</c:v>
                </c:pt>
                <c:pt idx="943">
                  <c:v>2.9504650958856979</c:v>
                </c:pt>
                <c:pt idx="944">
                  <c:v>2.9802948012069317</c:v>
                </c:pt>
                <c:pt idx="945">
                  <c:v>3.0106225732610872</c:v>
                </c:pt>
                <c:pt idx="946">
                  <c:v>3.0414663824219952</c:v>
                </c:pt>
                <c:pt idx="947">
                  <c:v>3.0728452153235022</c:v>
                </c:pt>
                <c:pt idx="948">
                  <c:v>3.1047791533808402</c:v>
                </c:pt>
                <c:pt idx="949">
                  <c:v>3.1372894590627212</c:v>
                </c:pt>
                <c:pt idx="950">
                  <c:v>3.1703986708517977</c:v>
                </c:pt>
                <c:pt idx="951">
                  <c:v>3.2041307079663177</c:v>
                </c:pt>
                <c:pt idx="952">
                  <c:v>3.2385109860736967</c:v>
                </c:pt>
                <c:pt idx="953">
                  <c:v>3.2735665454117671</c:v>
                </c:pt>
                <c:pt idx="954">
                  <c:v>3.3093261929510289</c:v>
                </c:pt>
                <c:pt idx="955">
                  <c:v>3.3458206604878731</c:v>
                </c:pt>
                <c:pt idx="956">
                  <c:v>3.3830827808625212</c:v>
                </c:pt>
                <c:pt idx="957">
                  <c:v>3.4211476848564129</c:v>
                </c:pt>
                <c:pt idx="958">
                  <c:v>3.4600530217542262</c:v>
                </c:pt>
                <c:pt idx="959">
                  <c:v>3.4998392070711981</c:v>
                </c:pt>
                <c:pt idx="960">
                  <c:v>3.5405497015662193</c:v>
                </c:pt>
                <c:pt idx="961">
                  <c:v>3.5822313264097132</c:v>
                </c:pt>
                <c:pt idx="962">
                  <c:v>3.6249346202834314</c:v>
                </c:pt>
                <c:pt idx="963">
                  <c:v>3.6687142452964503</c:v>
                </c:pt>
                <c:pt idx="964">
                  <c:v>3.7136294499580824</c:v>
                </c:pt>
                <c:pt idx="965">
                  <c:v>3.7597445991194389</c:v>
                </c:pt>
                <c:pt idx="966">
                  <c:v>3.807129782865168</c:v>
                </c:pt>
                <c:pt idx="967">
                  <c:v>3.8558615189162326</c:v>
                </c:pt>
                <c:pt idx="968">
                  <c:v>3.9060235663387362</c:v>
                </c:pt>
                <c:pt idx="969">
                  <c:v>3.9577078724362869</c:v>
                </c:pt>
                <c:pt idx="970">
                  <c:v>4.0110156798928998</c:v>
                </c:pt>
                <c:pt idx="971">
                  <c:v>4.0660588278797292</c:v>
                </c:pt>
                <c:pt idx="972">
                  <c:v>4.1229612894188854</c:v>
                </c:pt>
                <c:pt idx="973">
                  <c:v>4.1818609984683537</c:v>
                </c:pt>
                <c:pt idx="974">
                  <c:v>4.2429120348682652</c:v>
                </c:pt>
                <c:pt idx="975">
                  <c:v>4.3062872547592113</c:v>
                </c:pt>
                <c:pt idx="976">
                  <c:v>4.3721814801853212</c:v>
                </c:pt>
                <c:pt idx="977">
                  <c:v>4.4408153969832833</c:v>
                </c:pt>
                <c:pt idx="978">
                  <c:v>4.5124403586247901</c:v>
                </c:pt>
                <c:pt idx="979">
                  <c:v>4.587344361215985</c:v>
                </c:pt>
                <c:pt idx="980">
                  <c:v>4.6658595501304383</c:v>
                </c:pt>
                <c:pt idx="981">
                  <c:v>4.7483717552762226</c:v>
                </c:pt>
                <c:pt idx="982">
                  <c:v>4.8353327510250086</c:v>
                </c:pt>
                <c:pt idx="983">
                  <c:v>4.9272762325235577</c:v>
                </c:pt>
                <c:pt idx="984">
                  <c:v>5.0248389487247112</c:v>
                </c:pt>
                <c:pt idx="985">
                  <c:v>5.1287891291910341</c:v>
                </c:pt>
                <c:pt idx="986">
                  <c:v>5.2400654524587189</c:v>
                </c:pt>
                <c:pt idx="987">
                  <c:v>5.3598316276912374</c:v>
                </c:pt>
                <c:pt idx="988">
                  <c:v>5.4895547590833118</c:v>
                </c:pt>
                <c:pt idx="989">
                  <c:v>5.6311211314546146</c:v>
                </c:pt>
                <c:pt idx="990">
                  <c:v>5.7870131561451315</c:v>
                </c:pt>
                <c:pt idx="991">
                  <c:v>5.9605908903140747</c:v>
                </c:pt>
                <c:pt idx="992">
                  <c:v>6.1565623879180791</c:v>
                </c:pt>
                <c:pt idx="993">
                  <c:v>6.3818188314482134</c:v>
                </c:pt>
                <c:pt idx="994">
                  <c:v>6.647037495945856</c:v>
                </c:pt>
                <c:pt idx="995">
                  <c:v>6.970095164809516</c:v>
                </c:pt>
                <c:pt idx="996">
                  <c:v>7.3844843011395405</c:v>
                </c:pt>
                <c:pt idx="997">
                  <c:v>7.9653500004472839</c:v>
                </c:pt>
                <c:pt idx="998">
                  <c:v>8.952316808513137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3-364A-9F56-8A5093DAE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5790"/>
        <c:axId val="83887544"/>
      </c:scatterChart>
      <c:valAx>
        <c:axId val="68025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Q̂_U,SL(p)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87544"/>
        <c:crosses val="autoZero"/>
        <c:crossBetween val="midCat"/>
      </c:valAx>
      <c:valAx>
        <c:axId val="838875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Q̂_U,SB(p)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257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160920</xdr:rowOff>
    </xdr:from>
    <xdr:to>
      <xdr:col>9</xdr:col>
      <xdr:colOff>122040</xdr:colOff>
      <xdr:row>17</xdr:row>
      <xdr:rowOff>47160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160920</xdr:rowOff>
    </xdr:from>
    <xdr:to>
      <xdr:col>9</xdr:col>
      <xdr:colOff>122040</xdr:colOff>
      <xdr:row>17</xdr:row>
      <xdr:rowOff>47160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4"/>
  <sheetViews>
    <sheetView tabSelected="1" zoomScaleNormal="100" workbookViewId="0">
      <selection activeCell="J14" sqref="J14"/>
    </sheetView>
  </sheetViews>
  <sheetFormatPr baseColWidth="10" defaultColWidth="8.6640625" defaultRowHeight="15" x14ac:dyDescent="0.2"/>
  <cols>
    <col min="1" max="1" width="10" customWidth="1"/>
    <col min="2" max="2" width="17" customWidth="1"/>
    <col min="3" max="5" width="19" customWidth="1"/>
    <col min="6" max="6" width="17" customWidth="1"/>
    <col min="7" max="7" width="19" customWidth="1"/>
    <col min="8" max="8" width="24" customWidth="1"/>
    <col min="9" max="9" width="14" customWidth="1"/>
    <col min="10" max="10" width="17" customWidth="1"/>
    <col min="11" max="12" width="14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3" spans="1:5" x14ac:dyDescent="0.2">
      <c r="A3" s="3" t="s">
        <v>92</v>
      </c>
    </row>
    <row r="5" spans="1:5" x14ac:dyDescent="0.2">
      <c r="A5" s="4" t="s">
        <v>2</v>
      </c>
      <c r="B5" s="5"/>
      <c r="C5" s="5"/>
      <c r="D5" s="5"/>
      <c r="E5" s="5"/>
    </row>
    <row r="6" spans="1:5" ht="18" customHeight="1" x14ac:dyDescent="0.2">
      <c r="A6" s="6"/>
      <c r="B6" s="6" t="s">
        <v>3</v>
      </c>
      <c r="C6" s="6" t="s">
        <v>4</v>
      </c>
      <c r="D6" s="6" t="s">
        <v>5</v>
      </c>
    </row>
    <row r="7" spans="1:5" x14ac:dyDescent="0.2">
      <c r="A7" s="7" t="s">
        <v>6</v>
      </c>
      <c r="B7" s="8">
        <v>0.5</v>
      </c>
      <c r="C7" s="8">
        <v>2</v>
      </c>
      <c r="D7" s="2" t="s">
        <v>7</v>
      </c>
    </row>
    <row r="8" spans="1:5" x14ac:dyDescent="0.2">
      <c r="A8" s="7" t="s">
        <v>8</v>
      </c>
      <c r="B8" s="8">
        <v>1.2</v>
      </c>
      <c r="C8" s="8">
        <v>2</v>
      </c>
      <c r="D8" s="2" t="s">
        <v>7</v>
      </c>
    </row>
    <row r="9" spans="1:5" x14ac:dyDescent="0.2">
      <c r="A9" s="7" t="s">
        <v>9</v>
      </c>
      <c r="B9" s="8">
        <v>0</v>
      </c>
      <c r="C9" s="8">
        <v>0</v>
      </c>
      <c r="D9" s="2" t="s">
        <v>10</v>
      </c>
    </row>
    <row r="10" spans="1:5" x14ac:dyDescent="0.2">
      <c r="A10" s="7" t="s">
        <v>11</v>
      </c>
      <c r="B10" s="8">
        <v>3</v>
      </c>
      <c r="C10" s="8">
        <v>1</v>
      </c>
      <c r="D10" s="2" t="s">
        <v>12</v>
      </c>
    </row>
    <row r="12" spans="1:5" x14ac:dyDescent="0.2">
      <c r="A12" s="7" t="s">
        <v>13</v>
      </c>
      <c r="B12" s="8">
        <v>3</v>
      </c>
      <c r="C12" s="2" t="s">
        <v>14</v>
      </c>
    </row>
    <row r="13" spans="1:5" x14ac:dyDescent="0.2">
      <c r="A13" s="7" t="s">
        <v>15</v>
      </c>
      <c r="B13" s="8">
        <v>3</v>
      </c>
      <c r="C13" s="2" t="s">
        <v>16</v>
      </c>
    </row>
    <row r="14" spans="1:5" x14ac:dyDescent="0.2">
      <c r="A14" s="7" t="s">
        <v>17</v>
      </c>
      <c r="B14" s="2">
        <f>B9</f>
        <v>0</v>
      </c>
      <c r="C14" s="2">
        <f>C9</f>
        <v>0</v>
      </c>
      <c r="D14" s="2" t="s">
        <v>18</v>
      </c>
    </row>
    <row r="15" spans="1:5" x14ac:dyDescent="0.2">
      <c r="A15" s="7" t="s">
        <v>19</v>
      </c>
      <c r="B15" s="9" t="s">
        <v>20</v>
      </c>
      <c r="C15" s="2">
        <f>C9+C10</f>
        <v>1</v>
      </c>
      <c r="D15" s="2" t="s">
        <v>21</v>
      </c>
    </row>
    <row r="17" spans="1:10" x14ac:dyDescent="0.2">
      <c r="A17" s="4" t="s">
        <v>22</v>
      </c>
      <c r="B17" s="5"/>
      <c r="C17" s="5"/>
      <c r="D17" s="5"/>
      <c r="E17" s="5"/>
    </row>
    <row r="18" spans="1:10" ht="18" customHeight="1" x14ac:dyDescent="0.2">
      <c r="A18" s="6"/>
      <c r="B18" s="6" t="s">
        <v>3</v>
      </c>
      <c r="C18" s="6" t="s">
        <v>4</v>
      </c>
      <c r="D18" s="6" t="s">
        <v>23</v>
      </c>
    </row>
    <row r="19" spans="1:10" x14ac:dyDescent="0.2">
      <c r="A19" s="7" t="s">
        <v>24</v>
      </c>
      <c r="B19" s="10">
        <f>LN(B10)-B7/B8</f>
        <v>0.68194562200144304</v>
      </c>
      <c r="C19" s="10">
        <f>-C7/C8</f>
        <v>-1</v>
      </c>
      <c r="D19" s="2" t="s">
        <v>25</v>
      </c>
    </row>
    <row r="20" spans="1:10" x14ac:dyDescent="0.2">
      <c r="A20" s="7" t="s">
        <v>26</v>
      </c>
      <c r="B20" s="10">
        <f>1/B8</f>
        <v>0.83333333333333337</v>
      </c>
      <c r="C20" s="10">
        <f>1/C8</f>
        <v>0.5</v>
      </c>
      <c r="D20" s="2" t="s">
        <v>27</v>
      </c>
      <c r="G20" s="3" t="s">
        <v>28</v>
      </c>
    </row>
    <row r="21" spans="1:10" x14ac:dyDescent="0.2">
      <c r="A21" s="7" t="s">
        <v>29</v>
      </c>
      <c r="B21" s="11">
        <f>C20/B20</f>
        <v>0.6</v>
      </c>
      <c r="D21" s="2" t="s">
        <v>30</v>
      </c>
      <c r="G21" s="3" t="s">
        <v>31</v>
      </c>
    </row>
    <row r="22" spans="1:10" x14ac:dyDescent="0.2">
      <c r="A22" s="7" t="s">
        <v>32</v>
      </c>
      <c r="B22" s="11">
        <f>C19-B21*B19</f>
        <v>-1.4091673732008658</v>
      </c>
      <c r="D22" s="2" t="s">
        <v>33</v>
      </c>
    </row>
    <row r="23" spans="1:10" x14ac:dyDescent="0.2">
      <c r="A23" s="7" t="s">
        <v>34</v>
      </c>
      <c r="B23" s="12">
        <f>B22-(B7-C7-B8*LN(B10))/C8</f>
        <v>0</v>
      </c>
      <c r="D23" s="2" t="s">
        <v>35</v>
      </c>
    </row>
    <row r="25" spans="1:10" x14ac:dyDescent="0.2">
      <c r="A25" s="4" t="s">
        <v>36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ht="45" customHeight="1" x14ac:dyDescent="0.2">
      <c r="A26" s="6" t="s">
        <v>37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42</v>
      </c>
      <c r="G26" s="6" t="s">
        <v>43</v>
      </c>
    </row>
    <row r="27" spans="1:10" x14ac:dyDescent="0.2">
      <c r="A27" s="2">
        <v>1</v>
      </c>
      <c r="B27" s="13">
        <v>-0.08</v>
      </c>
      <c r="C27" s="14">
        <f>A27/($B$12+1)</f>
        <v>0.25</v>
      </c>
      <c r="D27" s="10">
        <f>(B27-$B$7)/$B$8</f>
        <v>-0.48333333333333334</v>
      </c>
      <c r="E27" s="10">
        <f>$B$9+$B$10*EXP(D27)</f>
        <v>1.8501726431074825</v>
      </c>
      <c r="F27" s="10">
        <f>(B27-$C$7)/$C$8</f>
        <v>-1.04</v>
      </c>
      <c r="G27" s="10">
        <f>$C$9+$C$10/(1+EXP(-F27))</f>
        <v>0.261149993915751</v>
      </c>
      <c r="H27" s="3" t="s">
        <v>44</v>
      </c>
    </row>
    <row r="28" spans="1:10" x14ac:dyDescent="0.2">
      <c r="A28" s="2">
        <v>2</v>
      </c>
      <c r="B28" s="13">
        <v>0.45</v>
      </c>
      <c r="C28" s="14">
        <f>A28/($B$12+1)</f>
        <v>0.5</v>
      </c>
      <c r="D28" s="10">
        <f>(B28-$B$7)/$B$8</f>
        <v>-4.1666666666666657E-2</v>
      </c>
      <c r="E28" s="10">
        <f>$B$9+$B$10*EXP(D28)</f>
        <v>2.8775683713274143</v>
      </c>
      <c r="F28" s="10">
        <f>(B28-$C$7)/$C$8</f>
        <v>-0.77500000000000002</v>
      </c>
      <c r="G28" s="10">
        <f>$C$9+$C$10/(1+EXP(-F28))</f>
        <v>0.31539849967656924</v>
      </c>
    </row>
    <row r="29" spans="1:10" x14ac:dyDescent="0.2">
      <c r="A29" s="2">
        <v>3</v>
      </c>
      <c r="B29" s="13">
        <v>1.7</v>
      </c>
      <c r="C29" s="14">
        <f>A29/($B$12+1)</f>
        <v>0.75</v>
      </c>
      <c r="D29" s="10">
        <f>(B29-$B$7)/$B$8</f>
        <v>1</v>
      </c>
      <c r="E29" s="10">
        <f>$B$9+$B$10*EXP(D29)</f>
        <v>8.1548454853771357</v>
      </c>
      <c r="F29" s="10">
        <f>(B29-$C$7)/$C$8</f>
        <v>-0.15000000000000002</v>
      </c>
      <c r="G29" s="10">
        <f>$C$9+$C$10/(1+EXP(-F29))</f>
        <v>0.46257015465625045</v>
      </c>
    </row>
    <row r="31" spans="1:10" x14ac:dyDescent="0.2">
      <c r="A31" s="4" t="s">
        <v>45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45" customHeight="1" x14ac:dyDescent="0.2">
      <c r="A32" s="6" t="s">
        <v>37</v>
      </c>
      <c r="B32" s="6" t="s">
        <v>46</v>
      </c>
      <c r="C32" s="6" t="s">
        <v>47</v>
      </c>
      <c r="D32" s="6" t="s">
        <v>48</v>
      </c>
      <c r="E32" s="6" t="s">
        <v>49</v>
      </c>
    </row>
    <row r="33" spans="1:10" x14ac:dyDescent="0.2">
      <c r="A33" s="2">
        <v>1</v>
      </c>
      <c r="B33" s="15">
        <f>LN(E27-$B$14)</f>
        <v>0.6152789553347765</v>
      </c>
      <c r="C33" s="15">
        <f>LN((G27-$C$14)/($C$15-G27))</f>
        <v>-1.04</v>
      </c>
      <c r="D33" s="10">
        <f>$B$22+$B$21*B33</f>
        <v>-1.04</v>
      </c>
      <c r="E33" s="16">
        <f>C33-D33</f>
        <v>0</v>
      </c>
      <c r="F33" s="3" t="s">
        <v>50</v>
      </c>
    </row>
    <row r="34" spans="1:10" x14ac:dyDescent="0.2">
      <c r="A34" s="2">
        <v>2</v>
      </c>
      <c r="B34" s="15">
        <f>LN(E28-$B$14)</f>
        <v>1.0569456220014428</v>
      </c>
      <c r="C34" s="15">
        <f>LN((G28-$C$14)/($C$15-G28))</f>
        <v>-0.77500000000000002</v>
      </c>
      <c r="D34" s="10">
        <f>$B$22+$B$21*B34</f>
        <v>-0.77500000000000013</v>
      </c>
      <c r="E34" s="16">
        <f>C34-D34</f>
        <v>0</v>
      </c>
    </row>
    <row r="35" spans="1:10" x14ac:dyDescent="0.2">
      <c r="A35" s="2">
        <v>3</v>
      </c>
      <c r="B35" s="15">
        <f>LN(E29-$B$14)</f>
        <v>2.0986122886681096</v>
      </c>
      <c r="C35" s="15">
        <f>LN((G29-$C$14)/($C$15-G29))</f>
        <v>-0.15000000000000013</v>
      </c>
      <c r="D35" s="10">
        <f>$B$22+$B$21*B35</f>
        <v>-0.15000000000000013</v>
      </c>
      <c r="E35" s="16">
        <f>C35-D35</f>
        <v>0</v>
      </c>
    </row>
    <row r="37" spans="1:10" x14ac:dyDescent="0.2">
      <c r="A37" s="4" t="s">
        <v>51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ht="45" customHeight="1" x14ac:dyDescent="0.2">
      <c r="A38" s="6" t="s">
        <v>37</v>
      </c>
      <c r="B38" s="6" t="s">
        <v>52</v>
      </c>
      <c r="C38" s="6" t="s">
        <v>53</v>
      </c>
      <c r="D38" s="6" t="s">
        <v>54</v>
      </c>
    </row>
    <row r="39" spans="1:10" x14ac:dyDescent="0.2">
      <c r="A39" s="2">
        <v>1</v>
      </c>
      <c r="B39" s="2">
        <v>1</v>
      </c>
      <c r="C39" s="10">
        <f>LN(C27/(1-C27))</f>
        <v>-1.0986122886681098</v>
      </c>
      <c r="D39" s="10">
        <f>(C27-0.5)*C39</f>
        <v>0.27465307216702745</v>
      </c>
    </row>
    <row r="40" spans="1:10" x14ac:dyDescent="0.2">
      <c r="A40" s="2">
        <v>2</v>
      </c>
      <c r="B40" s="2">
        <v>1</v>
      </c>
      <c r="C40" s="10">
        <f>LN(C28/(1-C28))</f>
        <v>0</v>
      </c>
      <c r="D40" s="10">
        <f>(C28-0.5)*C40</f>
        <v>0</v>
      </c>
    </row>
    <row r="41" spans="1:10" x14ac:dyDescent="0.2">
      <c r="A41" s="2">
        <v>3</v>
      </c>
      <c r="B41" s="2">
        <v>1</v>
      </c>
      <c r="C41" s="10">
        <f>LN(C29/(1-C29))</f>
        <v>1.0986122886681098</v>
      </c>
      <c r="D41" s="10">
        <f>(C29-0.5)*C41</f>
        <v>0.27465307216702745</v>
      </c>
    </row>
    <row r="43" spans="1:10" x14ac:dyDescent="0.2">
      <c r="A43" s="4" t="s">
        <v>55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45" customHeight="1" x14ac:dyDescent="0.2">
      <c r="A44" s="6" t="s">
        <v>56</v>
      </c>
      <c r="B44" s="6" t="s">
        <v>57</v>
      </c>
      <c r="C44" s="6" t="s">
        <v>58</v>
      </c>
      <c r="D44" s="6" t="s">
        <v>59</v>
      </c>
      <c r="E44" s="6" t="s">
        <v>60</v>
      </c>
    </row>
    <row r="45" spans="1:10" x14ac:dyDescent="0.2">
      <c r="A45" s="2">
        <v>1</v>
      </c>
      <c r="B45" s="15">
        <f t="array" ref="B45:B47">MMULT(MINVERSE($B$39:$D$41),B33:B35)</f>
        <v>1.0569456220014428</v>
      </c>
      <c r="C45" s="15">
        <f t="array" ref="C45:C47">MMULT(MINVERSE($B$39:$D$41),C33:C35)</f>
        <v>-0.77500000000000002</v>
      </c>
      <c r="D45" s="10">
        <f>$B$22+$B$21*B45</f>
        <v>-0.77500000000000013</v>
      </c>
      <c r="E45" s="16">
        <f>C45-D45</f>
        <v>0</v>
      </c>
      <c r="F45" s="3" t="s">
        <v>61</v>
      </c>
    </row>
    <row r="46" spans="1:10" x14ac:dyDescent="0.2">
      <c r="A46" s="2">
        <v>2</v>
      </c>
      <c r="B46" s="15">
        <v>0.67509409308157087</v>
      </c>
      <c r="C46" s="15">
        <v>0.40505645584894256</v>
      </c>
      <c r="D46" s="10">
        <f>$B$21*B46</f>
        <v>0.40505645584894251</v>
      </c>
      <c r="E46" s="16">
        <f>C46-D46</f>
        <v>0</v>
      </c>
      <c r="F46" s="3" t="s">
        <v>62</v>
      </c>
    </row>
    <row r="47" spans="1:10" x14ac:dyDescent="0.2">
      <c r="A47" s="2">
        <v>3</v>
      </c>
      <c r="B47" s="15">
        <v>1.0922870719522058</v>
      </c>
      <c r="C47" s="15">
        <v>0.65537224317132248</v>
      </c>
      <c r="D47" s="10">
        <f>$B$21*B47</f>
        <v>0.65537224317132348</v>
      </c>
      <c r="E47" s="16">
        <f>C47-D47</f>
        <v>-9.9920072216264089E-16</v>
      </c>
      <c r="F47" s="3" t="s">
        <v>63</v>
      </c>
    </row>
    <row r="49" spans="1:12" ht="45" customHeight="1" x14ac:dyDescent="0.2">
      <c r="A49" s="6" t="s">
        <v>37</v>
      </c>
      <c r="B49" s="6" t="s">
        <v>64</v>
      </c>
      <c r="C49" s="6" t="s">
        <v>65</v>
      </c>
    </row>
    <row r="50" spans="1:12" x14ac:dyDescent="0.2">
      <c r="A50" s="2">
        <v>1</v>
      </c>
      <c r="B50" s="16">
        <f t="shared" ref="B50:C52" si="0">$B39*B$45+$C39*B$46+$D39*B$47-B33</f>
        <v>0</v>
      </c>
      <c r="C50" s="16">
        <f t="shared" si="0"/>
        <v>0</v>
      </c>
      <c r="D50" s="3" t="s">
        <v>66</v>
      </c>
    </row>
    <row r="51" spans="1:12" x14ac:dyDescent="0.2">
      <c r="A51" s="2">
        <v>2</v>
      </c>
      <c r="B51" s="16">
        <f t="shared" si="0"/>
        <v>0</v>
      </c>
      <c r="C51" s="16">
        <f t="shared" si="0"/>
        <v>0</v>
      </c>
    </row>
    <row r="52" spans="1:12" x14ac:dyDescent="0.2">
      <c r="A52" s="2">
        <v>3</v>
      </c>
      <c r="B52" s="16">
        <f t="shared" si="0"/>
        <v>0</v>
      </c>
      <c r="C52" s="16">
        <f t="shared" si="0"/>
        <v>0</v>
      </c>
    </row>
    <row r="54" spans="1:12" x14ac:dyDescent="0.2">
      <c r="A54" s="4" t="s">
        <v>67</v>
      </c>
      <c r="B54" s="5"/>
      <c r="C54" s="5"/>
      <c r="D54" s="5"/>
      <c r="E54" s="5"/>
      <c r="F54" s="5"/>
      <c r="G54" s="5"/>
      <c r="H54" s="5"/>
      <c r="I54" s="5"/>
      <c r="J54" s="5"/>
    </row>
    <row r="55" spans="1:12" ht="61.5" customHeight="1" x14ac:dyDescent="0.2">
      <c r="A55" s="6"/>
      <c r="B55" s="6" t="s">
        <v>68</v>
      </c>
      <c r="C55" s="6" t="s">
        <v>69</v>
      </c>
      <c r="D55" s="6" t="s">
        <v>70</v>
      </c>
      <c r="E55" s="6" t="s">
        <v>71</v>
      </c>
    </row>
    <row r="56" spans="1:12" x14ac:dyDescent="0.2">
      <c r="A56" s="7" t="s">
        <v>3</v>
      </c>
      <c r="B56" s="17">
        <f>COUNTIF(F67:F1064,"&lt;=0")</f>
        <v>0</v>
      </c>
      <c r="C56" s="18" t="str">
        <f>IF(B56=0,"Valid","Invalid")</f>
        <v>Valid</v>
      </c>
      <c r="D56" s="19" t="str">
        <f>IF(B56=0,"–",_xlfn.MINIFS($A$67:$A$1064,F67:F1064,"&lt;=0"))</f>
        <v>–</v>
      </c>
      <c r="E56" s="19" t="str">
        <f>IF(B56=0,"–",_xlfn.MAXIFS($A$67:$A$1064,F67:F1064,"&lt;=0"))</f>
        <v>–</v>
      </c>
      <c r="F56" s="3" t="s">
        <v>72</v>
      </c>
    </row>
    <row r="57" spans="1:12" x14ac:dyDescent="0.2">
      <c r="A57" s="7" t="s">
        <v>4</v>
      </c>
      <c r="B57" s="17">
        <f>COUNTIF(I67:I1064,"&lt;=0")</f>
        <v>0</v>
      </c>
      <c r="C57" s="18" t="str">
        <f>IF(B57=0,"Valid","Invalid")</f>
        <v>Valid</v>
      </c>
      <c r="D57" s="19" t="str">
        <f>IF(B57=0,"–",_xlfn.MINIFS($A$67:$A$1064,I67:I1064,"&lt;=0"))</f>
        <v>–</v>
      </c>
      <c r="E57" s="19" t="str">
        <f>IF(B57=0,"–",_xlfn.MAXIFS($A$67:$A$1064,I67:I1064,"&lt;=0"))</f>
        <v>–</v>
      </c>
      <c r="F57" s="3" t="s">
        <v>73</v>
      </c>
    </row>
    <row r="58" spans="1:12" x14ac:dyDescent="0.2">
      <c r="A58" s="7" t="s">
        <v>74</v>
      </c>
      <c r="B58" s="17">
        <f>SUMPRODUCT(--(SIGN(F67:F1064)&lt;&gt;SIGN(I67:I1064)))</f>
        <v>0</v>
      </c>
      <c r="C58" s="18" t="str">
        <f>IF(AND(B58=0,C56=C57),"Identical","Different")</f>
        <v>Identical</v>
      </c>
      <c r="D58" s="3" t="s">
        <v>75</v>
      </c>
    </row>
    <row r="63" spans="1:12" x14ac:dyDescent="0.2">
      <c r="A63" s="4" t="s">
        <v>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60" customHeight="1" x14ac:dyDescent="0.2">
      <c r="A64" s="6" t="s">
        <v>77</v>
      </c>
      <c r="B64" s="6" t="s">
        <v>78</v>
      </c>
      <c r="C64" s="6" t="s">
        <v>79</v>
      </c>
      <c r="D64" s="6" t="s">
        <v>80</v>
      </c>
      <c r="E64" s="6" t="s">
        <v>81</v>
      </c>
      <c r="F64" s="6" t="s">
        <v>82</v>
      </c>
      <c r="G64" s="6" t="s">
        <v>83</v>
      </c>
      <c r="H64" s="6" t="s">
        <v>84</v>
      </c>
      <c r="I64" s="6" t="s">
        <v>85</v>
      </c>
      <c r="J64" s="6" t="s">
        <v>86</v>
      </c>
      <c r="K64" s="6" t="s">
        <v>87</v>
      </c>
      <c r="L64" s="6" t="s">
        <v>88</v>
      </c>
    </row>
    <row r="65" spans="1:12" x14ac:dyDescent="0.2">
      <c r="A65" s="3" t="s">
        <v>89</v>
      </c>
    </row>
    <row r="66" spans="1:12" x14ac:dyDescent="0.2">
      <c r="A66" s="14">
        <v>1E-3</v>
      </c>
      <c r="B66" s="10">
        <f t="shared" ref="B66:B129" si="1">LN(A66/(1-A66))</f>
        <v>-6.9067547786485539</v>
      </c>
      <c r="C66" s="10">
        <f t="shared" ref="C66:C129" si="2">(A66-0.5)*B66</f>
        <v>3.4464706345456282</v>
      </c>
      <c r="D66" s="10">
        <f t="shared" ref="D66:D129" si="3">$B$45+$B$46*B66+$B$47*C66</f>
        <v>0.15877158654999679</v>
      </c>
      <c r="E66" s="10">
        <f t="shared" ref="E66:E129" si="4">$B$14+EXP(D66)</f>
        <v>1.1720701995054388</v>
      </c>
      <c r="F66" s="9" t="s">
        <v>20</v>
      </c>
      <c r="G66" s="10">
        <f t="shared" ref="G66:G129" si="5">$C$45+$C$46*B66+$C$47*C66</f>
        <v>-1.3139044212708715</v>
      </c>
      <c r="H66" s="10">
        <f t="shared" ref="H66:H129" si="6">$C$14+($C$15-$C$14)/(1+EXP(-G66))</f>
        <v>0.21183422660120743</v>
      </c>
      <c r="I66" s="9" t="s">
        <v>20</v>
      </c>
      <c r="J66" s="20">
        <f t="shared" ref="J66:J129" si="7">G66-($B$22+$B$21*D66)</f>
        <v>-3.7747582837255322E-15</v>
      </c>
      <c r="K66" s="9" t="s">
        <v>20</v>
      </c>
      <c r="L66" s="9" t="s">
        <v>20</v>
      </c>
    </row>
    <row r="67" spans="1:12" x14ac:dyDescent="0.2">
      <c r="A67" s="14">
        <v>2E-3</v>
      </c>
      <c r="B67" s="10">
        <f t="shared" si="1"/>
        <v>-6.2126060957515188</v>
      </c>
      <c r="C67" s="10">
        <f t="shared" si="2"/>
        <v>3.0938778356842564</v>
      </c>
      <c r="D67" s="10">
        <f t="shared" si="3"/>
        <v>0.24225470623441669</v>
      </c>
      <c r="E67" s="10">
        <f t="shared" si="4"/>
        <v>1.2741186774608457</v>
      </c>
      <c r="F67" s="10">
        <f t="shared" ref="F67:F130" si="8">E67-E66</f>
        <v>0.10204847795540695</v>
      </c>
      <c r="G67" s="10">
        <f t="shared" si="5"/>
        <v>-1.2638145494602191</v>
      </c>
      <c r="H67" s="10">
        <f t="shared" si="6"/>
        <v>0.22031793773953071</v>
      </c>
      <c r="I67" s="10">
        <f t="shared" ref="I67:I130" si="9">H67-H66</f>
        <v>8.4837111383232744E-3</v>
      </c>
      <c r="J67" s="20">
        <f t="shared" si="7"/>
        <v>-3.3306690738754696E-15</v>
      </c>
      <c r="K67" s="10">
        <f t="shared" ref="K67:K130" si="10">D67-D66</f>
        <v>8.3483119684419904E-2</v>
      </c>
      <c r="L67" s="10">
        <f t="shared" ref="L67:L130" si="11">G67-G66</f>
        <v>5.0089871810652387E-2</v>
      </c>
    </row>
    <row r="68" spans="1:12" x14ac:dyDescent="0.2">
      <c r="A68" s="14">
        <v>3.0000000000000001E-3</v>
      </c>
      <c r="B68" s="10">
        <f t="shared" si="1"/>
        <v>-5.8061384812937282</v>
      </c>
      <c r="C68" s="10">
        <f t="shared" si="2"/>
        <v>2.8856508252029829</v>
      </c>
      <c r="D68" s="10">
        <f t="shared" si="3"/>
        <v>0.28921492020387696</v>
      </c>
      <c r="E68" s="10">
        <f t="shared" si="4"/>
        <v>1.335378697551614</v>
      </c>
      <c r="F68" s="10">
        <f t="shared" si="8"/>
        <v>6.1260020090768252E-2</v>
      </c>
      <c r="G68" s="10">
        <f t="shared" si="5"/>
        <v>-1.2356384210785429</v>
      </c>
      <c r="H68" s="10">
        <f t="shared" si="6"/>
        <v>0.22519609403664984</v>
      </c>
      <c r="I68" s="10">
        <f t="shared" si="9"/>
        <v>4.8781562971191295E-3</v>
      </c>
      <c r="J68" s="20">
        <f t="shared" si="7"/>
        <v>-3.3306690738754696E-15</v>
      </c>
      <c r="K68" s="10">
        <f t="shared" si="10"/>
        <v>4.6960213969460263E-2</v>
      </c>
      <c r="L68" s="10">
        <f t="shared" si="11"/>
        <v>2.8176128381676158E-2</v>
      </c>
    </row>
    <row r="69" spans="1:12" x14ac:dyDescent="0.2">
      <c r="A69" s="14">
        <v>4.0000000000000001E-3</v>
      </c>
      <c r="B69" s="10">
        <f t="shared" si="1"/>
        <v>-5.5174528964647074</v>
      </c>
      <c r="C69" s="10">
        <f t="shared" si="2"/>
        <v>2.7366566366464951</v>
      </c>
      <c r="D69" s="10">
        <f t="shared" si="3"/>
        <v>0.32136042732348669</v>
      </c>
      <c r="E69" s="10">
        <f t="shared" si="4"/>
        <v>1.3790025215207973</v>
      </c>
      <c r="F69" s="10">
        <f t="shared" si="8"/>
        <v>4.3623823969183295E-2</v>
      </c>
      <c r="G69" s="10">
        <f t="shared" si="5"/>
        <v>-1.2163511168067767</v>
      </c>
      <c r="H69" s="10">
        <f t="shared" si="6"/>
        <v>0.2285792236231875</v>
      </c>
      <c r="I69" s="10">
        <f t="shared" si="9"/>
        <v>3.3831295865376643E-3</v>
      </c>
      <c r="J69" s="20">
        <f t="shared" si="7"/>
        <v>-2.886579864025407E-15</v>
      </c>
      <c r="K69" s="10">
        <f t="shared" si="10"/>
        <v>3.2145507119609729E-2</v>
      </c>
      <c r="L69" s="10">
        <f t="shared" si="11"/>
        <v>1.9287304271766281E-2</v>
      </c>
    </row>
    <row r="70" spans="1:12" x14ac:dyDescent="0.2">
      <c r="A70" s="14">
        <v>5.0000000000000001E-3</v>
      </c>
      <c r="B70" s="10">
        <f t="shared" si="1"/>
        <v>-5.2933048247244923</v>
      </c>
      <c r="C70" s="10">
        <f t="shared" si="2"/>
        <v>2.6201858882386238</v>
      </c>
      <c r="D70" s="10">
        <f t="shared" si="3"/>
        <v>0.34546197378441379</v>
      </c>
      <c r="E70" s="10">
        <f t="shared" si="4"/>
        <v>1.4126423726908943</v>
      </c>
      <c r="F70" s="10">
        <f t="shared" si="8"/>
        <v>3.3639851170097046E-2</v>
      </c>
      <c r="G70" s="10">
        <f t="shared" si="5"/>
        <v>-1.2018901889302198</v>
      </c>
      <c r="H70" s="10">
        <f t="shared" si="6"/>
        <v>0.23113913308195277</v>
      </c>
      <c r="I70" s="10">
        <f t="shared" si="9"/>
        <v>2.5599094587652749E-3</v>
      </c>
      <c r="J70" s="20">
        <f t="shared" si="7"/>
        <v>-2.2204460492503131E-15</v>
      </c>
      <c r="K70" s="10">
        <f t="shared" si="10"/>
        <v>2.4101546460927104E-2</v>
      </c>
      <c r="L70" s="10">
        <f t="shared" si="11"/>
        <v>1.4460927876556839E-2</v>
      </c>
    </row>
    <row r="71" spans="1:12" x14ac:dyDescent="0.2">
      <c r="A71" s="14">
        <v>6.0000000000000001E-3</v>
      </c>
      <c r="B71" s="10">
        <f t="shared" si="1"/>
        <v>-5.1099777374285189</v>
      </c>
      <c r="C71" s="10">
        <f t="shared" si="2"/>
        <v>2.5243290022896883</v>
      </c>
      <c r="D71" s="10">
        <f t="shared" si="3"/>
        <v>0.36452177024015597</v>
      </c>
      <c r="E71" s="10">
        <f t="shared" si="4"/>
        <v>1.4398252761802364</v>
      </c>
      <c r="F71" s="10">
        <f t="shared" si="8"/>
        <v>2.7182903489342047E-2</v>
      </c>
      <c r="G71" s="10">
        <f t="shared" si="5"/>
        <v>-1.1904543110567747</v>
      </c>
      <c r="H71" s="10">
        <f t="shared" si="6"/>
        <v>0.23317769244702827</v>
      </c>
      <c r="I71" s="10">
        <f t="shared" si="9"/>
        <v>2.038559365075493E-3</v>
      </c>
      <c r="J71" s="20">
        <f t="shared" si="7"/>
        <v>-2.4424906541753444E-15</v>
      </c>
      <c r="K71" s="10">
        <f t="shared" si="10"/>
        <v>1.9059796455742184E-2</v>
      </c>
      <c r="L71" s="10">
        <f t="shared" si="11"/>
        <v>1.1435877873445133E-2</v>
      </c>
    </row>
    <row r="72" spans="1:12" x14ac:dyDescent="0.2">
      <c r="A72" s="14">
        <v>7.0000000000000001E-3</v>
      </c>
      <c r="B72" s="10">
        <f t="shared" si="1"/>
        <v>-4.9548205149898594</v>
      </c>
      <c r="C72" s="10">
        <f t="shared" si="2"/>
        <v>2.4427265138900007</v>
      </c>
      <c r="D72" s="10">
        <f t="shared" si="3"/>
        <v>0.3801341514893295</v>
      </c>
      <c r="E72" s="10">
        <f t="shared" si="4"/>
        <v>1.4624807702484006</v>
      </c>
      <c r="F72" s="10">
        <f t="shared" si="8"/>
        <v>2.265549406816425E-2</v>
      </c>
      <c r="G72" s="10">
        <f t="shared" si="5"/>
        <v>-1.1810868823072702</v>
      </c>
      <c r="H72" s="10">
        <f t="shared" si="6"/>
        <v>0.23485682818368939</v>
      </c>
      <c r="I72" s="10">
        <f t="shared" si="9"/>
        <v>1.6791357366611193E-3</v>
      </c>
      <c r="J72" s="20">
        <f t="shared" si="7"/>
        <v>-1.9984014443252818E-15</v>
      </c>
      <c r="K72" s="10">
        <f t="shared" si="10"/>
        <v>1.5612381249173524E-2</v>
      </c>
      <c r="L72" s="10">
        <f t="shared" si="11"/>
        <v>9.3674287495044695E-3</v>
      </c>
    </row>
    <row r="73" spans="1:12" x14ac:dyDescent="0.2">
      <c r="A73" s="14">
        <v>8.0000000000000002E-3</v>
      </c>
      <c r="B73" s="10">
        <f t="shared" si="1"/>
        <v>-4.8202815656050371</v>
      </c>
      <c r="C73" s="10">
        <f t="shared" si="2"/>
        <v>2.3715785302776782</v>
      </c>
      <c r="D73" s="10">
        <f t="shared" si="3"/>
        <v>0.39324657881321601</v>
      </c>
      <c r="E73" s="10">
        <f t="shared" si="4"/>
        <v>1.4817837207572255</v>
      </c>
      <c r="F73" s="10">
        <f t="shared" si="8"/>
        <v>1.9302950508824912E-2</v>
      </c>
      <c r="G73" s="10">
        <f t="shared" si="5"/>
        <v>-1.1732194259129385</v>
      </c>
      <c r="H73" s="10">
        <f t="shared" si="6"/>
        <v>0.23627355098428976</v>
      </c>
      <c r="I73" s="10">
        <f t="shared" si="9"/>
        <v>1.4167228006003729E-3</v>
      </c>
      <c r="J73" s="20">
        <f t="shared" si="7"/>
        <v>-2.2204460492503131E-15</v>
      </c>
      <c r="K73" s="10">
        <f t="shared" si="10"/>
        <v>1.3112427323886511E-2</v>
      </c>
      <c r="L73" s="10">
        <f t="shared" si="11"/>
        <v>7.8674563943317288E-3</v>
      </c>
    </row>
    <row r="74" spans="1:12" x14ac:dyDescent="0.2">
      <c r="A74" s="14">
        <v>8.9999999999999993E-3</v>
      </c>
      <c r="B74" s="10">
        <f t="shared" si="1"/>
        <v>-4.7014899569937691</v>
      </c>
      <c r="C74" s="10">
        <f t="shared" si="2"/>
        <v>2.3084315688839405</v>
      </c>
      <c r="D74" s="10">
        <f t="shared" si="3"/>
        <v>0.40446748253089648</v>
      </c>
      <c r="E74" s="10">
        <f t="shared" si="4"/>
        <v>1.4985043078285309</v>
      </c>
      <c r="F74" s="10">
        <f t="shared" si="8"/>
        <v>1.6720587071305415E-2</v>
      </c>
      <c r="G74" s="10">
        <f t="shared" si="5"/>
        <v>-1.1664868836823303</v>
      </c>
      <c r="H74" s="10">
        <f t="shared" si="6"/>
        <v>0.23749058349340016</v>
      </c>
      <c r="I74" s="10">
        <f t="shared" si="9"/>
        <v>1.2170325091103995E-3</v>
      </c>
      <c r="J74" s="20">
        <f t="shared" si="7"/>
        <v>-2.4424906541753444E-15</v>
      </c>
      <c r="K74" s="10">
        <f t="shared" si="10"/>
        <v>1.1220903717680475E-2</v>
      </c>
      <c r="L74" s="10">
        <f t="shared" si="11"/>
        <v>6.7325422306081517E-3</v>
      </c>
    </row>
    <row r="75" spans="1:12" x14ac:dyDescent="0.2">
      <c r="A75" s="14">
        <v>0.01</v>
      </c>
      <c r="B75" s="10">
        <f t="shared" si="1"/>
        <v>-4.5951198501345898</v>
      </c>
      <c r="C75" s="10">
        <f t="shared" si="2"/>
        <v>2.2516087265659488</v>
      </c>
      <c r="D75" s="10">
        <f t="shared" si="3"/>
        <v>0.41421045729646266</v>
      </c>
      <c r="E75" s="10">
        <f t="shared" si="4"/>
        <v>1.5131755522115442</v>
      </c>
      <c r="F75" s="10">
        <f t="shared" si="8"/>
        <v>1.467124438301326E-2</v>
      </c>
      <c r="G75" s="10">
        <f t="shared" si="5"/>
        <v>-1.1606410988229903</v>
      </c>
      <c r="H75" s="10">
        <f t="shared" si="6"/>
        <v>0.23855081367707939</v>
      </c>
      <c r="I75" s="10">
        <f t="shared" si="9"/>
        <v>1.0602301836792338E-3</v>
      </c>
      <c r="J75" s="20">
        <f t="shared" si="7"/>
        <v>-1.9984014443252818E-15</v>
      </c>
      <c r="K75" s="10">
        <f t="shared" si="10"/>
        <v>9.7429747655661814E-3</v>
      </c>
      <c r="L75" s="10">
        <f t="shared" si="11"/>
        <v>5.8457848593400641E-3</v>
      </c>
    </row>
    <row r="76" spans="1:12" x14ac:dyDescent="0.2">
      <c r="A76" s="14">
        <v>1.0999999999999999E-2</v>
      </c>
      <c r="B76" s="10">
        <f t="shared" si="1"/>
        <v>-4.4987990588243418</v>
      </c>
      <c r="C76" s="10">
        <f t="shared" si="2"/>
        <v>2.1999127397651033</v>
      </c>
      <c r="D76" s="10">
        <f t="shared" si="3"/>
        <v>0.42276919649657851</v>
      </c>
      <c r="E76" s="10">
        <f t="shared" si="4"/>
        <v>1.5261820071591639</v>
      </c>
      <c r="F76" s="10">
        <f t="shared" si="8"/>
        <v>1.300645494761965E-2</v>
      </c>
      <c r="G76" s="10">
        <f t="shared" si="5"/>
        <v>-1.1555058553029207</v>
      </c>
      <c r="H76" s="10">
        <f t="shared" si="6"/>
        <v>0.23948485350373142</v>
      </c>
      <c r="I76" s="10">
        <f t="shared" si="9"/>
        <v>9.3403982665202223E-4</v>
      </c>
      <c r="J76" s="20">
        <f t="shared" si="7"/>
        <v>-1.9984014443252818E-15</v>
      </c>
      <c r="K76" s="10">
        <f t="shared" si="10"/>
        <v>8.5587392001158502E-3</v>
      </c>
      <c r="L76" s="10">
        <f t="shared" si="11"/>
        <v>5.1352435200695545E-3</v>
      </c>
    </row>
    <row r="77" spans="1:12" x14ac:dyDescent="0.2">
      <c r="A77" s="14">
        <v>1.2E-2</v>
      </c>
      <c r="B77" s="10">
        <f t="shared" si="1"/>
        <v>-4.4107760479598674</v>
      </c>
      <c r="C77" s="10">
        <f t="shared" si="2"/>
        <v>2.1524587114044151</v>
      </c>
      <c r="D77" s="10">
        <f t="shared" si="3"/>
        <v>0.43035958949600706</v>
      </c>
      <c r="E77" s="10">
        <f t="shared" si="4"/>
        <v>1.5378104046055601</v>
      </c>
      <c r="F77" s="10">
        <f t="shared" si="8"/>
        <v>1.162839744639621E-2</v>
      </c>
      <c r="G77" s="10">
        <f t="shared" si="5"/>
        <v>-1.1509516195032636</v>
      </c>
      <c r="H77" s="10">
        <f t="shared" si="6"/>
        <v>0.2403153087898682</v>
      </c>
      <c r="I77" s="10">
        <f t="shared" si="9"/>
        <v>8.3045528613678865E-4</v>
      </c>
      <c r="J77" s="20">
        <f t="shared" si="7"/>
        <v>-1.9984014443252818E-15</v>
      </c>
      <c r="K77" s="10">
        <f t="shared" si="10"/>
        <v>7.5903929994285413E-3</v>
      </c>
      <c r="L77" s="10">
        <f t="shared" si="11"/>
        <v>4.5542357996570804E-3</v>
      </c>
    </row>
    <row r="78" spans="1:12" x14ac:dyDescent="0.2">
      <c r="A78" s="14">
        <v>1.2999999999999999E-2</v>
      </c>
      <c r="B78" s="10">
        <f t="shared" si="1"/>
        <v>-4.3297206819719447</v>
      </c>
      <c r="C78" s="10">
        <f t="shared" si="2"/>
        <v>2.1085739721203369</v>
      </c>
      <c r="D78" s="10">
        <f t="shared" si="3"/>
        <v>0.43714485491102706</v>
      </c>
      <c r="E78" s="10">
        <f t="shared" si="4"/>
        <v>1.5482803368238192</v>
      </c>
      <c r="F78" s="10">
        <f t="shared" si="8"/>
        <v>1.0469932218259093E-2</v>
      </c>
      <c r="G78" s="10">
        <f t="shared" si="5"/>
        <v>-1.1468804602542517</v>
      </c>
      <c r="H78" s="10">
        <f t="shared" si="6"/>
        <v>0.24105934091803524</v>
      </c>
      <c r="I78" s="10">
        <f t="shared" si="9"/>
        <v>7.4403212816703812E-4</v>
      </c>
      <c r="J78" s="20">
        <f t="shared" si="7"/>
        <v>-1.9984014443252818E-15</v>
      </c>
      <c r="K78" s="10">
        <f t="shared" si="10"/>
        <v>6.7852654150200031E-3</v>
      </c>
      <c r="L78" s="10">
        <f t="shared" si="11"/>
        <v>4.0711592490119131E-3</v>
      </c>
    </row>
    <row r="79" spans="1:12" x14ac:dyDescent="0.2">
      <c r="A79" s="14">
        <v>1.4E-2</v>
      </c>
      <c r="B79" s="10">
        <f t="shared" si="1"/>
        <v>-4.2545990249873764</v>
      </c>
      <c r="C79" s="10">
        <f t="shared" si="2"/>
        <v>2.067735126143865</v>
      </c>
      <c r="D79" s="10">
        <f t="shared" si="3"/>
        <v>0.44325129831026122</v>
      </c>
      <c r="E79" s="10">
        <f t="shared" si="4"/>
        <v>1.5577637485566527</v>
      </c>
      <c r="F79" s="10">
        <f t="shared" si="8"/>
        <v>9.4834117328335132E-3</v>
      </c>
      <c r="G79" s="10">
        <f t="shared" si="5"/>
        <v>-1.1432165942147112</v>
      </c>
      <c r="H79" s="10">
        <f t="shared" si="6"/>
        <v>0.24173028002472155</v>
      </c>
      <c r="I79" s="10">
        <f t="shared" si="9"/>
        <v>6.7093910668630796E-4</v>
      </c>
      <c r="J79" s="20">
        <f t="shared" si="7"/>
        <v>-1.9984014443252818E-15</v>
      </c>
      <c r="K79" s="10">
        <f t="shared" si="10"/>
        <v>6.1064433992341627E-3</v>
      </c>
      <c r="L79" s="10">
        <f t="shared" si="11"/>
        <v>3.6638660395404976E-3</v>
      </c>
    </row>
    <row r="80" spans="1:12" x14ac:dyDescent="0.2">
      <c r="A80" s="14">
        <v>1.4999999999999999E-2</v>
      </c>
      <c r="B80" s="10">
        <f t="shared" si="1"/>
        <v>-4.1845914400698785</v>
      </c>
      <c r="C80" s="10">
        <f t="shared" si="2"/>
        <v>2.0295268484338909</v>
      </c>
      <c r="D80" s="10">
        <f t="shared" si="3"/>
        <v>0.4487785975748062</v>
      </c>
      <c r="E80" s="10">
        <f t="shared" si="4"/>
        <v>1.5663978145300088</v>
      </c>
      <c r="F80" s="10">
        <f t="shared" si="8"/>
        <v>8.634065973356142E-3</v>
      </c>
      <c r="G80" s="10">
        <f t="shared" si="5"/>
        <v>-1.1399002146559842</v>
      </c>
      <c r="H80" s="10">
        <f t="shared" si="6"/>
        <v>0.24233868217663329</v>
      </c>
      <c r="I80" s="10">
        <f t="shared" si="9"/>
        <v>6.0840215191174107E-4</v>
      </c>
      <c r="J80" s="20">
        <f t="shared" si="7"/>
        <v>-1.9984014443252818E-15</v>
      </c>
      <c r="K80" s="10">
        <f t="shared" si="10"/>
        <v>5.5272992645449825E-3</v>
      </c>
      <c r="L80" s="10">
        <f t="shared" si="11"/>
        <v>3.3163795587269895E-3</v>
      </c>
    </row>
    <row r="81" spans="1:12" x14ac:dyDescent="0.2">
      <c r="A81" s="14">
        <v>1.6E-2</v>
      </c>
      <c r="B81" s="10">
        <f t="shared" si="1"/>
        <v>-4.1190371748124717</v>
      </c>
      <c r="C81" s="10">
        <f t="shared" si="2"/>
        <v>1.9936139926092362</v>
      </c>
      <c r="D81" s="10">
        <f t="shared" si="3"/>
        <v>0.45380674669223064</v>
      </c>
      <c r="E81" s="10">
        <f t="shared" si="4"/>
        <v>1.5742937306048361</v>
      </c>
      <c r="F81" s="10">
        <f t="shared" si="8"/>
        <v>7.8959160748273138E-3</v>
      </c>
      <c r="G81" s="10">
        <f t="shared" si="5"/>
        <v>-1.1368833251855297</v>
      </c>
      <c r="H81" s="10">
        <f t="shared" si="6"/>
        <v>0.24289304570519832</v>
      </c>
      <c r="I81" s="10">
        <f t="shared" si="9"/>
        <v>5.5436352856502724E-4</v>
      </c>
      <c r="J81" s="20">
        <f t="shared" si="7"/>
        <v>-2.2204460492503131E-15</v>
      </c>
      <c r="K81" s="10">
        <f t="shared" si="10"/>
        <v>5.0281491174244408E-3</v>
      </c>
      <c r="L81" s="10">
        <f t="shared" si="11"/>
        <v>3.0168894704545313E-3</v>
      </c>
    </row>
    <row r="82" spans="1:12" x14ac:dyDescent="0.2">
      <c r="A82" s="14">
        <v>1.7000000000000001E-2</v>
      </c>
      <c r="B82" s="10">
        <f t="shared" si="1"/>
        <v>-4.0573957760909503</v>
      </c>
      <c r="C82" s="10">
        <f t="shared" si="2"/>
        <v>1.959722159851929</v>
      </c>
      <c r="D82" s="10">
        <f t="shared" si="3"/>
        <v>0.45840088009284252</v>
      </c>
      <c r="E82" s="10">
        <f t="shared" si="4"/>
        <v>1.5815428850561901</v>
      </c>
      <c r="F82" s="10">
        <f t="shared" si="8"/>
        <v>7.2491544513539896E-3</v>
      </c>
      <c r="G82" s="10">
        <f t="shared" si="5"/>
        <v>-1.1341268451451623</v>
      </c>
      <c r="H82" s="10">
        <f t="shared" si="6"/>
        <v>0.24340031058003303</v>
      </c>
      <c r="I82" s="10">
        <f t="shared" si="9"/>
        <v>5.0726487483471194E-4</v>
      </c>
      <c r="J82" s="20">
        <f t="shared" si="7"/>
        <v>-1.9984014443252818E-15</v>
      </c>
      <c r="K82" s="10">
        <f t="shared" si="10"/>
        <v>4.5941334006118772E-3</v>
      </c>
      <c r="L82" s="10">
        <f t="shared" si="11"/>
        <v>2.7564800403674372E-3</v>
      </c>
    </row>
    <row r="83" spans="1:12" x14ac:dyDescent="0.2">
      <c r="A83" s="14">
        <v>1.7999999999999999E-2</v>
      </c>
      <c r="B83" s="10">
        <f t="shared" si="1"/>
        <v>-3.9992195504583012</v>
      </c>
      <c r="C83" s="10">
        <f t="shared" si="2"/>
        <v>1.9276238233209011</v>
      </c>
      <c r="D83" s="10">
        <f t="shared" si="3"/>
        <v>0.4626147083512111</v>
      </c>
      <c r="E83" s="10">
        <f t="shared" si="4"/>
        <v>1.5882212961136659</v>
      </c>
      <c r="F83" s="10">
        <f t="shared" si="8"/>
        <v>6.6784110574757971E-3</v>
      </c>
      <c r="G83" s="10">
        <f t="shared" si="5"/>
        <v>-1.1315985481901407</v>
      </c>
      <c r="H83" s="10">
        <f t="shared" si="6"/>
        <v>0.24386621516168977</v>
      </c>
      <c r="I83" s="10">
        <f t="shared" si="9"/>
        <v>4.6590458165673976E-4</v>
      </c>
      <c r="J83" s="20">
        <f t="shared" si="7"/>
        <v>0</v>
      </c>
      <c r="K83" s="10">
        <f t="shared" si="10"/>
        <v>4.2138282583685793E-3</v>
      </c>
      <c r="L83" s="10">
        <f t="shared" si="11"/>
        <v>2.5282969550215473E-3</v>
      </c>
    </row>
    <row r="84" spans="1:12" x14ac:dyDescent="0.2">
      <c r="A84" s="14">
        <v>1.9E-2</v>
      </c>
      <c r="B84" s="10">
        <f t="shared" si="1"/>
        <v>-3.9441334803989228</v>
      </c>
      <c r="C84" s="10">
        <f t="shared" si="2"/>
        <v>1.8971282040718818</v>
      </c>
      <c r="D84" s="10">
        <f t="shared" si="3"/>
        <v>0.46649301820249467</v>
      </c>
      <c r="E84" s="10">
        <f t="shared" si="4"/>
        <v>1.5943928703152139</v>
      </c>
      <c r="F84" s="10">
        <f t="shared" si="8"/>
        <v>6.1715742015480135E-3</v>
      </c>
      <c r="G84" s="10">
        <f t="shared" si="5"/>
        <v>-1.1292715622793708</v>
      </c>
      <c r="H84" s="10">
        <f t="shared" si="6"/>
        <v>0.24429555655778099</v>
      </c>
      <c r="I84" s="10">
        <f t="shared" si="9"/>
        <v>4.2934139609121513E-4</v>
      </c>
      <c r="J84" s="20">
        <f t="shared" si="7"/>
        <v>-1.7763568394002505E-15</v>
      </c>
      <c r="K84" s="10">
        <f t="shared" si="10"/>
        <v>3.8783098512835679E-3</v>
      </c>
      <c r="L84" s="10">
        <f t="shared" si="11"/>
        <v>2.3269859107699631E-3</v>
      </c>
    </row>
    <row r="85" spans="1:12" x14ac:dyDescent="0.2">
      <c r="A85" s="14">
        <v>0.02</v>
      </c>
      <c r="B85" s="10">
        <f t="shared" si="1"/>
        <v>-3.8918202981106265</v>
      </c>
      <c r="C85" s="10">
        <f t="shared" si="2"/>
        <v>1.8680737430931007</v>
      </c>
      <c r="D85" s="10">
        <f t="shared" si="3"/>
        <v>0.47007352644596101</v>
      </c>
      <c r="E85" s="10">
        <f t="shared" si="4"/>
        <v>1.6001118394289466</v>
      </c>
      <c r="F85" s="10">
        <f t="shared" si="8"/>
        <v>5.7189691137327081E-3</v>
      </c>
      <c r="G85" s="10">
        <f t="shared" si="5"/>
        <v>-1.1271232573332914</v>
      </c>
      <c r="H85" s="10">
        <f t="shared" si="6"/>
        <v>0.24469238422301273</v>
      </c>
      <c r="I85" s="10">
        <f t="shared" si="9"/>
        <v>3.9682766523174706E-4</v>
      </c>
      <c r="J85" s="20">
        <f t="shared" si="7"/>
        <v>-2.2204460492503131E-15</v>
      </c>
      <c r="K85" s="10">
        <f t="shared" si="10"/>
        <v>3.5805082434663404E-3</v>
      </c>
      <c r="L85" s="10">
        <f t="shared" si="11"/>
        <v>2.1483049460793158E-3</v>
      </c>
    </row>
    <row r="86" spans="1:12" x14ac:dyDescent="0.2">
      <c r="A86" s="14">
        <v>2.1000000000000001E-2</v>
      </c>
      <c r="B86" s="10">
        <f t="shared" si="1"/>
        <v>-3.8420092048070873</v>
      </c>
      <c r="C86" s="10">
        <f t="shared" si="2"/>
        <v>1.8403224091025947</v>
      </c>
      <c r="D86" s="10">
        <f t="shared" si="3"/>
        <v>0.47338827795785776</v>
      </c>
      <c r="E86" s="10">
        <f t="shared" si="4"/>
        <v>1.6054246129654122</v>
      </c>
      <c r="F86" s="10">
        <f t="shared" si="8"/>
        <v>5.3127735364655315E-3</v>
      </c>
      <c r="G86" s="10">
        <f t="shared" si="5"/>
        <v>-1.1251344064261533</v>
      </c>
      <c r="H86" s="10">
        <f t="shared" si="6"/>
        <v>0.24506014632927575</v>
      </c>
      <c r="I86" s="10">
        <f t="shared" si="9"/>
        <v>3.6776210626301986E-4</v>
      </c>
      <c r="J86" s="20">
        <f t="shared" si="7"/>
        <v>-1.9984014443252818E-15</v>
      </c>
      <c r="K86" s="10">
        <f t="shared" si="10"/>
        <v>3.3147515118967519E-3</v>
      </c>
      <c r="L86" s="10">
        <f t="shared" si="11"/>
        <v>1.9888509071381844E-3</v>
      </c>
    </row>
    <row r="87" spans="1:12" x14ac:dyDescent="0.2">
      <c r="A87" s="14">
        <v>2.1999999999999999E-2</v>
      </c>
      <c r="B87" s="10">
        <f t="shared" si="1"/>
        <v>-3.7944672166765017</v>
      </c>
      <c r="C87" s="10">
        <f t="shared" si="2"/>
        <v>1.8137553295713678</v>
      </c>
      <c r="D87" s="10">
        <f t="shared" si="3"/>
        <v>0.47646471580668504</v>
      </c>
      <c r="E87" s="10">
        <f t="shared" si="4"/>
        <v>1.6103712070514054</v>
      </c>
      <c r="F87" s="10">
        <f t="shared" si="8"/>
        <v>4.9465940859931834E-3</v>
      </c>
      <c r="G87" s="10">
        <f t="shared" si="5"/>
        <v>-1.1232885437168567</v>
      </c>
      <c r="H87" s="10">
        <f t="shared" si="6"/>
        <v>0.24540180207911322</v>
      </c>
      <c r="I87" s="10">
        <f t="shared" si="9"/>
        <v>3.4165574983746616E-4</v>
      </c>
      <c r="J87" s="20">
        <f t="shared" si="7"/>
        <v>-1.9984014443252818E-15</v>
      </c>
      <c r="K87" s="10">
        <f t="shared" si="10"/>
        <v>3.0764378488272737E-3</v>
      </c>
      <c r="L87" s="10">
        <f t="shared" si="11"/>
        <v>1.8458627092965418E-3</v>
      </c>
    </row>
    <row r="88" spans="1:12" x14ac:dyDescent="0.2">
      <c r="A88" s="14">
        <v>2.3E-2</v>
      </c>
      <c r="B88" s="10">
        <f t="shared" si="1"/>
        <v>-3.7489924361136331</v>
      </c>
      <c r="C88" s="10">
        <f t="shared" si="2"/>
        <v>1.7882693920262029</v>
      </c>
      <c r="D88" s="10">
        <f t="shared" si="3"/>
        <v>0.47932651145169314</v>
      </c>
      <c r="E88" s="10">
        <f t="shared" si="4"/>
        <v>1.6149863610225654</v>
      </c>
      <c r="F88" s="10">
        <f t="shared" si="8"/>
        <v>4.6151539711600797E-3</v>
      </c>
      <c r="G88" s="10">
        <f t="shared" si="5"/>
        <v>-1.1215714663298517</v>
      </c>
      <c r="H88" s="10">
        <f t="shared" si="6"/>
        <v>0.2457199090404569</v>
      </c>
      <c r="I88" s="10">
        <f t="shared" si="9"/>
        <v>3.1810696134368377E-4</v>
      </c>
      <c r="J88" s="20">
        <f t="shared" si="7"/>
        <v>-1.7763568394002505E-15</v>
      </c>
      <c r="K88" s="10">
        <f t="shared" si="10"/>
        <v>2.8617956450081028E-3</v>
      </c>
      <c r="L88" s="10">
        <f t="shared" si="11"/>
        <v>1.7170773870049949E-3</v>
      </c>
    </row>
    <row r="89" spans="1:12" x14ac:dyDescent="0.2">
      <c r="A89" s="14">
        <v>2.4E-2</v>
      </c>
      <c r="B89" s="10">
        <f t="shared" si="1"/>
        <v>-3.7054087560651467</v>
      </c>
      <c r="C89" s="10">
        <f t="shared" si="2"/>
        <v>1.7637745678870098</v>
      </c>
      <c r="D89" s="10">
        <f t="shared" si="3"/>
        <v>0.48199421667019982</v>
      </c>
      <c r="E89" s="10">
        <f t="shared" si="4"/>
        <v>1.6193004203264705</v>
      </c>
      <c r="F89" s="10">
        <f t="shared" si="8"/>
        <v>4.314059303905049E-3</v>
      </c>
      <c r="G89" s="10">
        <f t="shared" si="5"/>
        <v>-1.1199708431987476</v>
      </c>
      <c r="H89" s="10">
        <f t="shared" si="6"/>
        <v>0.24601669187835079</v>
      </c>
      <c r="I89" s="10">
        <f t="shared" si="9"/>
        <v>2.967828378938886E-4</v>
      </c>
      <c r="J89" s="20">
        <f t="shared" si="7"/>
        <v>-1.7763568394002505E-15</v>
      </c>
      <c r="K89" s="10">
        <f t="shared" si="10"/>
        <v>2.6677052185066774E-3</v>
      </c>
      <c r="L89" s="10">
        <f t="shared" si="11"/>
        <v>1.6006231311040953E-3</v>
      </c>
    </row>
    <row r="90" spans="1:12" x14ac:dyDescent="0.2">
      <c r="A90" s="14">
        <v>2.5000000000000001E-2</v>
      </c>
      <c r="B90" s="10">
        <f t="shared" si="1"/>
        <v>-3.6635616461296463</v>
      </c>
      <c r="C90" s="10">
        <f t="shared" si="2"/>
        <v>1.740191781911582</v>
      </c>
      <c r="D90" s="10">
        <f t="shared" si="3"/>
        <v>0.48448578115861585</v>
      </c>
      <c r="E90" s="10">
        <f t="shared" si="4"/>
        <v>1.6233400421491782</v>
      </c>
      <c r="F90" s="10">
        <f t="shared" si="8"/>
        <v>4.039621822707673E-3</v>
      </c>
      <c r="G90" s="10">
        <f t="shared" si="5"/>
        <v>-1.1184759045056982</v>
      </c>
      <c r="H90" s="10">
        <f t="shared" si="6"/>
        <v>0.24629409703892652</v>
      </c>
      <c r="I90" s="10">
        <f t="shared" si="9"/>
        <v>2.7740516057572773E-4</v>
      </c>
      <c r="J90" s="20">
        <f t="shared" si="7"/>
        <v>-1.9984014443252818E-15</v>
      </c>
      <c r="K90" s="10">
        <f t="shared" si="10"/>
        <v>2.4915644884160315E-3</v>
      </c>
      <c r="L90" s="10">
        <f t="shared" si="11"/>
        <v>1.4949386930493969E-3</v>
      </c>
    </row>
    <row r="91" spans="1:12" x14ac:dyDescent="0.2">
      <c r="A91" s="14">
        <v>2.5999999999999999E-2</v>
      </c>
      <c r="B91" s="10">
        <f t="shared" si="1"/>
        <v>-3.6233147656210529</v>
      </c>
      <c r="C91" s="10">
        <f t="shared" si="2"/>
        <v>1.717451198904379</v>
      </c>
      <c r="D91" s="10">
        <f t="shared" si="3"/>
        <v>0.48681696762750315</v>
      </c>
      <c r="E91" s="10">
        <f t="shared" si="4"/>
        <v>1.6271287648836301</v>
      </c>
      <c r="F91" s="10">
        <f t="shared" si="8"/>
        <v>3.7887227344519658E-3</v>
      </c>
      <c r="G91" s="10">
        <f t="shared" si="5"/>
        <v>-1.1170771926243657</v>
      </c>
      <c r="H91" s="10">
        <f t="shared" si="6"/>
        <v>0.24655383669115857</v>
      </c>
      <c r="I91" s="10">
        <f t="shared" si="9"/>
        <v>2.5973965223205497E-4</v>
      </c>
      <c r="J91" s="20">
        <f t="shared" si="7"/>
        <v>-1.7763568394002505E-15</v>
      </c>
      <c r="K91" s="10">
        <f t="shared" si="10"/>
        <v>2.331186468887303E-3</v>
      </c>
      <c r="L91" s="10">
        <f t="shared" si="11"/>
        <v>1.3987118813325594E-3</v>
      </c>
    </row>
    <row r="92" spans="1:12" x14ac:dyDescent="0.2">
      <c r="A92" s="14">
        <v>2.7E-2</v>
      </c>
      <c r="B92" s="10">
        <f t="shared" si="1"/>
        <v>-3.5845472161816758</v>
      </c>
      <c r="C92" s="10">
        <f t="shared" si="2"/>
        <v>1.6954908332539327</v>
      </c>
      <c r="D92" s="10">
        <f t="shared" si="3"/>
        <v>0.48900168776194852</v>
      </c>
      <c r="E92" s="10">
        <f t="shared" si="4"/>
        <v>1.6306874718314912</v>
      </c>
      <c r="F92" s="10">
        <f t="shared" si="8"/>
        <v>3.55870694786109E-3</v>
      </c>
      <c r="G92" s="10">
        <f t="shared" si="5"/>
        <v>-1.1157663605436985</v>
      </c>
      <c r="H92" s="10">
        <f t="shared" si="6"/>
        <v>0.24679742435919896</v>
      </c>
      <c r="I92" s="10">
        <f t="shared" si="9"/>
        <v>2.4358766804039034E-4</v>
      </c>
      <c r="J92" s="20">
        <f t="shared" si="7"/>
        <v>-1.7763568394002505E-15</v>
      </c>
      <c r="K92" s="10">
        <f t="shared" si="10"/>
        <v>2.1847201344453726E-3</v>
      </c>
      <c r="L92" s="10">
        <f t="shared" si="11"/>
        <v>1.3108320806671792E-3</v>
      </c>
    </row>
    <row r="93" spans="1:12" x14ac:dyDescent="0.2">
      <c r="A93" s="14">
        <v>2.8000000000000001E-2</v>
      </c>
      <c r="B93" s="10">
        <f t="shared" si="1"/>
        <v>-3.5471512942852352</v>
      </c>
      <c r="C93" s="10">
        <f t="shared" si="2"/>
        <v>1.6742554109026309</v>
      </c>
      <c r="D93" s="10">
        <f t="shared" si="3"/>
        <v>0.49105227643780314</v>
      </c>
      <c r="E93" s="10">
        <f t="shared" si="4"/>
        <v>1.6340347718899586</v>
      </c>
      <c r="F93" s="10">
        <f t="shared" si="8"/>
        <v>3.3473000584673951E-3</v>
      </c>
      <c r="G93" s="10">
        <f t="shared" si="5"/>
        <v>-1.1145360073381856</v>
      </c>
      <c r="H93" s="10">
        <f t="shared" si="6"/>
        <v>0.24702620405908335</v>
      </c>
      <c r="I93" s="10">
        <f t="shared" si="9"/>
        <v>2.2877969988438496E-4</v>
      </c>
      <c r="J93" s="20">
        <f t="shared" si="7"/>
        <v>0</v>
      </c>
      <c r="K93" s="10">
        <f t="shared" si="10"/>
        <v>2.0505886758546144E-3</v>
      </c>
      <c r="L93" s="10">
        <f t="shared" si="11"/>
        <v>1.2303532055129018E-3</v>
      </c>
    </row>
    <row r="94" spans="1:12" x14ac:dyDescent="0.2">
      <c r="A94" s="14">
        <v>2.9000000000000001E-2</v>
      </c>
      <c r="B94" s="10">
        <f t="shared" si="1"/>
        <v>-3.5110306383048506</v>
      </c>
      <c r="C94" s="10">
        <f t="shared" si="2"/>
        <v>1.6536954306415845</v>
      </c>
      <c r="D94" s="10">
        <f t="shared" si="3"/>
        <v>0.49297971728965884</v>
      </c>
      <c r="E94" s="10">
        <f t="shared" si="4"/>
        <v>1.6371873144563347</v>
      </c>
      <c r="F94" s="10">
        <f t="shared" si="8"/>
        <v>3.1525425663760931E-3</v>
      </c>
      <c r="G94" s="10">
        <f t="shared" si="5"/>
        <v>-1.1133795428270719</v>
      </c>
      <c r="H94" s="10">
        <f t="shared" si="6"/>
        <v>0.24724137430823045</v>
      </c>
      <c r="I94" s="10">
        <f t="shared" si="9"/>
        <v>2.1517024914710636E-4</v>
      </c>
      <c r="J94" s="20">
        <f t="shared" si="7"/>
        <v>0</v>
      </c>
      <c r="K94" s="10">
        <f t="shared" si="10"/>
        <v>1.9274408518556996E-3</v>
      </c>
      <c r="L94" s="10">
        <f t="shared" si="11"/>
        <v>1.1564645111137306E-3</v>
      </c>
    </row>
    <row r="95" spans="1:12" x14ac:dyDescent="0.2">
      <c r="A95" s="14">
        <v>0.03</v>
      </c>
      <c r="B95" s="10">
        <f t="shared" si="1"/>
        <v>-3.4760986898352733</v>
      </c>
      <c r="C95" s="10">
        <f t="shared" si="2"/>
        <v>1.6337663842225782</v>
      </c>
      <c r="D95" s="10">
        <f t="shared" si="3"/>
        <v>0.49479382960148488</v>
      </c>
      <c r="E95" s="10">
        <f t="shared" si="4"/>
        <v>1.6401600517446386</v>
      </c>
      <c r="F95" s="10">
        <f t="shared" si="8"/>
        <v>2.9727372883039394E-3</v>
      </c>
      <c r="G95" s="10">
        <f t="shared" si="5"/>
        <v>-1.1122910754399769</v>
      </c>
      <c r="H95" s="10">
        <f t="shared" si="6"/>
        <v>0.24744400805149983</v>
      </c>
      <c r="I95" s="10">
        <f t="shared" si="9"/>
        <v>2.0263374326937034E-4</v>
      </c>
      <c r="J95" s="20">
        <f t="shared" si="7"/>
        <v>-1.9984014443252818E-15</v>
      </c>
      <c r="K95" s="10">
        <f t="shared" si="10"/>
        <v>1.8141123118260438E-3</v>
      </c>
      <c r="L95" s="10">
        <f t="shared" si="11"/>
        <v>1.0884673870950046E-3</v>
      </c>
    </row>
    <row r="96" spans="1:12" x14ac:dyDescent="0.2">
      <c r="A96" s="14">
        <v>3.1E-2</v>
      </c>
      <c r="B96" s="10">
        <f t="shared" si="1"/>
        <v>-3.4422774074056197</v>
      </c>
      <c r="C96" s="10">
        <f t="shared" si="2"/>
        <v>1.6144281040732356</v>
      </c>
      <c r="D96" s="10">
        <f t="shared" si="3"/>
        <v>0.49650342418927051</v>
      </c>
      <c r="E96" s="10">
        <f t="shared" si="4"/>
        <v>1.6429664587177628</v>
      </c>
      <c r="F96" s="10">
        <f t="shared" si="8"/>
        <v>2.8064069731241759E-3</v>
      </c>
      <c r="G96" s="10">
        <f t="shared" si="5"/>
        <v>-1.1112653186873054</v>
      </c>
      <c r="H96" s="10">
        <f t="shared" si="6"/>
        <v>0.2476350693080295</v>
      </c>
      <c r="I96" s="10">
        <f t="shared" si="9"/>
        <v>1.9106125652967876E-4</v>
      </c>
      <c r="J96" s="20">
        <f t="shared" si="7"/>
        <v>-1.7763568394002505E-15</v>
      </c>
      <c r="K96" s="10">
        <f t="shared" si="10"/>
        <v>1.7095945877856344E-3</v>
      </c>
      <c r="L96" s="10">
        <f t="shared" si="11"/>
        <v>1.0257567526714695E-3</v>
      </c>
    </row>
    <row r="97" spans="1:12" x14ac:dyDescent="0.2">
      <c r="A97" s="14">
        <v>3.2000000000000001E-2</v>
      </c>
      <c r="B97" s="10">
        <f t="shared" si="1"/>
        <v>-3.4094961844768505</v>
      </c>
      <c r="C97" s="10">
        <f t="shared" si="2"/>
        <v>1.5956442143351659</v>
      </c>
      <c r="D97" s="10">
        <f t="shared" si="3"/>
        <v>0.49811643423060348</v>
      </c>
      <c r="E97" s="10">
        <f t="shared" si="4"/>
        <v>1.6456187185991038</v>
      </c>
      <c r="F97" s="10">
        <f t="shared" si="8"/>
        <v>2.6522598813409903E-3</v>
      </c>
      <c r="G97" s="10">
        <f t="shared" si="5"/>
        <v>-1.1102975126625056</v>
      </c>
      <c r="H97" s="10">
        <f t="shared" si="6"/>
        <v>0.24781542716433322</v>
      </c>
      <c r="I97" s="10">
        <f t="shared" si="9"/>
        <v>1.8035785630371448E-4</v>
      </c>
      <c r="J97" s="20">
        <f t="shared" si="7"/>
        <v>-1.9984014443252818E-15</v>
      </c>
      <c r="K97" s="10">
        <f t="shared" si="10"/>
        <v>1.6130100413329629E-3</v>
      </c>
      <c r="L97" s="10">
        <f t="shared" si="11"/>
        <v>9.6780602479973332E-4</v>
      </c>
    </row>
    <row r="98" spans="1:12" x14ac:dyDescent="0.2">
      <c r="A98" s="14">
        <v>3.3000000000000002E-2</v>
      </c>
      <c r="B98" s="10">
        <f t="shared" si="1"/>
        <v>-3.377690933986814</v>
      </c>
      <c r="C98" s="10">
        <f t="shared" si="2"/>
        <v>1.5773816661718421</v>
      </c>
      <c r="D98" s="10">
        <f t="shared" si="3"/>
        <v>0.49964002570570365</v>
      </c>
      <c r="E98" s="10">
        <f t="shared" si="4"/>
        <v>1.6481278802332815</v>
      </c>
      <c r="F98" s="10">
        <f t="shared" si="8"/>
        <v>2.5091616341776923E-3</v>
      </c>
      <c r="G98" s="10">
        <f t="shared" si="5"/>
        <v>-1.1093833577774452</v>
      </c>
      <c r="H98" s="10">
        <f t="shared" si="6"/>
        <v>0.24798586760438923</v>
      </c>
      <c r="I98" s="10">
        <f t="shared" si="9"/>
        <v>1.7044044005601333E-4</v>
      </c>
      <c r="J98" s="20">
        <f t="shared" si="7"/>
        <v>0</v>
      </c>
      <c r="K98" s="10">
        <f t="shared" si="10"/>
        <v>1.5235914751001722E-3</v>
      </c>
      <c r="L98" s="10">
        <f t="shared" si="11"/>
        <v>9.141548850604142E-4</v>
      </c>
    </row>
    <row r="99" spans="1:12" x14ac:dyDescent="0.2">
      <c r="A99" s="14">
        <v>3.4000000000000002E-2</v>
      </c>
      <c r="B99" s="10">
        <f t="shared" si="1"/>
        <v>-3.3468033095963565</v>
      </c>
      <c r="C99" s="10">
        <f t="shared" si="2"/>
        <v>1.5596103422719021</v>
      </c>
      <c r="D99" s="10">
        <f t="shared" si="3"/>
        <v>0.50108069113364406</v>
      </c>
      <c r="E99" s="10">
        <f t="shared" si="4"/>
        <v>1.6505039922714198</v>
      </c>
      <c r="F99" s="10">
        <f t="shared" si="8"/>
        <v>2.3761120381382561E-3</v>
      </c>
      <c r="G99" s="10">
        <f t="shared" si="5"/>
        <v>-1.1085189585206807</v>
      </c>
      <c r="H99" s="10">
        <f t="shared" si="6"/>
        <v>0.24814710356486172</v>
      </c>
      <c r="I99" s="10">
        <f t="shared" si="9"/>
        <v>1.6123596047248889E-4</v>
      </c>
      <c r="J99" s="20">
        <f t="shared" si="7"/>
        <v>0</v>
      </c>
      <c r="K99" s="10">
        <f t="shared" si="10"/>
        <v>1.440665427940413E-3</v>
      </c>
      <c r="L99" s="10">
        <f t="shared" si="11"/>
        <v>8.6439925676451423E-4</v>
      </c>
    </row>
    <row r="100" spans="1:12" x14ac:dyDescent="0.2">
      <c r="A100" s="14">
        <v>3.5000000000000003E-2</v>
      </c>
      <c r="B100" s="10">
        <f t="shared" si="1"/>
        <v>-3.3167800398495721</v>
      </c>
      <c r="C100" s="10">
        <f t="shared" si="2"/>
        <v>1.5423027185300509</v>
      </c>
      <c r="D100" s="10">
        <f t="shared" si="3"/>
        <v>0.50244432953525564</v>
      </c>
      <c r="E100" s="10">
        <f t="shared" si="4"/>
        <v>1.652756218159146</v>
      </c>
      <c r="F100" s="10">
        <f t="shared" si="8"/>
        <v>2.2522258877262225E-3</v>
      </c>
      <c r="G100" s="10">
        <f t="shared" si="5"/>
        <v>-1.1077007754797141</v>
      </c>
      <c r="H100" s="10">
        <f t="shared" si="6"/>
        <v>0.24829978352480173</v>
      </c>
      <c r="I100" s="10">
        <f t="shared" si="9"/>
        <v>1.5267995994000527E-4</v>
      </c>
      <c r="J100" s="20">
        <f t="shared" si="7"/>
        <v>-1.7763568394002505E-15</v>
      </c>
      <c r="K100" s="10">
        <f t="shared" si="10"/>
        <v>1.3636384016115777E-3</v>
      </c>
      <c r="L100" s="10">
        <f t="shared" si="11"/>
        <v>8.1818304096659134E-4</v>
      </c>
    </row>
    <row r="101" spans="1:12" x14ac:dyDescent="0.2">
      <c r="A101" s="14">
        <v>3.5999999999999997E-2</v>
      </c>
      <c r="B101" s="10">
        <f t="shared" si="1"/>
        <v>-3.2875723561544357</v>
      </c>
      <c r="C101" s="10">
        <f t="shared" si="2"/>
        <v>1.5254335732556583</v>
      </c>
      <c r="D101" s="10">
        <f t="shared" si="3"/>
        <v>0.5037363149723344</v>
      </c>
      <c r="E101" s="10">
        <f t="shared" si="4"/>
        <v>1.654892935130432</v>
      </c>
      <c r="F101" s="10">
        <f t="shared" si="8"/>
        <v>2.1367169712860345E-3</v>
      </c>
      <c r="G101" s="10">
        <f t="shared" si="5"/>
        <v>-1.1069255842174668</v>
      </c>
      <c r="H101" s="10">
        <f t="shared" si="6"/>
        <v>0.24844449887812825</v>
      </c>
      <c r="I101" s="10">
        <f t="shared" si="9"/>
        <v>1.4471535332652441E-4</v>
      </c>
      <c r="J101" s="20">
        <f t="shared" si="7"/>
        <v>0</v>
      </c>
      <c r="K101" s="10">
        <f t="shared" si="10"/>
        <v>1.2919854370787576E-3</v>
      </c>
      <c r="L101" s="10">
        <f t="shared" si="11"/>
        <v>7.7519126224734336E-4</v>
      </c>
    </row>
    <row r="102" spans="1:12" x14ac:dyDescent="0.2">
      <c r="A102" s="14">
        <v>3.6999999999999998E-2</v>
      </c>
      <c r="B102" s="10">
        <f t="shared" si="1"/>
        <v>-3.259135499153901</v>
      </c>
      <c r="C102" s="10">
        <f t="shared" si="2"/>
        <v>1.5089797361082562</v>
      </c>
      <c r="D102" s="10">
        <f t="shared" si="3"/>
        <v>0.50496155555908628</v>
      </c>
      <c r="E102" s="10">
        <f t="shared" si="4"/>
        <v>1.6569218198033904</v>
      </c>
      <c r="F102" s="10">
        <f t="shared" si="8"/>
        <v>2.0288846729583643E-3</v>
      </c>
      <c r="G102" s="10">
        <f t="shared" si="5"/>
        <v>-1.1061904398654154</v>
      </c>
      <c r="H102" s="10">
        <f t="shared" si="6"/>
        <v>0.24858179028952584</v>
      </c>
      <c r="I102" s="10">
        <f t="shared" si="9"/>
        <v>1.3729141139759427E-4</v>
      </c>
      <c r="J102" s="20">
        <f t="shared" si="7"/>
        <v>0</v>
      </c>
      <c r="K102" s="10">
        <f t="shared" si="10"/>
        <v>1.2252405867518856E-3</v>
      </c>
      <c r="L102" s="10">
        <f t="shared" si="11"/>
        <v>7.3514435205135342E-4</v>
      </c>
    </row>
    <row r="103" spans="1:12" x14ac:dyDescent="0.2">
      <c r="A103" s="14">
        <v>3.7999999999999999E-2</v>
      </c>
      <c r="B103" s="10">
        <f t="shared" si="1"/>
        <v>-3.2314282909393208</v>
      </c>
      <c r="C103" s="10">
        <f t="shared" si="2"/>
        <v>1.4929198704139663</v>
      </c>
      <c r="D103" s="10">
        <f t="shared" si="3"/>
        <v>0.50612454448536925</v>
      </c>
      <c r="E103" s="10">
        <f t="shared" si="4"/>
        <v>1.658849922495258</v>
      </c>
      <c r="F103" s="10">
        <f t="shared" si="8"/>
        <v>1.9281026918676059E-3</v>
      </c>
      <c r="G103" s="10">
        <f t="shared" si="5"/>
        <v>-1.1054926465096457</v>
      </c>
      <c r="H103" s="10">
        <f t="shared" si="6"/>
        <v>0.24871215319690365</v>
      </c>
      <c r="I103" s="10">
        <f t="shared" si="9"/>
        <v>1.3036290737780676E-4</v>
      </c>
      <c r="J103" s="20">
        <f t="shared" si="7"/>
        <v>0</v>
      </c>
      <c r="K103" s="10">
        <f t="shared" si="10"/>
        <v>1.1629889262829707E-3</v>
      </c>
      <c r="L103" s="10">
        <f t="shared" si="11"/>
        <v>6.9779335576969359E-4</v>
      </c>
    </row>
    <row r="104" spans="1:12" x14ac:dyDescent="0.2">
      <c r="A104" s="14">
        <v>3.9E-2</v>
      </c>
      <c r="B104" s="10">
        <f t="shared" si="1"/>
        <v>-3.2044127628406458</v>
      </c>
      <c r="C104" s="10">
        <f t="shared" si="2"/>
        <v>1.4772342836695378</v>
      </c>
      <c r="D104" s="10">
        <f t="shared" si="3"/>
        <v>0.50722940430933972</v>
      </c>
      <c r="E104" s="10">
        <f t="shared" si="4"/>
        <v>1.6606837319932926</v>
      </c>
      <c r="F104" s="10">
        <f t="shared" si="8"/>
        <v>1.8338094980345776E-3</v>
      </c>
      <c r="G104" s="10">
        <f t="shared" si="5"/>
        <v>-1.1048297306152635</v>
      </c>
      <c r="H104" s="10">
        <f t="shared" si="6"/>
        <v>0.24883604259385816</v>
      </c>
      <c r="I104" s="10">
        <f t="shared" si="9"/>
        <v>1.2388939695451295E-4</v>
      </c>
      <c r="J104" s="20">
        <f t="shared" si="7"/>
        <v>0</v>
      </c>
      <c r="K104" s="10">
        <f t="shared" si="10"/>
        <v>1.104859823970461E-3</v>
      </c>
      <c r="L104" s="10">
        <f t="shared" si="11"/>
        <v>6.629158943822766E-4</v>
      </c>
    </row>
    <row r="105" spans="1:12" x14ac:dyDescent="0.2">
      <c r="A105" s="14">
        <v>0.04</v>
      </c>
      <c r="B105" s="10">
        <f t="shared" si="1"/>
        <v>-3.1780538303479453</v>
      </c>
      <c r="C105" s="10">
        <f t="shared" si="2"/>
        <v>1.4619047619600549</v>
      </c>
      <c r="D105" s="10">
        <f t="shared" si="3"/>
        <v>0.50827992555261914</v>
      </c>
      <c r="E105" s="10">
        <f t="shared" si="4"/>
        <v>1.6624292322141239</v>
      </c>
      <c r="F105" s="10">
        <f t="shared" si="8"/>
        <v>1.7455002208313086E-3</v>
      </c>
      <c r="G105" s="10">
        <f t="shared" si="5"/>
        <v>-1.1041994178692958</v>
      </c>
      <c r="H105" s="10">
        <f t="shared" si="6"/>
        <v>0.24895387720189976</v>
      </c>
      <c r="I105" s="10">
        <f t="shared" si="9"/>
        <v>1.178346080416004E-4</v>
      </c>
      <c r="J105" s="20">
        <f t="shared" si="7"/>
        <v>0</v>
      </c>
      <c r="K105" s="10">
        <f t="shared" si="10"/>
        <v>1.0505212432794231E-3</v>
      </c>
      <c r="L105" s="10">
        <f t="shared" si="11"/>
        <v>6.3031274596769826E-4</v>
      </c>
    </row>
    <row r="106" spans="1:12" x14ac:dyDescent="0.2">
      <c r="A106" s="14">
        <v>4.1000000000000002E-2</v>
      </c>
      <c r="B106" s="10">
        <f t="shared" si="1"/>
        <v>-3.1523190081791301</v>
      </c>
      <c r="C106" s="10">
        <f t="shared" si="2"/>
        <v>1.4469144247542207</v>
      </c>
      <c r="D106" s="10">
        <f t="shared" si="3"/>
        <v>0.50927960045115372</v>
      </c>
      <c r="E106" s="10">
        <f t="shared" si="4"/>
        <v>1.6640919519392749</v>
      </c>
      <c r="F106" s="10">
        <f t="shared" si="8"/>
        <v>1.662719725151085E-3</v>
      </c>
      <c r="G106" s="10">
        <f t="shared" si="5"/>
        <v>-1.1035996129301751</v>
      </c>
      <c r="H106" s="10">
        <f t="shared" si="6"/>
        <v>0.24906604312320033</v>
      </c>
      <c r="I106" s="10">
        <f t="shared" si="9"/>
        <v>1.1216592130056102E-4</v>
      </c>
      <c r="J106" s="20">
        <f t="shared" si="7"/>
        <v>0</v>
      </c>
      <c r="K106" s="10">
        <f t="shared" si="10"/>
        <v>9.9967489853458602E-4</v>
      </c>
      <c r="L106" s="10">
        <f t="shared" si="11"/>
        <v>5.998049391207072E-4</v>
      </c>
    </row>
    <row r="107" spans="1:12" x14ac:dyDescent="0.2">
      <c r="A107" s="14">
        <v>4.2000000000000003E-2</v>
      </c>
      <c r="B107" s="10">
        <f t="shared" si="1"/>
        <v>-3.1271781596874924</v>
      </c>
      <c r="C107" s="10">
        <f t="shared" si="2"/>
        <v>1.4322475971368716</v>
      </c>
      <c r="D107" s="10">
        <f t="shared" si="3"/>
        <v>0.5102316525699353</v>
      </c>
      <c r="E107" s="10">
        <f t="shared" si="4"/>
        <v>1.6656770086165249</v>
      </c>
      <c r="F107" s="10">
        <f t="shared" si="8"/>
        <v>1.5850566772499519E-3</v>
      </c>
      <c r="G107" s="10">
        <f t="shared" si="5"/>
        <v>-1.1030283816589064</v>
      </c>
      <c r="H107" s="10">
        <f t="shared" si="6"/>
        <v>0.24917289704928269</v>
      </c>
      <c r="I107" s="10">
        <f t="shared" si="9"/>
        <v>1.0685392608236755E-4</v>
      </c>
      <c r="J107" s="20">
        <f t="shared" si="7"/>
        <v>-1.7763568394002505E-15</v>
      </c>
      <c r="K107" s="10">
        <f t="shared" si="10"/>
        <v>9.520521187815767E-4</v>
      </c>
      <c r="L107" s="10">
        <f t="shared" si="11"/>
        <v>5.7123127126867956E-4</v>
      </c>
    </row>
    <row r="108" spans="1:12" x14ac:dyDescent="0.2">
      <c r="A108" s="14">
        <v>4.2999999999999997E-2</v>
      </c>
      <c r="B108" s="10">
        <f t="shared" si="1"/>
        <v>-3.102603275759392</v>
      </c>
      <c r="C108" s="10">
        <f t="shared" si="2"/>
        <v>1.4178896970220423</v>
      </c>
      <c r="D108" s="10">
        <f t="shared" si="3"/>
        <v>0.51113906287215172</v>
      </c>
      <c r="E108" s="10">
        <f t="shared" si="4"/>
        <v>1.6671891470555504</v>
      </c>
      <c r="F108" s="10">
        <f t="shared" si="8"/>
        <v>1.5121384390255344E-3</v>
      </c>
      <c r="G108" s="10">
        <f t="shared" si="5"/>
        <v>-1.1024839354775762</v>
      </c>
      <c r="H108" s="10">
        <f t="shared" si="6"/>
        <v>0.24927476908862392</v>
      </c>
      <c r="I108" s="10">
        <f t="shared" si="9"/>
        <v>1.0187203934122757E-4</v>
      </c>
      <c r="J108" s="20">
        <f t="shared" si="7"/>
        <v>0</v>
      </c>
      <c r="K108" s="10">
        <f t="shared" si="10"/>
        <v>9.0741030221641594E-4</v>
      </c>
      <c r="L108" s="10">
        <f t="shared" si="11"/>
        <v>5.4444618133020484E-4</v>
      </c>
    </row>
    <row r="109" spans="1:12" x14ac:dyDescent="0.2">
      <c r="A109" s="14">
        <v>4.3999999999999997E-2</v>
      </c>
      <c r="B109" s="10">
        <f t="shared" si="1"/>
        <v>-3.0785682791331399</v>
      </c>
      <c r="C109" s="10">
        <f t="shared" si="2"/>
        <v>1.4038271352847118</v>
      </c>
      <c r="D109" s="10">
        <f t="shared" si="3"/>
        <v>0.51200459273755428</v>
      </c>
      <c r="E109" s="10">
        <f t="shared" si="4"/>
        <v>1.6686327737144726</v>
      </c>
      <c r="F109" s="10">
        <f t="shared" si="8"/>
        <v>1.4436266589221702E-3</v>
      </c>
      <c r="G109" s="10">
        <f t="shared" si="5"/>
        <v>-1.1019646175583344</v>
      </c>
      <c r="H109" s="10">
        <f t="shared" si="6"/>
        <v>0.24937196526598868</v>
      </c>
      <c r="I109" s="10">
        <f t="shared" si="9"/>
        <v>9.7196177364755609E-5</v>
      </c>
      <c r="J109" s="20">
        <f t="shared" si="7"/>
        <v>0</v>
      </c>
      <c r="K109" s="10">
        <f t="shared" si="10"/>
        <v>8.6552986540255894E-4</v>
      </c>
      <c r="L109" s="10">
        <f t="shared" si="11"/>
        <v>5.1931791924175741E-4</v>
      </c>
    </row>
    <row r="110" spans="1:12" x14ac:dyDescent="0.2">
      <c r="A110" s="14">
        <v>4.4999999999999998E-2</v>
      </c>
      <c r="B110" s="10">
        <f t="shared" si="1"/>
        <v>-3.0550488507104103</v>
      </c>
      <c r="C110" s="10">
        <f t="shared" si="2"/>
        <v>1.3900472270732367</v>
      </c>
      <c r="D110" s="10">
        <f t="shared" si="3"/>
        <v>0.51283080434631145</v>
      </c>
      <c r="E110" s="10">
        <f t="shared" si="4"/>
        <v>1.670011987165493</v>
      </c>
      <c r="F110" s="10">
        <f t="shared" si="8"/>
        <v>1.3792134510204335E-3</v>
      </c>
      <c r="G110" s="10">
        <f t="shared" si="5"/>
        <v>-1.1014688905930803</v>
      </c>
      <c r="H110" s="10">
        <f t="shared" si="6"/>
        <v>0.24946476973798151</v>
      </c>
      <c r="I110" s="10">
        <f t="shared" si="9"/>
        <v>9.2804471992835591E-5</v>
      </c>
      <c r="J110" s="20">
        <f t="shared" si="7"/>
        <v>0</v>
      </c>
      <c r="K110" s="10">
        <f t="shared" si="10"/>
        <v>8.2621160875717692E-4</v>
      </c>
      <c r="L110" s="10">
        <f t="shared" si="11"/>
        <v>4.9572696525412852E-4</v>
      </c>
    </row>
    <row r="111" spans="1:12" x14ac:dyDescent="0.2">
      <c r="A111" s="14">
        <v>4.5999999999999999E-2</v>
      </c>
      <c r="B111" s="10">
        <f t="shared" si="1"/>
        <v>-3.0320222749591914</v>
      </c>
      <c r="C111" s="10">
        <f t="shared" si="2"/>
        <v>1.3765381128314729</v>
      </c>
      <c r="D111" s="10">
        <f t="shared" si="3"/>
        <v>0.51362007878005089</v>
      </c>
      <c r="E111" s="10">
        <f t="shared" si="4"/>
        <v>1.6713306052383143</v>
      </c>
      <c r="F111" s="10">
        <f t="shared" si="8"/>
        <v>1.3186180728212982E-3</v>
      </c>
      <c r="G111" s="10">
        <f t="shared" si="5"/>
        <v>-1.1009953259328369</v>
      </c>
      <c r="H111" s="10">
        <f t="shared" si="6"/>
        <v>0.24955344676244143</v>
      </c>
      <c r="I111" s="10">
        <f t="shared" si="9"/>
        <v>8.8677024459915543E-5</v>
      </c>
      <c r="J111" s="20">
        <f t="shared" si="7"/>
        <v>0</v>
      </c>
      <c r="K111" s="10">
        <f t="shared" si="10"/>
        <v>7.8927443373943973E-4</v>
      </c>
      <c r="L111" s="10">
        <f t="shared" si="11"/>
        <v>4.7356466024339738E-4</v>
      </c>
    </row>
    <row r="112" spans="1:12" x14ac:dyDescent="0.2">
      <c r="A112" s="14">
        <v>4.7E-2</v>
      </c>
      <c r="B112" s="10">
        <f t="shared" si="1"/>
        <v>-3.0094673019441434</v>
      </c>
      <c r="C112" s="10">
        <f t="shared" si="2"/>
        <v>1.3632886877806969</v>
      </c>
      <c r="D112" s="10">
        <f t="shared" si="3"/>
        <v>0.51437463213836176</v>
      </c>
      <c r="E112" s="10">
        <f t="shared" si="4"/>
        <v>1.6725921892657201</v>
      </c>
      <c r="F112" s="10">
        <f t="shared" si="8"/>
        <v>1.2615840274057266E-3</v>
      </c>
      <c r="G112" s="10">
        <f t="shared" si="5"/>
        <v>-1.1005425939178499</v>
      </c>
      <c r="H112" s="10">
        <f t="shared" si="6"/>
        <v>0.24963824245362454</v>
      </c>
      <c r="I112" s="10">
        <f t="shared" si="9"/>
        <v>8.4795691183109367E-5</v>
      </c>
      <c r="J112" s="20">
        <f t="shared" si="7"/>
        <v>0</v>
      </c>
      <c r="K112" s="10">
        <f t="shared" si="10"/>
        <v>7.5455335831087211E-4</v>
      </c>
      <c r="L112" s="10">
        <f t="shared" si="11"/>
        <v>4.5273201498696736E-4</v>
      </c>
    </row>
    <row r="113" spans="1:12" x14ac:dyDescent="0.2">
      <c r="A113" s="14">
        <v>4.8000000000000001E-2</v>
      </c>
      <c r="B113" s="10">
        <f t="shared" si="1"/>
        <v>-2.9873640238834742</v>
      </c>
      <c r="C113" s="10">
        <f t="shared" si="2"/>
        <v>1.3502885387953303</v>
      </c>
      <c r="D113" s="10">
        <f t="shared" si="3"/>
        <v>0.51509652992469035</v>
      </c>
      <c r="E113" s="10">
        <f t="shared" si="4"/>
        <v>1.6738000657938217</v>
      </c>
      <c r="F113" s="10">
        <f t="shared" si="8"/>
        <v>1.2078765281016146E-3</v>
      </c>
      <c r="G113" s="10">
        <f t="shared" si="5"/>
        <v>-1.1001094552460531</v>
      </c>
      <c r="H113" s="10">
        <f t="shared" si="6"/>
        <v>0.24971938635039645</v>
      </c>
      <c r="I113" s="10">
        <f t="shared" si="9"/>
        <v>8.1143896771912472E-5</v>
      </c>
      <c r="J113" s="20">
        <f t="shared" si="7"/>
        <v>0</v>
      </c>
      <c r="K113" s="10">
        <f t="shared" si="10"/>
        <v>7.218977863285847E-4</v>
      </c>
      <c r="L113" s="10">
        <f t="shared" si="11"/>
        <v>4.3313867179683996E-4</v>
      </c>
    </row>
    <row r="114" spans="1:12" x14ac:dyDescent="0.2">
      <c r="A114" s="14">
        <v>4.9000000000000002E-2</v>
      </c>
      <c r="B114" s="10">
        <f t="shared" si="1"/>
        <v>-2.9656937644347634</v>
      </c>
      <c r="C114" s="10">
        <f t="shared" si="2"/>
        <v>1.3375278877600782</v>
      </c>
      <c r="D114" s="10">
        <f t="shared" si="3"/>
        <v>0.51578769991856088</v>
      </c>
      <c r="E114" s="10">
        <f t="shared" si="4"/>
        <v>1.6749573460676659</v>
      </c>
      <c r="F114" s="10">
        <f t="shared" si="8"/>
        <v>1.1572802738442078E-3</v>
      </c>
      <c r="G114" s="10">
        <f t="shared" si="5"/>
        <v>-1.099694753249731</v>
      </c>
      <c r="H114" s="10">
        <f t="shared" si="6"/>
        <v>0.24979709282071744</v>
      </c>
      <c r="I114" s="10">
        <f t="shared" si="9"/>
        <v>7.770647032098732E-5</v>
      </c>
      <c r="J114" s="20">
        <f t="shared" si="7"/>
        <v>-1.7763568394002505E-15</v>
      </c>
      <c r="K114" s="10">
        <f t="shared" si="10"/>
        <v>6.9116999387053291E-4</v>
      </c>
      <c r="L114" s="10">
        <f t="shared" si="11"/>
        <v>4.147019963220977E-4</v>
      </c>
    </row>
    <row r="115" spans="1:12" x14ac:dyDescent="0.2">
      <c r="A115" s="14">
        <v>0.05</v>
      </c>
      <c r="B115" s="10">
        <f t="shared" si="1"/>
        <v>-2.9444389791664403</v>
      </c>
      <c r="C115" s="10">
        <f t="shared" si="2"/>
        <v>1.3249975406248982</v>
      </c>
      <c r="D115" s="10">
        <f t="shared" si="3"/>
        <v>0.51644994372009245</v>
      </c>
      <c r="E115" s="10">
        <f t="shared" si="4"/>
        <v>1.6760669435594067</v>
      </c>
      <c r="F115" s="10">
        <f t="shared" si="8"/>
        <v>1.1095974917407769E-3</v>
      </c>
      <c r="G115" s="10">
        <f t="shared" si="5"/>
        <v>-1.099297406968812</v>
      </c>
      <c r="H115" s="10">
        <f t="shared" si="6"/>
        <v>0.24987156232239313</v>
      </c>
      <c r="I115" s="10">
        <f t="shared" si="9"/>
        <v>7.446950167569466E-5</v>
      </c>
      <c r="J115" s="20">
        <f t="shared" si="7"/>
        <v>0</v>
      </c>
      <c r="K115" s="10">
        <f t="shared" si="10"/>
        <v>6.6224380153157014E-4</v>
      </c>
      <c r="L115" s="10">
        <f t="shared" si="11"/>
        <v>3.973462809190309E-4</v>
      </c>
    </row>
    <row r="116" spans="1:12" x14ac:dyDescent="0.2">
      <c r="A116" s="14">
        <v>5.0999999999999997E-2</v>
      </c>
      <c r="B116" s="10">
        <f t="shared" si="1"/>
        <v>-2.923583165885602</v>
      </c>
      <c r="C116" s="10">
        <f t="shared" si="2"/>
        <v>1.3126888414826352</v>
      </c>
      <c r="D116" s="10">
        <f t="shared" si="3"/>
        <v>0.51708494712675557</v>
      </c>
      <c r="E116" s="10">
        <f t="shared" si="4"/>
        <v>1.6771315897695729</v>
      </c>
      <c r="F116" s="10">
        <f t="shared" si="8"/>
        <v>1.0646462101662202E-3</v>
      </c>
      <c r="G116" s="10">
        <f t="shared" si="5"/>
        <v>-1.0989164049248137</v>
      </c>
      <c r="H116" s="10">
        <f t="shared" si="6"/>
        <v>0.2499429825372918</v>
      </c>
      <c r="I116" s="10">
        <f t="shared" si="9"/>
        <v>7.1420214898670897E-5</v>
      </c>
      <c r="J116" s="20">
        <f t="shared" si="7"/>
        <v>0</v>
      </c>
      <c r="K116" s="10">
        <f t="shared" si="10"/>
        <v>6.3500340666311494E-4</v>
      </c>
      <c r="L116" s="10">
        <f t="shared" si="11"/>
        <v>3.8100204399826865E-4</v>
      </c>
    </row>
    <row r="117" spans="1:12" x14ac:dyDescent="0.2">
      <c r="A117" s="14">
        <v>5.1999999999999998E-2</v>
      </c>
      <c r="B117" s="10">
        <f t="shared" si="1"/>
        <v>-2.9031107836735943</v>
      </c>
      <c r="C117" s="10">
        <f t="shared" si="2"/>
        <v>1.3005936310857702</v>
      </c>
      <c r="D117" s="10">
        <f t="shared" si="3"/>
        <v>0.51769428948035245</v>
      </c>
      <c r="E117" s="10">
        <f t="shared" si="4"/>
        <v>1.6781538485009151</v>
      </c>
      <c r="F117" s="10">
        <f t="shared" si="8"/>
        <v>1.0222587313422071E-3</v>
      </c>
      <c r="G117" s="10">
        <f t="shared" si="5"/>
        <v>-1.0985507995126556</v>
      </c>
      <c r="H117" s="10">
        <f t="shared" si="6"/>
        <v>0.25001152939387722</v>
      </c>
      <c r="I117" s="10">
        <f t="shared" si="9"/>
        <v>6.8546856585416371E-5</v>
      </c>
      <c r="J117" s="20">
        <f t="shared" si="7"/>
        <v>0</v>
      </c>
      <c r="K117" s="10">
        <f t="shared" si="10"/>
        <v>6.0934235359688671E-4</v>
      </c>
      <c r="L117" s="10">
        <f t="shared" si="11"/>
        <v>3.6560541215813203E-4</v>
      </c>
    </row>
    <row r="118" spans="1:12" x14ac:dyDescent="0.2">
      <c r="A118" s="14">
        <v>5.2999999999999999E-2</v>
      </c>
      <c r="B118" s="10">
        <f t="shared" si="1"/>
        <v>-2.8830071796339563</v>
      </c>
      <c r="C118" s="10">
        <f t="shared" si="2"/>
        <v>1.2887042092963785</v>
      </c>
      <c r="D118" s="10">
        <f t="shared" si="3"/>
        <v>0.51827945210362336</v>
      </c>
      <c r="E118" s="10">
        <f t="shared" si="4"/>
        <v>1.6791361287779789</v>
      </c>
      <c r="F118" s="10">
        <f t="shared" si="8"/>
        <v>9.8228027706381837E-4</v>
      </c>
      <c r="G118" s="10">
        <f t="shared" si="5"/>
        <v>-1.0981997019386931</v>
      </c>
      <c r="H118" s="10">
        <f t="shared" si="6"/>
        <v>0.25007736799091967</v>
      </c>
      <c r="I118" s="10">
        <f t="shared" si="9"/>
        <v>6.583859704245576E-5</v>
      </c>
      <c r="J118" s="20">
        <f t="shared" si="7"/>
        <v>0</v>
      </c>
      <c r="K118" s="10">
        <f t="shared" si="10"/>
        <v>5.8516262327090729E-4</v>
      </c>
      <c r="L118" s="10">
        <f t="shared" si="11"/>
        <v>3.5109757396245556E-4</v>
      </c>
    </row>
    <row r="119" spans="1:12" x14ac:dyDescent="0.2">
      <c r="A119" s="14">
        <v>5.3999999999999999E-2</v>
      </c>
      <c r="B119" s="10">
        <f t="shared" si="1"/>
        <v>-2.8632585224876039</v>
      </c>
      <c r="C119" s="10">
        <f t="shared" si="2"/>
        <v>1.2770133010294713</v>
      </c>
      <c r="D119" s="10">
        <f t="shared" si="3"/>
        <v>0.51884182593009731</v>
      </c>
      <c r="E119" s="10">
        <f t="shared" si="4"/>
        <v>1.6800806965630959</v>
      </c>
      <c r="F119" s="10">
        <f t="shared" si="8"/>
        <v>9.445677851169787E-4</v>
      </c>
      <c r="G119" s="10">
        <f t="shared" si="5"/>
        <v>-1.0978622776428089</v>
      </c>
      <c r="H119" s="10">
        <f t="shared" si="6"/>
        <v>0.25014065343355707</v>
      </c>
      <c r="I119" s="10">
        <f t="shared" si="9"/>
        <v>6.3285442637395217E-5</v>
      </c>
      <c r="J119" s="20">
        <f t="shared" si="7"/>
        <v>0</v>
      </c>
      <c r="K119" s="10">
        <f t="shared" si="10"/>
        <v>5.6237382647394973E-4</v>
      </c>
      <c r="L119" s="10">
        <f t="shared" si="11"/>
        <v>3.3742429588423661E-4</v>
      </c>
    </row>
    <row r="120" spans="1:12" x14ac:dyDescent="0.2">
      <c r="A120" s="14">
        <v>5.5E-2</v>
      </c>
      <c r="B120" s="10">
        <f t="shared" si="1"/>
        <v>-2.8438517422612719</v>
      </c>
      <c r="C120" s="10">
        <f t="shared" si="2"/>
        <v>1.265514025306266</v>
      </c>
      <c r="D120" s="10">
        <f t="shared" si="3"/>
        <v>0.51938271841735517</v>
      </c>
      <c r="E120" s="10">
        <f t="shared" si="4"/>
        <v>1.6809896854003088</v>
      </c>
      <c r="F120" s="10">
        <f t="shared" si="8"/>
        <v>9.0898883721290957E-4</v>
      </c>
      <c r="G120" s="10">
        <f t="shared" si="5"/>
        <v>-1.097537742150454</v>
      </c>
      <c r="H120" s="10">
        <f t="shared" si="6"/>
        <v>0.25020153159143638</v>
      </c>
      <c r="I120" s="10">
        <f t="shared" si="9"/>
        <v>6.0878157879307171E-5</v>
      </c>
      <c r="J120" s="20">
        <f t="shared" si="7"/>
        <v>0</v>
      </c>
      <c r="K120" s="10">
        <f t="shared" si="10"/>
        <v>5.4089248725786021E-4</v>
      </c>
      <c r="L120" s="10">
        <f t="shared" si="11"/>
        <v>3.2453549235489376E-4</v>
      </c>
    </row>
    <row r="121" spans="1:12" x14ac:dyDescent="0.2">
      <c r="A121" s="14">
        <v>5.6000000000000001E-2</v>
      </c>
      <c r="B121" s="10">
        <f t="shared" si="1"/>
        <v>-2.8247744754103516</v>
      </c>
      <c r="C121" s="10">
        <f t="shared" si="2"/>
        <v>1.2541998670821961</v>
      </c>
      <c r="D121" s="10">
        <f t="shared" si="3"/>
        <v>0.51990335982237901</v>
      </c>
      <c r="E121" s="10">
        <f t="shared" si="4"/>
        <v>1.6818651061023036</v>
      </c>
      <c r="F121" s="10">
        <f t="shared" si="8"/>
        <v>8.7542070199475575E-4</v>
      </c>
      <c r="G121" s="10">
        <f t="shared" si="5"/>
        <v>-1.0972253573074398</v>
      </c>
      <c r="H121" s="10">
        <f t="shared" si="6"/>
        <v>0.250260139787433</v>
      </c>
      <c r="I121" s="10">
        <f t="shared" si="9"/>
        <v>5.8608195996623369E-5</v>
      </c>
      <c r="J121" s="20">
        <f t="shared" si="7"/>
        <v>0</v>
      </c>
      <c r="K121" s="10">
        <f t="shared" si="10"/>
        <v>5.2064140502383616E-4</v>
      </c>
      <c r="L121" s="10">
        <f t="shared" si="11"/>
        <v>3.1238484301421288E-4</v>
      </c>
    </row>
    <row r="122" spans="1:12" x14ac:dyDescent="0.2">
      <c r="A122" s="14">
        <v>5.7000000000000002E-2</v>
      </c>
      <c r="B122" s="10">
        <f t="shared" si="1"/>
        <v>-2.8060150147989074</v>
      </c>
      <c r="C122" s="10">
        <f t="shared" si="2"/>
        <v>1.2430646515559161</v>
      </c>
      <c r="D122" s="10">
        <f t="shared" si="3"/>
        <v>0.52040490890780422</v>
      </c>
      <c r="E122" s="10">
        <f t="shared" si="4"/>
        <v>1.6827088555812804</v>
      </c>
      <c r="F122" s="10">
        <f t="shared" si="8"/>
        <v>8.4374947897680741E-4</v>
      </c>
      <c r="G122" s="10">
        <f t="shared" si="5"/>
        <v>-1.0969244278561843</v>
      </c>
      <c r="H122" s="10">
        <f t="shared" si="6"/>
        <v>0.25031660742438755</v>
      </c>
      <c r="I122" s="10">
        <f t="shared" si="9"/>
        <v>5.646763695454915E-5</v>
      </c>
      <c r="J122" s="20">
        <f t="shared" si="7"/>
        <v>0</v>
      </c>
      <c r="K122" s="10">
        <f t="shared" si="10"/>
        <v>5.0154908542521248E-4</v>
      </c>
      <c r="L122" s="10">
        <f t="shared" si="11"/>
        <v>3.0092945125548276E-4</v>
      </c>
    </row>
    <row r="123" spans="1:12" x14ac:dyDescent="0.2">
      <c r="A123" s="14">
        <v>5.8000000000000003E-2</v>
      </c>
      <c r="B123" s="10">
        <f t="shared" si="1"/>
        <v>-2.7875622640299436</v>
      </c>
      <c r="C123" s="10">
        <f t="shared" si="2"/>
        <v>1.232102520701235</v>
      </c>
      <c r="D123" s="10">
        <f t="shared" si="3"/>
        <v>0.52088845813942175</v>
      </c>
      <c r="E123" s="10">
        <f t="shared" si="4"/>
        <v>1.6835227249125193</v>
      </c>
      <c r="F123" s="10">
        <f t="shared" si="8"/>
        <v>8.1386933123894778E-4</v>
      </c>
      <c r="G123" s="10">
        <f t="shared" si="5"/>
        <v>-1.0966342983172139</v>
      </c>
      <c r="H123" s="10">
        <f t="shared" si="6"/>
        <v>0.25037105655638675</v>
      </c>
      <c r="I123" s="10">
        <f t="shared" si="9"/>
        <v>5.4449131999201317E-5</v>
      </c>
      <c r="J123" s="20">
        <f t="shared" si="7"/>
        <v>0</v>
      </c>
      <c r="K123" s="10">
        <f t="shared" si="10"/>
        <v>4.8354923161753049E-4</v>
      </c>
      <c r="L123" s="10">
        <f t="shared" si="11"/>
        <v>2.9012953897034066E-4</v>
      </c>
    </row>
    <row r="124" spans="1:12" x14ac:dyDescent="0.2">
      <c r="A124" s="14">
        <v>5.8999999999999997E-2</v>
      </c>
      <c r="B124" s="10">
        <f t="shared" si="1"/>
        <v>-2.7694056956796604</v>
      </c>
      <c r="C124" s="10">
        <f t="shared" si="2"/>
        <v>1.2213079117947303</v>
      </c>
      <c r="D124" s="10">
        <f t="shared" si="3"/>
        <v>0.52135503842797437</v>
      </c>
      <c r="E124" s="10">
        <f t="shared" si="4"/>
        <v>1.6843084067088601</v>
      </c>
      <c r="F124" s="10">
        <f t="shared" si="8"/>
        <v>7.8568179634075364E-4</v>
      </c>
      <c r="G124" s="10">
        <f t="shared" si="5"/>
        <v>-1.0963543501440827</v>
      </c>
      <c r="H124" s="10">
        <f t="shared" si="6"/>
        <v>0.25042360241033484</v>
      </c>
      <c r="I124" s="10">
        <f t="shared" si="9"/>
        <v>5.2545853948093857E-5</v>
      </c>
      <c r="J124" s="20">
        <f t="shared" si="7"/>
        <v>0</v>
      </c>
      <c r="K124" s="10">
        <f t="shared" si="10"/>
        <v>4.6658028855262046E-4</v>
      </c>
      <c r="L124" s="10">
        <f t="shared" si="11"/>
        <v>2.7994817313126141E-4</v>
      </c>
    </row>
    <row r="125" spans="1:12" x14ac:dyDescent="0.2">
      <c r="A125" s="14">
        <v>0.06</v>
      </c>
      <c r="B125" s="10">
        <f t="shared" si="1"/>
        <v>-2.7515353130419489</v>
      </c>
      <c r="C125" s="10">
        <f t="shared" si="2"/>
        <v>1.2106755377384575</v>
      </c>
      <c r="D125" s="10">
        <f t="shared" si="3"/>
        <v>0.5218056234619739</v>
      </c>
      <c r="E125" s="10">
        <f t="shared" si="4"/>
        <v>1.6850675018751804</v>
      </c>
      <c r="F125" s="10">
        <f t="shared" si="8"/>
        <v>7.590951663203338E-4</v>
      </c>
      <c r="G125" s="10">
        <f t="shared" si="5"/>
        <v>-1.0960839991236826</v>
      </c>
      <c r="H125" s="10">
        <f t="shared" si="6"/>
        <v>0.25047435386287581</v>
      </c>
      <c r="I125" s="10">
        <f t="shared" si="9"/>
        <v>5.0751452540964692E-5</v>
      </c>
      <c r="J125" s="20">
        <f t="shared" si="7"/>
        <v>0</v>
      </c>
      <c r="K125" s="10">
        <f t="shared" si="10"/>
        <v>4.5058503399952876E-4</v>
      </c>
      <c r="L125" s="10">
        <f t="shared" si="11"/>
        <v>2.7035102040007253E-4</v>
      </c>
    </row>
    <row r="126" spans="1:12" x14ac:dyDescent="0.2">
      <c r="A126" s="14">
        <v>6.0999999999999999E-2</v>
      </c>
      <c r="B126" s="10">
        <f t="shared" si="1"/>
        <v>-2.7339416150349516</v>
      </c>
      <c r="C126" s="10">
        <f t="shared" si="2"/>
        <v>1.2002003690003438</v>
      </c>
      <c r="D126" s="10">
        <f t="shared" si="3"/>
        <v>0.52224113367279945</v>
      </c>
      <c r="E126" s="10">
        <f t="shared" si="4"/>
        <v>1.6858015258040335</v>
      </c>
      <c r="F126" s="10">
        <f t="shared" si="8"/>
        <v>7.3402392885313361E-4</v>
      </c>
      <c r="G126" s="10">
        <f t="shared" si="5"/>
        <v>-1.0958226929971877</v>
      </c>
      <c r="H126" s="10">
        <f t="shared" si="6"/>
        <v>0.25052341387714228</v>
      </c>
      <c r="I126" s="10">
        <f t="shared" si="9"/>
        <v>4.9060014266466556E-5</v>
      </c>
      <c r="J126" s="20">
        <f t="shared" si="7"/>
        <v>0</v>
      </c>
      <c r="K126" s="10">
        <f t="shared" si="10"/>
        <v>4.3551021082555152E-4</v>
      </c>
      <c r="L126" s="10">
        <f t="shared" si="11"/>
        <v>2.6130612649488683E-4</v>
      </c>
    </row>
    <row r="127" spans="1:12" x14ac:dyDescent="0.2">
      <c r="A127" s="14">
        <v>6.2E-2</v>
      </c>
      <c r="B127" s="10">
        <f t="shared" si="1"/>
        <v>-2.7166155639611329</v>
      </c>
      <c r="C127" s="10">
        <f t="shared" si="2"/>
        <v>1.1898776170149763</v>
      </c>
      <c r="D127" s="10">
        <f t="shared" si="3"/>
        <v>0.52266243986857819</v>
      </c>
      <c r="E127" s="10">
        <f t="shared" si="4"/>
        <v>1.6865119140666884</v>
      </c>
      <c r="F127" s="10">
        <f t="shared" si="8"/>
        <v>7.1038826265490407E-4</v>
      </c>
      <c r="G127" s="10">
        <f t="shared" si="5"/>
        <v>-1.09556990927972</v>
      </c>
      <c r="H127" s="10">
        <f t="shared" si="6"/>
        <v>0.25057087990329374</v>
      </c>
      <c r="I127" s="10">
        <f t="shared" si="9"/>
        <v>4.746602615146589E-5</v>
      </c>
      <c r="J127" s="20">
        <f t="shared" si="7"/>
        <v>0</v>
      </c>
      <c r="K127" s="10">
        <f t="shared" si="10"/>
        <v>4.2130619577873674E-4</v>
      </c>
      <c r="L127" s="10">
        <f t="shared" si="11"/>
        <v>2.5278371746773054E-4</v>
      </c>
    </row>
    <row r="128" spans="1:12" x14ac:dyDescent="0.2">
      <c r="A128" s="14">
        <v>6.3E-2</v>
      </c>
      <c r="B128" s="10">
        <f t="shared" si="1"/>
        <v>-2.6995485558468895</v>
      </c>
      <c r="C128" s="10">
        <f t="shared" si="2"/>
        <v>1.1797027189050906</v>
      </c>
      <c r="D128" s="10">
        <f t="shared" si="3"/>
        <v>0.52307036656922001</v>
      </c>
      <c r="E128" s="10">
        <f t="shared" si="4"/>
        <v>1.6872000276477961</v>
      </c>
      <c r="F128" s="10">
        <f t="shared" si="8"/>
        <v>6.8811358110765219E-4</v>
      </c>
      <c r="G128" s="10">
        <f t="shared" si="5"/>
        <v>-1.0953251532593349</v>
      </c>
      <c r="H128" s="10">
        <f t="shared" si="6"/>
        <v>0.25061684424635616</v>
      </c>
      <c r="I128" s="10">
        <f t="shared" si="9"/>
        <v>4.5964343062421253E-5</v>
      </c>
      <c r="J128" s="20">
        <f t="shared" si="7"/>
        <v>0</v>
      </c>
      <c r="K128" s="10">
        <f t="shared" si="10"/>
        <v>4.0792670064182524E-4</v>
      </c>
      <c r="L128" s="10">
        <f t="shared" si="11"/>
        <v>2.4475602038509514E-4</v>
      </c>
    </row>
    <row r="129" spans="1:12" x14ac:dyDescent="0.2">
      <c r="A129" s="14">
        <v>6.4000000000000001E-2</v>
      </c>
      <c r="B129" s="10">
        <f t="shared" si="1"/>
        <v>-2.6827323931179201</v>
      </c>
      <c r="C129" s="10">
        <f t="shared" si="2"/>
        <v>1.1696713233994132</v>
      </c>
      <c r="D129" s="10">
        <f t="shared" si="3"/>
        <v>0.52346569507135476</v>
      </c>
      <c r="E129" s="10">
        <f t="shared" si="4"/>
        <v>1.6878671577666147</v>
      </c>
      <c r="F129" s="10">
        <f t="shared" si="8"/>
        <v>6.6713011881858186E-4</v>
      </c>
      <c r="G129" s="10">
        <f t="shared" si="5"/>
        <v>-1.0950879561580542</v>
      </c>
      <c r="H129" s="10">
        <f t="shared" si="6"/>
        <v>0.25066139440449209</v>
      </c>
      <c r="I129" s="10">
        <f t="shared" si="9"/>
        <v>4.4550158135925333E-5</v>
      </c>
      <c r="J129" s="20">
        <f t="shared" si="7"/>
        <v>0</v>
      </c>
      <c r="K129" s="10">
        <f t="shared" si="10"/>
        <v>3.9532850213475079E-4</v>
      </c>
      <c r="L129" s="10">
        <f t="shared" si="11"/>
        <v>2.3719710128067284E-4</v>
      </c>
    </row>
    <row r="130" spans="1:12" x14ac:dyDescent="0.2">
      <c r="A130" s="14">
        <v>6.5000000000000002E-2</v>
      </c>
      <c r="B130" s="10">
        <f t="shared" ref="B130:B193" si="12">LN(A130/(1-A130))</f>
        <v>-2.6661592593930501</v>
      </c>
      <c r="C130" s="10">
        <f t="shared" ref="C130:C193" si="13">(A130-0.5)*B130</f>
        <v>1.1597792778359768</v>
      </c>
      <c r="D130" s="10">
        <f t="shared" ref="D130:D193" si="14">$B$45+$B$46*B130+$B$47*C130</f>
        <v>0.52384916626876166</v>
      </c>
      <c r="E130" s="10">
        <f t="shared" ref="E130:E193" si="15">$B$14+EXP(D130)</f>
        <v>1.6885145303230988</v>
      </c>
      <c r="F130" s="10">
        <f t="shared" si="8"/>
        <v>6.4737255648417147E-4</v>
      </c>
      <c r="G130" s="10">
        <f t="shared" ref="G130:G193" si="16">$C$45+$C$46*B130+$C$47*C130</f>
        <v>-1.0948578734396097</v>
      </c>
      <c r="H130" s="10">
        <f t="shared" ref="H130:H193" si="17">$C$14+($C$15-$C$14)/(1+EXP(-G130))</f>
        <v>0.25070461338048106</v>
      </c>
      <c r="I130" s="10">
        <f t="shared" si="9"/>
        <v>4.3218975988967845E-5</v>
      </c>
      <c r="J130" s="20">
        <f t="shared" ref="J130:J193" si="18">G130-($B$22+$B$21*D130)</f>
        <v>0</v>
      </c>
      <c r="K130" s="10">
        <f t="shared" si="10"/>
        <v>3.8347119740689273E-4</v>
      </c>
      <c r="L130" s="10">
        <f t="shared" si="11"/>
        <v>2.3008271844449091E-4</v>
      </c>
    </row>
    <row r="131" spans="1:12" x14ac:dyDescent="0.2">
      <c r="A131" s="14">
        <v>6.6000000000000003E-2</v>
      </c>
      <c r="B131" s="10">
        <f t="shared" si="12"/>
        <v>-2.6498216962024168</v>
      </c>
      <c r="C131" s="10">
        <f t="shared" si="13"/>
        <v>1.150022616151849</v>
      </c>
      <c r="D131" s="10">
        <f t="shared" si="14"/>
        <v>0.52422148325112095</v>
      </c>
      <c r="E131" s="10">
        <f t="shared" si="15"/>
        <v>1.6891433100031115</v>
      </c>
      <c r="F131" s="10">
        <f t="shared" ref="F131:F194" si="19">E131-E130</f>
        <v>6.2877968001262552E-4</v>
      </c>
      <c r="G131" s="10">
        <f t="shared" si="16"/>
        <v>-1.0946344832501942</v>
      </c>
      <c r="H131" s="10">
        <f t="shared" si="17"/>
        <v>0.25074657996889677</v>
      </c>
      <c r="I131" s="10">
        <f t="shared" ref="I131:I194" si="20">H131-H130</f>
        <v>4.1966588415709438E-5</v>
      </c>
      <c r="J131" s="20">
        <f t="shared" si="18"/>
        <v>0</v>
      </c>
      <c r="K131" s="10">
        <f t="shared" ref="K131:K194" si="21">D131-D130</f>
        <v>3.7231698235928867E-4</v>
      </c>
      <c r="L131" s="10">
        <f t="shared" ref="L131:L194" si="22">G131-G130</f>
        <v>2.2339018941552879E-4</v>
      </c>
    </row>
    <row r="132" spans="1:12" x14ac:dyDescent="0.2">
      <c r="A132" s="14">
        <v>6.7000000000000004E-2</v>
      </c>
      <c r="B132" s="10">
        <f t="shared" si="12"/>
        <v>-2.6337125814563778</v>
      </c>
      <c r="C132" s="10">
        <f t="shared" si="13"/>
        <v>1.1403975477706116</v>
      </c>
      <c r="D132" s="10">
        <f t="shared" si="14"/>
        <v>0.52458331370146372</v>
      </c>
      <c r="E132" s="10">
        <f t="shared" si="15"/>
        <v>1.6897546040733986</v>
      </c>
      <c r="F132" s="10">
        <f t="shared" si="19"/>
        <v>6.1129407028714944E-4</v>
      </c>
      <c r="G132" s="10">
        <f t="shared" si="16"/>
        <v>-1.0944173849799885</v>
      </c>
      <c r="H132" s="10">
        <f t="shared" si="17"/>
        <v>0.25078736902120047</v>
      </c>
      <c r="I132" s="10">
        <f t="shared" si="20"/>
        <v>4.0789052303702444E-5</v>
      </c>
      <c r="J132" s="20">
        <f t="shared" si="18"/>
        <v>0</v>
      </c>
      <c r="K132" s="10">
        <f t="shared" si="21"/>
        <v>3.618304503427705E-4</v>
      </c>
      <c r="L132" s="10">
        <f t="shared" si="22"/>
        <v>2.170982702056623E-4</v>
      </c>
    </row>
    <row r="133" spans="1:12" x14ac:dyDescent="0.2">
      <c r="A133" s="14">
        <v>6.8000000000000005E-2</v>
      </c>
      <c r="B133" s="10">
        <f t="shared" si="12"/>
        <v>-2.6178251095094844</v>
      </c>
      <c r="C133" s="10">
        <f t="shared" si="13"/>
        <v>1.1309004473080972</v>
      </c>
      <c r="D133" s="10">
        <f t="shared" si="14"/>
        <v>0.52493529211057477</v>
      </c>
      <c r="E133" s="10">
        <f t="shared" si="15"/>
        <v>1.6903494658938456</v>
      </c>
      <c r="F133" s="10">
        <f t="shared" si="19"/>
        <v>5.9486182044699021E-4</v>
      </c>
      <c r="G133" s="10">
        <f t="shared" si="16"/>
        <v>-1.0942061979345219</v>
      </c>
      <c r="H133" s="10">
        <f t="shared" si="17"/>
        <v>0.25082705169073916</v>
      </c>
      <c r="I133" s="10">
        <f t="shared" si="20"/>
        <v>3.9682669538687598E-5</v>
      </c>
      <c r="J133" s="20">
        <f t="shared" si="18"/>
        <v>0</v>
      </c>
      <c r="K133" s="10">
        <f t="shared" si="21"/>
        <v>3.5197840911105338E-4</v>
      </c>
      <c r="L133" s="10">
        <f t="shared" si="22"/>
        <v>2.1118704546663203E-4</v>
      </c>
    </row>
    <row r="134" spans="1:12" x14ac:dyDescent="0.2">
      <c r="A134" s="14">
        <v>6.9000000000000006E-2</v>
      </c>
      <c r="B134" s="10">
        <f t="shared" si="12"/>
        <v>-2.6021527726798075</v>
      </c>
      <c r="C134" s="10">
        <f t="shared" si="13"/>
        <v>1.121527845024997</v>
      </c>
      <c r="D134" s="10">
        <f t="shared" si="14"/>
        <v>0.52527802182469441</v>
      </c>
      <c r="E134" s="10">
        <f t="shared" si="15"/>
        <v>1.6909288981717112</v>
      </c>
      <c r="F134" s="10">
        <f t="shared" si="19"/>
        <v>5.7943227786561025E-4</v>
      </c>
      <c r="G134" s="10">
        <f t="shared" si="16"/>
        <v>-1.0940005601060505</v>
      </c>
      <c r="H134" s="10">
        <f t="shared" si="17"/>
        <v>0.25086569565943212</v>
      </c>
      <c r="I134" s="10">
        <f t="shared" si="20"/>
        <v>3.8643968692964048E-5</v>
      </c>
      <c r="J134" s="20">
        <f t="shared" si="18"/>
        <v>0</v>
      </c>
      <c r="K134" s="10">
        <f t="shared" si="21"/>
        <v>3.4272971411963837E-4</v>
      </c>
      <c r="L134" s="10">
        <f t="shared" si="22"/>
        <v>2.0563782847138334E-4</v>
      </c>
    </row>
    <row r="135" spans="1:12" x14ac:dyDescent="0.2">
      <c r="A135" s="14">
        <v>7.0000000000000007E-2</v>
      </c>
      <c r="B135" s="10">
        <f t="shared" si="12"/>
        <v>-2.5866893440979424</v>
      </c>
      <c r="C135" s="10">
        <f t="shared" si="13"/>
        <v>1.1122764179621152</v>
      </c>
      <c r="D135" s="10">
        <f t="shared" si="14"/>
        <v>0.5256120769412056</v>
      </c>
      <c r="E135" s="10">
        <f t="shared" si="15"/>
        <v>1.6914938559800716</v>
      </c>
      <c r="F135" s="10">
        <f t="shared" si="19"/>
        <v>5.6495780836041121E-4</v>
      </c>
      <c r="G135" s="10">
        <f t="shared" si="16"/>
        <v>-1.0938001270361437</v>
      </c>
      <c r="H135" s="10">
        <f t="shared" si="17"/>
        <v>0.2509033653477491</v>
      </c>
      <c r="I135" s="10">
        <f t="shared" si="20"/>
        <v>3.7669688316976924E-5</v>
      </c>
      <c r="J135" s="20">
        <f t="shared" si="18"/>
        <v>0</v>
      </c>
      <c r="K135" s="10">
        <f t="shared" si="21"/>
        <v>3.3405511651118935E-4</v>
      </c>
      <c r="L135" s="10">
        <f t="shared" si="22"/>
        <v>2.0043306990680243E-4</v>
      </c>
    </row>
    <row r="136" spans="1:12" x14ac:dyDescent="0.2">
      <c r="A136" s="14">
        <v>7.0999999999999994E-2</v>
      </c>
      <c r="B136" s="10">
        <f t="shared" si="12"/>
        <v>-2.5714288617725232</v>
      </c>
      <c r="C136" s="10">
        <f t="shared" si="13"/>
        <v>1.1031429817004124</v>
      </c>
      <c r="D136" s="10">
        <f t="shared" si="14"/>
        <v>0.52593800406551439</v>
      </c>
      <c r="E136" s="10">
        <f t="shared" si="15"/>
        <v>1.692045249560518</v>
      </c>
      <c r="F136" s="10">
        <f t="shared" si="19"/>
        <v>5.5139358044642428E-4</v>
      </c>
      <c r="G136" s="10">
        <f t="shared" si="16"/>
        <v>-1.0936045707615585</v>
      </c>
      <c r="H136" s="10">
        <f t="shared" si="17"/>
        <v>0.25094012210942074</v>
      </c>
      <c r="I136" s="10">
        <f t="shared" si="20"/>
        <v>3.6756761671641325E-5</v>
      </c>
      <c r="J136" s="20">
        <f t="shared" si="18"/>
        <v>0</v>
      </c>
      <c r="K136" s="10">
        <f t="shared" si="21"/>
        <v>3.2592712430878912E-4</v>
      </c>
      <c r="L136" s="10">
        <f t="shared" si="22"/>
        <v>1.9555627458522906E-4</v>
      </c>
    </row>
    <row r="137" spans="1:12" x14ac:dyDescent="0.2">
      <c r="A137" s="14">
        <v>7.1999999999999995E-2</v>
      </c>
      <c r="B137" s="10">
        <f t="shared" si="12"/>
        <v>-2.5563656137701454</v>
      </c>
      <c r="C137" s="10">
        <f t="shared" si="13"/>
        <v>1.0941244826936223</v>
      </c>
      <c r="D137" s="10">
        <f t="shared" si="14"/>
        <v>0.52625632394101185</v>
      </c>
      <c r="E137" s="10">
        <f t="shared" si="15"/>
        <v>1.6925839469281851</v>
      </c>
      <c r="F137" s="10">
        <f t="shared" si="19"/>
        <v>5.3869736766709586E-4</v>
      </c>
      <c r="G137" s="10">
        <f t="shared" si="16"/>
        <v>-1.0934135788362598</v>
      </c>
      <c r="H137" s="10">
        <f t="shared" si="17"/>
        <v>0.25097602441218264</v>
      </c>
      <c r="I137" s="10">
        <f t="shared" si="20"/>
        <v>3.5902302761903204E-5</v>
      </c>
      <c r="J137" s="20">
        <f t="shared" si="18"/>
        <v>0</v>
      </c>
      <c r="K137" s="10">
        <f t="shared" si="21"/>
        <v>3.1831987549746366E-4</v>
      </c>
      <c r="L137" s="10">
        <f t="shared" si="22"/>
        <v>1.9099192529870024E-4</v>
      </c>
    </row>
    <row r="138" spans="1:12" x14ac:dyDescent="0.2">
      <c r="A138" s="14">
        <v>7.2999999999999995E-2</v>
      </c>
      <c r="B138" s="10">
        <f t="shared" si="12"/>
        <v>-2.541494124417464</v>
      </c>
      <c r="C138" s="10">
        <f t="shared" si="13"/>
        <v>1.0852179911262572</v>
      </c>
      <c r="D138" s="10">
        <f t="shared" si="14"/>
        <v>0.52656753296284808</v>
      </c>
      <c r="E138" s="10">
        <f t="shared" si="15"/>
        <v>1.6931107762954583</v>
      </c>
      <c r="F138" s="10">
        <f t="shared" si="19"/>
        <v>5.2682936727310725E-4</v>
      </c>
      <c r="G138" s="10">
        <f t="shared" si="16"/>
        <v>-1.093226853423158</v>
      </c>
      <c r="H138" s="10">
        <f t="shared" si="17"/>
        <v>0.25101112800572467</v>
      </c>
      <c r="I138" s="10">
        <f t="shared" si="20"/>
        <v>3.5103593542029632E-5</v>
      </c>
      <c r="J138" s="20">
        <f t="shared" si="18"/>
        <v>0</v>
      </c>
      <c r="K138" s="10">
        <f t="shared" si="21"/>
        <v>3.11209021836234E-4</v>
      </c>
      <c r="L138" s="10">
        <f t="shared" si="22"/>
        <v>1.8672541310182922E-4</v>
      </c>
    </row>
    <row r="139" spans="1:12" x14ac:dyDescent="0.2">
      <c r="A139" s="14">
        <v>7.3999999999999996E-2</v>
      </c>
      <c r="B139" s="10">
        <f t="shared" si="12"/>
        <v>-2.5268091414420097</v>
      </c>
      <c r="C139" s="10">
        <f t="shared" si="13"/>
        <v>1.0764206942542962</v>
      </c>
      <c r="D139" s="10">
        <f t="shared" si="14"/>
        <v>0.52687210458521228</v>
      </c>
      <c r="E139" s="10">
        <f t="shared" si="15"/>
        <v>1.6936265283291667</v>
      </c>
      <c r="F139" s="10">
        <f t="shared" si="19"/>
        <v>5.157520337084609E-4</v>
      </c>
      <c r="G139" s="10">
        <f t="shared" si="16"/>
        <v>-1.0930441104497395</v>
      </c>
      <c r="H139" s="10">
        <f t="shared" si="17"/>
        <v>0.25104548607790689</v>
      </c>
      <c r="I139" s="10">
        <f t="shared" si="20"/>
        <v>3.4358072182216759E-5</v>
      </c>
      <c r="J139" s="20">
        <f t="shared" si="18"/>
        <v>0</v>
      </c>
      <c r="K139" s="10">
        <f t="shared" si="21"/>
        <v>3.0457162236419144E-4</v>
      </c>
      <c r="L139" s="10">
        <f t="shared" si="22"/>
        <v>1.8274297341847046E-4</v>
      </c>
    </row>
    <row r="140" spans="1:12" x14ac:dyDescent="0.2">
      <c r="A140" s="14">
        <v>7.4999999999999997E-2</v>
      </c>
      <c r="B140" s="10">
        <f t="shared" si="12"/>
        <v>-2.5123056239761148</v>
      </c>
      <c r="C140" s="10">
        <f t="shared" si="13"/>
        <v>1.0677298901898487</v>
      </c>
      <c r="D140" s="10">
        <f t="shared" si="14"/>
        <v>0.52717049063087762</v>
      </c>
      <c r="E140" s="10">
        <f t="shared" si="15"/>
        <v>1.6941319582546572</v>
      </c>
      <c r="F140" s="10">
        <f t="shared" si="19"/>
        <v>5.0542992549051924E-4</v>
      </c>
      <c r="G140" s="10">
        <f t="shared" si="16"/>
        <v>-1.0928650788223404</v>
      </c>
      <c r="H140" s="10">
        <f t="shared" si="17"/>
        <v>0.25107914940020126</v>
      </c>
      <c r="I140" s="10">
        <f t="shared" si="20"/>
        <v>3.3663322294374964E-5</v>
      </c>
      <c r="J140" s="20">
        <f t="shared" si="18"/>
        <v>0</v>
      </c>
      <c r="K140" s="10">
        <f t="shared" si="21"/>
        <v>2.9838604566534421E-4</v>
      </c>
      <c r="L140" s="10">
        <f t="shared" si="22"/>
        <v>1.790316273990733E-4</v>
      </c>
    </row>
    <row r="141" spans="1:12" x14ac:dyDescent="0.2">
      <c r="A141" s="14">
        <v>7.5999999999999998E-2</v>
      </c>
      <c r="B141" s="10">
        <f t="shared" si="12"/>
        <v>-2.497978731355353</v>
      </c>
      <c r="C141" s="10">
        <f t="shared" si="13"/>
        <v>1.0591429820946696</v>
      </c>
      <c r="D141" s="10">
        <f t="shared" si="14"/>
        <v>0.52746312251096206</v>
      </c>
      <c r="E141" s="10">
        <f t="shared" si="15"/>
        <v>1.6946277878189429</v>
      </c>
      <c r="F141" s="10">
        <f t="shared" si="19"/>
        <v>4.9582956428562142E-4</v>
      </c>
      <c r="G141" s="10">
        <f t="shared" si="16"/>
        <v>-1.0926894996942897</v>
      </c>
      <c r="H141" s="10">
        <f t="shared" si="17"/>
        <v>0.25111216646322909</v>
      </c>
      <c r="I141" s="10">
        <f t="shared" si="20"/>
        <v>3.3017063027829252E-5</v>
      </c>
      <c r="J141" s="20">
        <f t="shared" si="18"/>
        <v>0</v>
      </c>
      <c r="K141" s="10">
        <f t="shared" si="21"/>
        <v>2.9263188008443741E-4</v>
      </c>
      <c r="L141" s="10">
        <f t="shared" si="22"/>
        <v>1.7557912805066245E-4</v>
      </c>
    </row>
    <row r="142" spans="1:12" x14ac:dyDescent="0.2">
      <c r="A142" s="14">
        <v>7.6999999999999999E-2</v>
      </c>
      <c r="B142" s="10">
        <f t="shared" si="12"/>
        <v>-2.4838238126491685</v>
      </c>
      <c r="C142" s="10">
        <f t="shared" si="13"/>
        <v>1.0506574727505982</v>
      </c>
      <c r="D142" s="10">
        <f t="shared" si="14"/>
        <v>0.52775041236209819</v>
      </c>
      <c r="E142" s="10">
        <f t="shared" si="15"/>
        <v>1.6951147071239749</v>
      </c>
      <c r="F142" s="10">
        <f t="shared" si="19"/>
        <v>4.8691930503208525E-4</v>
      </c>
      <c r="G142" s="10">
        <f t="shared" si="16"/>
        <v>-1.0925171257836079</v>
      </c>
      <c r="H142" s="10">
        <f t="shared" si="17"/>
        <v>0.25114458360318387</v>
      </c>
      <c r="I142" s="10">
        <f t="shared" si="20"/>
        <v>3.2417139954776797E-5</v>
      </c>
      <c r="J142" s="20">
        <f t="shared" si="18"/>
        <v>0</v>
      </c>
      <c r="K142" s="10">
        <f t="shared" si="21"/>
        <v>2.8728985113612993E-4</v>
      </c>
      <c r="L142" s="10">
        <f t="shared" si="22"/>
        <v>1.7237391068181118E-4</v>
      </c>
    </row>
    <row r="143" spans="1:12" x14ac:dyDescent="0.2">
      <c r="A143" s="14">
        <v>7.8E-2</v>
      </c>
      <c r="B143" s="10">
        <f t="shared" si="12"/>
        <v>-2.4698363968670023</v>
      </c>
      <c r="C143" s="10">
        <f t="shared" si="13"/>
        <v>1.042270959477875</v>
      </c>
      <c r="D143" s="10">
        <f t="shared" si="14"/>
        <v>0.52803275410756334</v>
      </c>
      <c r="E143" s="10">
        <f t="shared" si="15"/>
        <v>1.6955933763401192</v>
      </c>
      <c r="F143" s="10">
        <f t="shared" si="19"/>
        <v>4.7866921614425628E-4</v>
      </c>
      <c r="G143" s="10">
        <f t="shared" si="16"/>
        <v>-1.0923477207363288</v>
      </c>
      <c r="H143" s="10">
        <f t="shared" si="17"/>
        <v>0.25117644511985704</v>
      </c>
      <c r="I143" s="10">
        <f t="shared" si="20"/>
        <v>3.1861516673170609E-5</v>
      </c>
      <c r="J143" s="20">
        <f t="shared" si="18"/>
        <v>0</v>
      </c>
      <c r="K143" s="10">
        <f t="shared" si="21"/>
        <v>2.8234174546515334E-4</v>
      </c>
      <c r="L143" s="10">
        <f t="shared" si="22"/>
        <v>1.6940504727913641E-4</v>
      </c>
    </row>
    <row r="144" spans="1:12" x14ac:dyDescent="0.2">
      <c r="A144" s="14">
        <v>7.9000000000000001E-2</v>
      </c>
      <c r="B144" s="10">
        <f t="shared" si="12"/>
        <v>-2.4560121837882853</v>
      </c>
      <c r="C144" s="10">
        <f t="shared" si="13"/>
        <v>1.0339811293748682</v>
      </c>
      <c r="D144" s="10">
        <f t="shared" si="14"/>
        <v>0.5283105244483115</v>
      </c>
      <c r="E144" s="10">
        <f t="shared" si="15"/>
        <v>1.6960644273090009</v>
      </c>
      <c r="F144" s="10">
        <f t="shared" si="19"/>
        <v>4.7105096888166997E-4</v>
      </c>
      <c r="G144" s="10">
        <f t="shared" si="16"/>
        <v>-1.0921810585318799</v>
      </c>
      <c r="H144" s="10">
        <f t="shared" si="17"/>
        <v>0.25120779338691923</v>
      </c>
      <c r="I144" s="10">
        <f t="shared" si="20"/>
        <v>3.1348267062192292E-5</v>
      </c>
      <c r="J144" s="20">
        <f t="shared" si="18"/>
        <v>0</v>
      </c>
      <c r="K144" s="10">
        <f t="shared" si="21"/>
        <v>2.7777034074816243E-4</v>
      </c>
      <c r="L144" s="10">
        <f t="shared" si="22"/>
        <v>1.6666220444894186E-4</v>
      </c>
    </row>
    <row r="145" spans="1:12" x14ac:dyDescent="0.2">
      <c r="A145" s="14">
        <v>0.08</v>
      </c>
      <c r="B145" s="10">
        <f t="shared" si="12"/>
        <v>-2.4423470353692043</v>
      </c>
      <c r="C145" s="10">
        <f t="shared" si="13"/>
        <v>1.0257857548550657</v>
      </c>
      <c r="D145" s="10">
        <f t="shared" si="14"/>
        <v>0.52858408378932942</v>
      </c>
      <c r="E145" s="10">
        <f t="shared" si="15"/>
        <v>1.6965284650440939</v>
      </c>
      <c r="F145" s="10">
        <f t="shared" si="19"/>
        <v>4.6403773509307022E-4</v>
      </c>
      <c r="G145" s="10">
        <f t="shared" si="16"/>
        <v>-1.0920169229272694</v>
      </c>
      <c r="H145" s="10">
        <f t="shared" si="17"/>
        <v>0.25123866895505226</v>
      </c>
      <c r="I145" s="10">
        <f t="shared" si="20"/>
        <v>3.0875568133026388E-5</v>
      </c>
      <c r="J145" s="20">
        <f t="shared" si="18"/>
        <v>0</v>
      </c>
      <c r="K145" s="10">
        <f t="shared" si="21"/>
        <v>2.735593410179149E-4</v>
      </c>
      <c r="L145" s="10">
        <f t="shared" si="22"/>
        <v>1.6413560461048249E-4</v>
      </c>
    </row>
    <row r="146" spans="1:12" x14ac:dyDescent="0.2">
      <c r="A146" s="14">
        <v>8.1000000000000003E-2</v>
      </c>
      <c r="B146" s="10">
        <f t="shared" si="12"/>
        <v>-2.4288369676832482</v>
      </c>
      <c r="C146" s="10">
        <f t="shared" si="13"/>
        <v>1.017682689459281</v>
      </c>
      <c r="D146" s="10">
        <f t="shared" si="14"/>
        <v>0.52885377710625159</v>
      </c>
      <c r="E146" s="10">
        <f t="shared" si="15"/>
        <v>1.6969860691366938</v>
      </c>
      <c r="F146" s="10">
        <f t="shared" si="19"/>
        <v>4.5760409259987256E-4</v>
      </c>
      <c r="G146" s="10">
        <f t="shared" si="16"/>
        <v>-1.0918551069371158</v>
      </c>
      <c r="H146" s="10">
        <f t="shared" si="17"/>
        <v>0.25126911064847346</v>
      </c>
      <c r="I146" s="10">
        <f t="shared" si="20"/>
        <v>3.044169342120151E-5</v>
      </c>
      <c r="J146" s="20">
        <f t="shared" si="18"/>
        <v>0</v>
      </c>
      <c r="K146" s="10">
        <f t="shared" si="21"/>
        <v>2.6969331692217047E-4</v>
      </c>
      <c r="L146" s="10">
        <f t="shared" si="22"/>
        <v>1.6181599015352433E-4</v>
      </c>
    </row>
    <row r="147" spans="1:12" x14ac:dyDescent="0.2">
      <c r="A147" s="14">
        <v>8.2000000000000003E-2</v>
      </c>
      <c r="B147" s="10">
        <f t="shared" si="12"/>
        <v>-2.4154781433562373</v>
      </c>
      <c r="C147" s="10">
        <f t="shared" si="13"/>
        <v>1.0096698639229071</v>
      </c>
      <c r="D147" s="10">
        <f t="shared" si="14"/>
        <v>0.52911993475674146</v>
      </c>
      <c r="E147" s="10">
        <f t="shared" si="15"/>
        <v>1.6974377950742596</v>
      </c>
      <c r="F147" s="10">
        <f t="shared" si="19"/>
        <v>4.5172593756581669E-4</v>
      </c>
      <c r="G147" s="10">
        <f t="shared" si="16"/>
        <v>-1.0916954123468221</v>
      </c>
      <c r="H147" s="10">
        <f t="shared" si="17"/>
        <v>0.25129915565534849</v>
      </c>
      <c r="I147" s="10">
        <f t="shared" si="20"/>
        <v>3.0045006875034641E-5</v>
      </c>
      <c r="J147" s="20">
        <f t="shared" si="18"/>
        <v>0</v>
      </c>
      <c r="K147" s="10">
        <f t="shared" si="21"/>
        <v>2.6615765048987328E-4</v>
      </c>
      <c r="L147" s="10">
        <f t="shared" si="22"/>
        <v>1.5969459029374633E-4</v>
      </c>
    </row>
    <row r="148" spans="1:12" x14ac:dyDescent="0.2">
      <c r="A148" s="14">
        <v>8.3000000000000004E-2</v>
      </c>
      <c r="B148" s="10">
        <f t="shared" si="12"/>
        <v>-2.4022668644598668</v>
      </c>
      <c r="C148" s="10">
        <f t="shared" si="13"/>
        <v>1.0017452824797644</v>
      </c>
      <c r="D148" s="10">
        <f t="shared" si="14"/>
        <v>0.52938287324075706</v>
      </c>
      <c r="E148" s="10">
        <f t="shared" si="15"/>
        <v>1.6978841754775287</v>
      </c>
      <c r="F148" s="10">
        <f t="shared" si="19"/>
        <v>4.4638040326905326E-4</v>
      </c>
      <c r="G148" s="10">
        <f t="shared" si="16"/>
        <v>-1.0915376492564124</v>
      </c>
      <c r="H148" s="10">
        <f t="shared" si="17"/>
        <v>0.2513288396125451</v>
      </c>
      <c r="I148" s="10">
        <f t="shared" si="20"/>
        <v>2.9683957196602329E-5</v>
      </c>
      <c r="J148" s="20">
        <f t="shared" si="18"/>
        <v>0</v>
      </c>
      <c r="K148" s="10">
        <f t="shared" si="21"/>
        <v>2.6293848401559572E-4</v>
      </c>
      <c r="L148" s="10">
        <f t="shared" si="22"/>
        <v>1.577630904097127E-4</v>
      </c>
    </row>
    <row r="149" spans="1:12" x14ac:dyDescent="0.2">
      <c r="A149" s="14">
        <v>8.4000000000000005E-2</v>
      </c>
      <c r="B149" s="10">
        <f t="shared" si="12"/>
        <v>-2.3891995658308165</v>
      </c>
      <c r="C149" s="10">
        <f t="shared" si="13"/>
        <v>0.99390701938561965</v>
      </c>
      <c r="D149" s="10">
        <f t="shared" si="14"/>
        <v>0.52964289591346758</v>
      </c>
      <c r="E149" s="10">
        <f t="shared" si="15"/>
        <v>1.6983257212622591</v>
      </c>
      <c r="F149" s="10">
        <f t="shared" si="19"/>
        <v>4.4154578473043493E-4</v>
      </c>
      <c r="G149" s="10">
        <f t="shared" si="16"/>
        <v>-1.0913816356527861</v>
      </c>
      <c r="H149" s="10">
        <f t="shared" si="17"/>
        <v>0.25135819668514209</v>
      </c>
      <c r="I149" s="10">
        <f t="shared" si="20"/>
        <v>2.9357072596991607E-5</v>
      </c>
      <c r="J149" s="20">
        <f t="shared" si="18"/>
        <v>0</v>
      </c>
      <c r="K149" s="10">
        <f t="shared" si="21"/>
        <v>2.6002267271052482E-4</v>
      </c>
      <c r="L149" s="10">
        <f t="shared" si="22"/>
        <v>1.5601360362627048E-4</v>
      </c>
    </row>
    <row r="150" spans="1:12" x14ac:dyDescent="0.2">
      <c r="A150" s="14">
        <v>8.5000000000000006E-2</v>
      </c>
      <c r="B150" s="10">
        <f t="shared" si="12"/>
        <v>-2.3762728087852047</v>
      </c>
      <c r="C150" s="10">
        <f t="shared" si="13"/>
        <v>0.98615321564585989</v>
      </c>
      <c r="D150" s="10">
        <f t="shared" si="14"/>
        <v>0.5299002936542665</v>
      </c>
      <c r="E150" s="10">
        <f t="shared" si="15"/>
        <v>1.698762922730974</v>
      </c>
      <c r="F150" s="10">
        <f t="shared" si="19"/>
        <v>4.3720146871484289E-4</v>
      </c>
      <c r="G150" s="10">
        <f t="shared" si="16"/>
        <v>-1.0912271970083069</v>
      </c>
      <c r="H150" s="10">
        <f t="shared" si="17"/>
        <v>0.25138725964107367</v>
      </c>
      <c r="I150" s="10">
        <f t="shared" si="20"/>
        <v>2.9062955931580259E-5</v>
      </c>
      <c r="J150" s="20">
        <f t="shared" si="18"/>
        <v>0</v>
      </c>
      <c r="K150" s="10">
        <f t="shared" si="21"/>
        <v>2.5739774079891475E-4</v>
      </c>
      <c r="L150" s="10">
        <f t="shared" si="22"/>
        <v>1.5443864447917122E-4</v>
      </c>
    </row>
    <row r="151" spans="1:12" x14ac:dyDescent="0.2">
      <c r="A151" s="14">
        <v>8.5999999999999993E-2</v>
      </c>
      <c r="B151" s="10">
        <f t="shared" si="12"/>
        <v>-2.3634832752006423</v>
      </c>
      <c r="C151" s="10">
        <f t="shared" si="13"/>
        <v>0.97848207593306602</v>
      </c>
      <c r="D151" s="10">
        <f t="shared" si="14"/>
        <v>0.53015534549504917</v>
      </c>
      <c r="E151" s="10">
        <f t="shared" si="15"/>
        <v>1.6991962505996561</v>
      </c>
      <c r="F151" s="10">
        <f t="shared" si="19"/>
        <v>4.333278686821096E-4</v>
      </c>
      <c r="G151" s="10">
        <f t="shared" si="16"/>
        <v>-1.0910741659038372</v>
      </c>
      <c r="H151" s="10">
        <f t="shared" si="17"/>
        <v>0.25141605992125693</v>
      </c>
      <c r="I151" s="10">
        <f t="shared" si="20"/>
        <v>2.8800280183260973E-5</v>
      </c>
      <c r="J151" s="20">
        <f t="shared" si="18"/>
        <v>0</v>
      </c>
      <c r="K151" s="10">
        <f t="shared" si="21"/>
        <v>2.5505184078267185E-4</v>
      </c>
      <c r="L151" s="10">
        <f t="shared" si="22"/>
        <v>1.5303110446973633E-4</v>
      </c>
    </row>
    <row r="152" spans="1:12" x14ac:dyDescent="0.2">
      <c r="A152" s="14">
        <v>8.6999999999999994E-2</v>
      </c>
      <c r="B152" s="10">
        <f t="shared" si="12"/>
        <v>-2.3508277619403848</v>
      </c>
      <c r="C152" s="10">
        <f t="shared" si="13"/>
        <v>0.97089186568137897</v>
      </c>
      <c r="D152" s="10">
        <f t="shared" si="14"/>
        <v>0.53040831921064746</v>
      </c>
      <c r="E152" s="10">
        <f t="shared" si="15"/>
        <v>1.6996261569639135</v>
      </c>
      <c r="F152" s="10">
        <f t="shared" si="19"/>
        <v>4.2990636425743745E-4</v>
      </c>
      <c r="G152" s="10">
        <f t="shared" si="16"/>
        <v>-1.0909223816744782</v>
      </c>
      <c r="H152" s="10">
        <f t="shared" si="17"/>
        <v>0.25144462770552173</v>
      </c>
      <c r="I152" s="10">
        <f t="shared" si="20"/>
        <v>2.8567784264799112E-5</v>
      </c>
      <c r="J152" s="20">
        <f t="shared" si="18"/>
        <v>0</v>
      </c>
      <c r="K152" s="10">
        <f t="shared" si="21"/>
        <v>2.5297371559829251E-4</v>
      </c>
      <c r="L152" s="10">
        <f t="shared" si="22"/>
        <v>1.5178422935901992E-4</v>
      </c>
    </row>
    <row r="153" spans="1:12" x14ac:dyDescent="0.2">
      <c r="A153" s="14">
        <v>8.7999999999999995E-2</v>
      </c>
      <c r="B153" s="10">
        <f t="shared" si="12"/>
        <v>-2.338303175596125</v>
      </c>
      <c r="C153" s="10">
        <f t="shared" si="13"/>
        <v>0.96338090834560353</v>
      </c>
      <c r="D153" s="10">
        <f t="shared" si="14"/>
        <v>0.53065947187409512</v>
      </c>
      <c r="E153" s="10">
        <f t="shared" si="15"/>
        <v>1.7000530762088089</v>
      </c>
      <c r="F153" s="10">
        <f t="shared" si="19"/>
        <v>4.2691924489535182E-4</v>
      </c>
      <c r="G153" s="10">
        <f t="shared" si="16"/>
        <v>-1.0907716900764095</v>
      </c>
      <c r="H153" s="10">
        <f t="shared" si="17"/>
        <v>0.25147299197463852</v>
      </c>
      <c r="I153" s="10">
        <f t="shared" si="20"/>
        <v>2.8364269116787355E-5</v>
      </c>
      <c r="J153" s="20">
        <f t="shared" si="18"/>
        <v>0</v>
      </c>
      <c r="K153" s="10">
        <f t="shared" si="21"/>
        <v>2.5115266344766241E-4</v>
      </c>
      <c r="L153" s="10">
        <f t="shared" si="22"/>
        <v>1.5069159806868626E-4</v>
      </c>
    </row>
    <row r="154" spans="1:12" x14ac:dyDescent="0.2">
      <c r="A154" s="14">
        <v>8.8999999999999996E-2</v>
      </c>
      <c r="B154" s="10">
        <f t="shared" si="12"/>
        <v>-2.3259065275278186</v>
      </c>
      <c r="C154" s="10">
        <f t="shared" si="13"/>
        <v>0.95594758281393355</v>
      </c>
      <c r="D154" s="10">
        <f t="shared" si="14"/>
        <v>0.53090905037916469</v>
      </c>
      <c r="E154" s="10">
        <f t="shared" si="15"/>
        <v>1.7004774258661819</v>
      </c>
      <c r="F154" s="10">
        <f t="shared" si="19"/>
        <v>4.2434965737303543E-4</v>
      </c>
      <c r="G154" s="10">
        <f t="shared" si="16"/>
        <v>-1.0906219429733679</v>
      </c>
      <c r="H154" s="10">
        <f t="shared" si="17"/>
        <v>0.2515011805687119</v>
      </c>
      <c r="I154" s="10">
        <f t="shared" si="20"/>
        <v>2.8188594073386142E-5</v>
      </c>
      <c r="J154" s="20">
        <f t="shared" si="18"/>
        <v>0</v>
      </c>
      <c r="K154" s="10">
        <f t="shared" si="21"/>
        <v>2.495785050695698E-4</v>
      </c>
      <c r="L154" s="10">
        <f t="shared" si="22"/>
        <v>1.4974710304160865E-4</v>
      </c>
    </row>
    <row r="155" spans="1:12" x14ac:dyDescent="0.2">
      <c r="A155" s="14">
        <v>0.09</v>
      </c>
      <c r="B155" s="10">
        <f t="shared" si="12"/>
        <v>-2.3136349291806306</v>
      </c>
      <c r="C155" s="10">
        <f t="shared" si="13"/>
        <v>0.9485903209640586</v>
      </c>
      <c r="D155" s="10">
        <f t="shared" si="14"/>
        <v>0.53115729193243522</v>
      </c>
      <c r="E155" s="10">
        <f t="shared" si="15"/>
        <v>1.7008996074230149</v>
      </c>
      <c r="F155" s="10">
        <f t="shared" si="19"/>
        <v>4.2218155683304559E-4</v>
      </c>
      <c r="G155" s="10">
        <f t="shared" si="16"/>
        <v>-1.0904729980414058</v>
      </c>
      <c r="H155" s="10">
        <f t="shared" si="17"/>
        <v>0.25152922024219032</v>
      </c>
      <c r="I155" s="10">
        <f t="shared" si="20"/>
        <v>2.8039673478419402E-5</v>
      </c>
      <c r="J155" s="20">
        <f t="shared" si="18"/>
        <v>0</v>
      </c>
      <c r="K155" s="10">
        <f t="shared" si="21"/>
        <v>2.4824155327052289E-4</v>
      </c>
      <c r="L155" s="10">
        <f t="shared" si="22"/>
        <v>1.4894493196204728E-4</v>
      </c>
    </row>
    <row r="156" spans="1:12" x14ac:dyDescent="0.2">
      <c r="A156" s="14">
        <v>9.0999999999999998E-2</v>
      </c>
      <c r="B156" s="10">
        <f t="shared" si="12"/>
        <v>-2.3014855876606291</v>
      </c>
      <c r="C156" s="10">
        <f t="shared" si="13"/>
        <v>0.94130760535319735</v>
      </c>
      <c r="D156" s="10">
        <f t="shared" si="14"/>
        <v>0.53140442451697067</v>
      </c>
      <c r="E156" s="10">
        <f t="shared" si="15"/>
        <v>1.7013200070841206</v>
      </c>
      <c r="F156" s="10">
        <f t="shared" si="19"/>
        <v>4.2039966110563043E-4</v>
      </c>
      <c r="G156" s="10">
        <f t="shared" si="16"/>
        <v>-1.0903247184906844</v>
      </c>
      <c r="H156" s="10">
        <f t="shared" si="17"/>
        <v>0.25155713671572122</v>
      </c>
      <c r="I156" s="10">
        <f t="shared" si="20"/>
        <v>2.7916473530897878E-5</v>
      </c>
      <c r="J156" s="20">
        <f t="shared" si="18"/>
        <v>0</v>
      </c>
      <c r="K156" s="10">
        <f t="shared" si="21"/>
        <v>2.4713258453545883E-4</v>
      </c>
      <c r="L156" s="10">
        <f t="shared" si="22"/>
        <v>1.4827955072149734E-4</v>
      </c>
    </row>
    <row r="157" spans="1:12" x14ac:dyDescent="0.2">
      <c r="A157" s="14">
        <v>9.1999999999999998E-2</v>
      </c>
      <c r="B157" s="10">
        <f t="shared" si="12"/>
        <v>-2.2894558015522528</v>
      </c>
      <c r="C157" s="10">
        <f t="shared" si="13"/>
        <v>0.93409796703331927</v>
      </c>
      <c r="D157" s="10">
        <f t="shared" si="14"/>
        <v>0.53165066732951605</v>
      </c>
      <c r="E157" s="10">
        <f t="shared" si="15"/>
        <v>1.7017389964921528</v>
      </c>
      <c r="F157" s="10">
        <f t="shared" si="19"/>
        <v>4.1898940803219986E-4</v>
      </c>
      <c r="G157" s="10">
        <f t="shared" si="16"/>
        <v>-1.0901769728031572</v>
      </c>
      <c r="H157" s="10">
        <f t="shared" si="17"/>
        <v>0.25158495472506193</v>
      </c>
      <c r="I157" s="10">
        <f t="shared" si="20"/>
        <v>2.7818009340707661E-5</v>
      </c>
      <c r="J157" s="20">
        <f t="shared" si="18"/>
        <v>0</v>
      </c>
      <c r="K157" s="10">
        <f t="shared" si="21"/>
        <v>2.4624281254537195E-4</v>
      </c>
      <c r="L157" s="10">
        <f t="shared" si="22"/>
        <v>1.4774568752717876E-4</v>
      </c>
    </row>
    <row r="158" spans="1:12" x14ac:dyDescent="0.2">
      <c r="A158" s="14">
        <v>9.2999999999999999E-2</v>
      </c>
      <c r="B158" s="10">
        <f t="shared" si="12"/>
        <v>-2.2775429569618808</v>
      </c>
      <c r="C158" s="10">
        <f t="shared" si="13"/>
        <v>0.92695998348348552</v>
      </c>
      <c r="D158" s="10">
        <f t="shared" si="14"/>
        <v>0.53189623119298401</v>
      </c>
      <c r="E158" s="10">
        <f t="shared" si="15"/>
        <v>1.7021569334077471</v>
      </c>
      <c r="F158" s="10">
        <f t="shared" si="19"/>
        <v>4.1793691559433022E-4</v>
      </c>
      <c r="G158" s="10">
        <f t="shared" si="16"/>
        <v>-1.0900296344850764</v>
      </c>
      <c r="H158" s="10">
        <f t="shared" si="17"/>
        <v>0.25161269806724335</v>
      </c>
      <c r="I158" s="10">
        <f t="shared" si="20"/>
        <v>2.7743342181418829E-5</v>
      </c>
      <c r="J158" s="20">
        <f t="shared" si="18"/>
        <v>0</v>
      </c>
      <c r="K158" s="10">
        <f t="shared" si="21"/>
        <v>2.4556386346796799E-4</v>
      </c>
      <c r="L158" s="10">
        <f t="shared" si="22"/>
        <v>1.4733831808078079E-4</v>
      </c>
    </row>
    <row r="159" spans="1:12" x14ac:dyDescent="0.2">
      <c r="A159" s="14">
        <v>9.4E-2</v>
      </c>
      <c r="B159" s="10">
        <f t="shared" si="12"/>
        <v>-2.2657445237729754</v>
      </c>
      <c r="C159" s="10">
        <f t="shared" si="13"/>
        <v>0.91989227665182804</v>
      </c>
      <c r="D159" s="10">
        <f t="shared" si="14"/>
        <v>0.53214131894586392</v>
      </c>
      <c r="E159" s="10">
        <f t="shared" si="15"/>
        <v>1.7025741623523687</v>
      </c>
      <c r="F159" s="10">
        <f t="shared" si="19"/>
        <v>4.1722894462159488E-4</v>
      </c>
      <c r="G159" s="10">
        <f t="shared" si="16"/>
        <v>-1.0898825818333484</v>
      </c>
      <c r="H159" s="10">
        <f t="shared" si="17"/>
        <v>0.25164038964416513</v>
      </c>
      <c r="I159" s="10">
        <f t="shared" si="20"/>
        <v>2.7691576921784478E-5</v>
      </c>
      <c r="J159" s="20">
        <f t="shared" si="18"/>
        <v>0</v>
      </c>
      <c r="K159" s="10">
        <f t="shared" si="21"/>
        <v>2.4508775287990225E-4</v>
      </c>
      <c r="L159" s="10">
        <f t="shared" si="22"/>
        <v>1.4705265172798576E-4</v>
      </c>
    </row>
    <row r="160" spans="1:12" x14ac:dyDescent="0.2">
      <c r="A160" s="14">
        <v>9.5000000000000001E-2</v>
      </c>
      <c r="B160" s="10">
        <f t="shared" si="12"/>
        <v>-2.2540580520993854</v>
      </c>
      <c r="C160" s="10">
        <f t="shared" si="13"/>
        <v>0.91289351110025119</v>
      </c>
      <c r="D160" s="10">
        <f t="shared" si="14"/>
        <v>0.53238612581005773</v>
      </c>
      <c r="E160" s="10">
        <f t="shared" si="15"/>
        <v>1.7029910152162508</v>
      </c>
      <c r="F160" s="10">
        <f t="shared" si="19"/>
        <v>4.1685286388215559E-4</v>
      </c>
      <c r="G160" s="10">
        <f t="shared" si="16"/>
        <v>-1.0897356977148318</v>
      </c>
      <c r="H160" s="10">
        <f t="shared" si="17"/>
        <v>0.25166805150379035</v>
      </c>
      <c r="I160" s="10">
        <f t="shared" si="20"/>
        <v>2.7661859625216501E-5</v>
      </c>
      <c r="J160" s="20">
        <f t="shared" si="18"/>
        <v>0</v>
      </c>
      <c r="K160" s="10">
        <f t="shared" si="21"/>
        <v>2.4480686419381392E-4</v>
      </c>
      <c r="L160" s="10">
        <f t="shared" si="22"/>
        <v>1.4688411851659922E-4</v>
      </c>
    </row>
    <row r="161" spans="1:12" x14ac:dyDescent="0.2">
      <c r="A161" s="14">
        <v>9.6000000000000002E-2</v>
      </c>
      <c r="B161" s="10">
        <f t="shared" si="12"/>
        <v>-2.2424811689243405</v>
      </c>
      <c r="C161" s="10">
        <f t="shared" si="13"/>
        <v>0.90596239224543362</v>
      </c>
      <c r="D161" s="10">
        <f t="shared" si="14"/>
        <v>0.53263083973854464</v>
      </c>
      <c r="E161" s="10">
        <f t="shared" si="15"/>
        <v>1.7034078118336511</v>
      </c>
      <c r="F161" s="10">
        <f t="shared" si="19"/>
        <v>4.167966174002391E-4</v>
      </c>
      <c r="G161" s="10">
        <f t="shared" si="16"/>
        <v>-1.08958886935774</v>
      </c>
      <c r="H161" s="10">
        <f t="shared" si="17"/>
        <v>0.25169570487909382</v>
      </c>
      <c r="I161" s="10">
        <f t="shared" si="20"/>
        <v>2.7653375303471339E-5</v>
      </c>
      <c r="J161" s="20">
        <f t="shared" si="18"/>
        <v>0</v>
      </c>
      <c r="K161" s="10">
        <f t="shared" si="21"/>
        <v>2.4471392848690598E-4</v>
      </c>
      <c r="L161" s="10">
        <f t="shared" si="22"/>
        <v>1.4682835709178832E-4</v>
      </c>
    </row>
    <row r="162" spans="1:12" x14ac:dyDescent="0.2">
      <c r="A162" s="14">
        <v>9.7000000000000003E-2</v>
      </c>
      <c r="B162" s="10">
        <f t="shared" si="12"/>
        <v>-2.2310115749136026</v>
      </c>
      <c r="C162" s="10">
        <f t="shared" si="13"/>
        <v>0.89909766469018193</v>
      </c>
      <c r="D162" s="10">
        <f t="shared" si="14"/>
        <v>0.53287564174416202</v>
      </c>
      <c r="E162" s="10">
        <f t="shared" si="15"/>
        <v>1.703824860527468</v>
      </c>
      <c r="F162" s="10">
        <f t="shared" si="19"/>
        <v>4.1704869381686827E-4</v>
      </c>
      <c r="G162" s="10">
        <f t="shared" si="16"/>
        <v>-1.0894419881543693</v>
      </c>
      <c r="H162" s="10">
        <f t="shared" si="17"/>
        <v>0.25172337022490754</v>
      </c>
      <c r="I162" s="10">
        <f t="shared" si="20"/>
        <v>2.7665345813721043E-5</v>
      </c>
      <c r="J162" s="20">
        <f t="shared" si="18"/>
        <v>0</v>
      </c>
      <c r="K162" s="10">
        <f t="shared" si="21"/>
        <v>2.4480200561738386E-4</v>
      </c>
      <c r="L162" s="10">
        <f t="shared" si="22"/>
        <v>1.4688120337069677E-4</v>
      </c>
    </row>
    <row r="163" spans="1:12" x14ac:dyDescent="0.2">
      <c r="A163" s="14">
        <v>9.8000000000000004E-2</v>
      </c>
      <c r="B163" s="10">
        <f t="shared" si="12"/>
        <v>-2.2196470413920517</v>
      </c>
      <c r="C163" s="10">
        <f t="shared" si="13"/>
        <v>0.89229811063960485</v>
      </c>
      <c r="D163" s="10">
        <f t="shared" si="14"/>
        <v>0.53312070621070307</v>
      </c>
      <c r="E163" s="10">
        <f t="shared" si="15"/>
        <v>1.7042424586251301</v>
      </c>
      <c r="F163" s="10">
        <f t="shared" si="19"/>
        <v>4.1759809766217515E-4</v>
      </c>
      <c r="G163" s="10">
        <f t="shared" si="16"/>
        <v>-1.0892949494744451</v>
      </c>
      <c r="H163" s="10">
        <f t="shared" si="17"/>
        <v>0.25175106725279439</v>
      </c>
      <c r="I163" s="10">
        <f t="shared" si="20"/>
        <v>2.7697027886852688E-5</v>
      </c>
      <c r="J163" s="20">
        <f t="shared" si="18"/>
        <v>0</v>
      </c>
      <c r="K163" s="10">
        <f t="shared" si="21"/>
        <v>2.4506446654104508E-4</v>
      </c>
      <c r="L163" s="10">
        <f t="shared" si="22"/>
        <v>1.4703867992427178E-4</v>
      </c>
    </row>
    <row r="164" spans="1:12" x14ac:dyDescent="0.2">
      <c r="A164" s="14">
        <v>9.9000000000000005E-2</v>
      </c>
      <c r="B164" s="10">
        <f t="shared" si="12"/>
        <v>-2.2083854074737479</v>
      </c>
      <c r="C164" s="10">
        <f t="shared" si="13"/>
        <v>0.8855625483969729</v>
      </c>
      <c r="D164" s="10">
        <f t="shared" si="14"/>
        <v>0.5333662011874406</v>
      </c>
      <c r="E164" s="10">
        <f t="shared" si="15"/>
        <v>1.704660892947526</v>
      </c>
      <c r="F164" s="10">
        <f t="shared" si="19"/>
        <v>4.1843432239585532E-4</v>
      </c>
      <c r="G164" s="10">
        <f t="shared" si="16"/>
        <v>-1.0891476524884023</v>
      </c>
      <c r="H164" s="10">
        <f t="shared" si="17"/>
        <v>0.25177881496407589</v>
      </c>
      <c r="I164" s="10">
        <f t="shared" si="20"/>
        <v>2.7747711281500553E-5</v>
      </c>
      <c r="J164" s="20">
        <f t="shared" si="18"/>
        <v>0</v>
      </c>
      <c r="K164" s="10">
        <f t="shared" si="21"/>
        <v>2.4549497673753695E-4</v>
      </c>
      <c r="L164" s="10">
        <f t="shared" si="22"/>
        <v>1.4729698604276642E-4</v>
      </c>
    </row>
    <row r="165" spans="1:12" x14ac:dyDescent="0.2">
      <c r="A165" s="14">
        <v>0.1</v>
      </c>
      <c r="B165" s="10">
        <f t="shared" si="12"/>
        <v>-2.1972245773362191</v>
      </c>
      <c r="C165" s="10">
        <f t="shared" si="13"/>
        <v>0.87888983093448769</v>
      </c>
      <c r="D165" s="10">
        <f t="shared" si="14"/>
        <v>0.53361228866811083</v>
      </c>
      <c r="E165" s="10">
        <f t="shared" si="15"/>
        <v>1.7050804402726234</v>
      </c>
      <c r="F165" s="10">
        <f t="shared" si="19"/>
        <v>4.1954732509741355E-4</v>
      </c>
      <c r="G165" s="10">
        <f t="shared" si="16"/>
        <v>-1.089</v>
      </c>
      <c r="H165" s="10">
        <f t="shared" si="17"/>
        <v>0.25180663168112516</v>
      </c>
      <c r="I165" s="10">
        <f t="shared" si="20"/>
        <v>2.7816717049267137E-5</v>
      </c>
      <c r="J165" s="20">
        <f t="shared" si="18"/>
        <v>0</v>
      </c>
      <c r="K165" s="10">
        <f t="shared" si="21"/>
        <v>2.4608748067023178E-4</v>
      </c>
      <c r="L165" s="10">
        <f t="shared" si="22"/>
        <v>1.4765248840231671E-4</v>
      </c>
    </row>
    <row r="166" spans="1:12" x14ac:dyDescent="0.2">
      <c r="A166" s="14">
        <v>0.10100000000000001</v>
      </c>
      <c r="B166" s="10">
        <f t="shared" si="12"/>
        <v>-2.1861625176303607</v>
      </c>
      <c r="C166" s="10">
        <f t="shared" si="13"/>
        <v>0.87227884453451399</v>
      </c>
      <c r="D166" s="10">
        <f t="shared" si="14"/>
        <v>0.5338591248553084</v>
      </c>
      <c r="E166" s="10">
        <f t="shared" si="15"/>
        <v>1.7055013677752981</v>
      </c>
      <c r="F166" s="10">
        <f t="shared" si="19"/>
        <v>4.2092750267475054E-4</v>
      </c>
      <c r="G166" s="10">
        <f t="shared" si="16"/>
        <v>-1.0888518982876816</v>
      </c>
      <c r="H166" s="10">
        <f t="shared" si="17"/>
        <v>0.25183453507703396</v>
      </c>
      <c r="I166" s="10">
        <f t="shared" si="20"/>
        <v>2.7903395908801532E-5</v>
      </c>
      <c r="J166" s="20">
        <f t="shared" si="18"/>
        <v>0</v>
      </c>
      <c r="K166" s="10">
        <f t="shared" si="21"/>
        <v>2.4683618719756328E-4</v>
      </c>
      <c r="L166" s="10">
        <f t="shared" si="22"/>
        <v>1.4810171231838254E-4</v>
      </c>
    </row>
    <row r="167" spans="1:12" x14ac:dyDescent="0.2">
      <c r="A167" s="14">
        <v>0.10199999999999999</v>
      </c>
      <c r="B167" s="10">
        <f t="shared" si="12"/>
        <v>-2.1751972550179284</v>
      </c>
      <c r="C167" s="10">
        <f t="shared" si="13"/>
        <v>0.86572850749713559</v>
      </c>
      <c r="D167" s="10">
        <f t="shared" si="14"/>
        <v>0.5341068604111916</v>
      </c>
      <c r="E167" s="10">
        <f t="shared" si="15"/>
        <v>1.7059239334448129</v>
      </c>
      <c r="F167" s="10">
        <f t="shared" si="19"/>
        <v>4.2256566951470731E-4</v>
      </c>
      <c r="G167" s="10">
        <f t="shared" si="16"/>
        <v>-1.0887032569541519</v>
      </c>
      <c r="H167" s="10">
        <f t="shared" si="17"/>
        <v>0.25186254220375109</v>
      </c>
      <c r="I167" s="10">
        <f t="shared" si="20"/>
        <v>2.8007126717133346E-5</v>
      </c>
      <c r="J167" s="20">
        <f t="shared" si="18"/>
        <v>0</v>
      </c>
      <c r="K167" s="10">
        <f t="shared" si="21"/>
        <v>2.4773555588319951E-4</v>
      </c>
      <c r="L167" s="10">
        <f t="shared" si="22"/>
        <v>1.4864133352965325E-4</v>
      </c>
    </row>
    <row r="168" spans="1:12" x14ac:dyDescent="0.2">
      <c r="A168" s="14">
        <v>0.10299999999999999</v>
      </c>
      <c r="B168" s="10">
        <f t="shared" si="12"/>
        <v>-2.1643268738291606</v>
      </c>
      <c r="C168" s="10">
        <f t="shared" si="13"/>
        <v>0.85923776891017678</v>
      </c>
      <c r="D168" s="10">
        <f t="shared" si="14"/>
        <v>0.53435564069531727</v>
      </c>
      <c r="E168" s="10">
        <f t="shared" si="15"/>
        <v>1.7063483864812563</v>
      </c>
      <c r="F168" s="10">
        <f t="shared" si="19"/>
        <v>4.2445303644345067E-4</v>
      </c>
      <c r="G168" s="10">
        <f t="shared" si="16"/>
        <v>-1.0885539887836764</v>
      </c>
      <c r="H168" s="10">
        <f t="shared" si="17"/>
        <v>0.25189066951878419</v>
      </c>
      <c r="I168" s="10">
        <f t="shared" si="20"/>
        <v>2.812731503309962E-5</v>
      </c>
      <c r="J168" s="20">
        <f t="shared" si="18"/>
        <v>0</v>
      </c>
      <c r="K168" s="10">
        <f t="shared" si="21"/>
        <v>2.4878028412567144E-4</v>
      </c>
      <c r="L168" s="10">
        <f t="shared" si="22"/>
        <v>1.4926817047555829E-4</v>
      </c>
    </row>
    <row r="169" spans="1:12" x14ac:dyDescent="0.2">
      <c r="A169" s="14">
        <v>0.104</v>
      </c>
      <c r="B169" s="10">
        <f t="shared" si="12"/>
        <v>-2.1535495138335579</v>
      </c>
      <c r="C169" s="10">
        <f t="shared" si="13"/>
        <v>0.85280560747808898</v>
      </c>
      <c r="D169" s="10">
        <f t="shared" si="14"/>
        <v>0.53460560599038309</v>
      </c>
      <c r="E169" s="10">
        <f t="shared" si="15"/>
        <v>1.7067749676721937</v>
      </c>
      <c r="F169" s="10">
        <f t="shared" si="19"/>
        <v>4.2658119093741398E-4</v>
      </c>
      <c r="G169" s="10">
        <f t="shared" si="16"/>
        <v>-1.0884040096066367</v>
      </c>
      <c r="H169" s="10">
        <f t="shared" si="17"/>
        <v>0.25191893291055079</v>
      </c>
      <c r="I169" s="10">
        <f t="shared" si="20"/>
        <v>2.8263391766591983E-5</v>
      </c>
      <c r="J169" s="20">
        <f t="shared" si="18"/>
        <v>0</v>
      </c>
      <c r="K169" s="10">
        <f t="shared" si="21"/>
        <v>2.4996529506582377E-4</v>
      </c>
      <c r="L169" s="10">
        <f t="shared" si="22"/>
        <v>1.4997917703962749E-4</v>
      </c>
    </row>
    <row r="170" spans="1:12" x14ac:dyDescent="0.2">
      <c r="A170" s="14">
        <v>0.105</v>
      </c>
      <c r="B170" s="10">
        <f t="shared" si="12"/>
        <v>-2.1428633681173319</v>
      </c>
      <c r="C170" s="10">
        <f t="shared" si="13"/>
        <v>0.84643103040634615</v>
      </c>
      <c r="D170" s="10">
        <f t="shared" si="14"/>
        <v>0.53485689171658868</v>
      </c>
      <c r="E170" s="10">
        <f t="shared" si="15"/>
        <v>1.7072039097506684</v>
      </c>
      <c r="F170" s="10">
        <f t="shared" si="19"/>
        <v>4.2894207847465893E-4</v>
      </c>
      <c r="G170" s="10">
        <f t="shared" si="16"/>
        <v>-1.0882532381709136</v>
      </c>
      <c r="H170" s="10">
        <f t="shared" si="17"/>
        <v>0.25194734772245836</v>
      </c>
      <c r="I170" s="10">
        <f t="shared" si="20"/>
        <v>2.8414811907573334E-5</v>
      </c>
      <c r="J170" s="20">
        <f t="shared" si="18"/>
        <v>0</v>
      </c>
      <c r="K170" s="10">
        <f t="shared" si="21"/>
        <v>2.5128572620558565E-4</v>
      </c>
      <c r="L170" s="10">
        <f t="shared" si="22"/>
        <v>1.5077143572317375E-4</v>
      </c>
    </row>
    <row r="171" spans="1:12" x14ac:dyDescent="0.2">
      <c r="A171" s="14">
        <v>0.106</v>
      </c>
      <c r="B171" s="10">
        <f t="shared" si="12"/>
        <v>-2.1322666810614468</v>
      </c>
      <c r="C171" s="10">
        <f t="shared" si="13"/>
        <v>0.84011307233821009</v>
      </c>
      <c r="D171" s="10">
        <f t="shared" si="14"/>
        <v>0.53510962863528944</v>
      </c>
      <c r="E171" s="10">
        <f t="shared" si="15"/>
        <v>1.7076354377356424</v>
      </c>
      <c r="F171" s="10">
        <f t="shared" si="19"/>
        <v>4.3152798497403388E-4</v>
      </c>
      <c r="G171" s="10">
        <f t="shared" si="16"/>
        <v>-1.0881015960196931</v>
      </c>
      <c r="H171" s="10">
        <f t="shared" si="17"/>
        <v>0.25197592877578767</v>
      </c>
      <c r="I171" s="10">
        <f t="shared" si="20"/>
        <v>2.8581053329312933E-5</v>
      </c>
      <c r="J171" s="20">
        <f t="shared" si="18"/>
        <v>0</v>
      </c>
      <c r="K171" s="10">
        <f t="shared" si="21"/>
        <v>2.5273691870075776E-4</v>
      </c>
      <c r="L171" s="10">
        <f t="shared" si="22"/>
        <v>1.5164215122043245E-4</v>
      </c>
    </row>
    <row r="172" spans="1:12" x14ac:dyDescent="0.2">
      <c r="A172" s="14">
        <v>0.107</v>
      </c>
      <c r="B172" s="10">
        <f t="shared" si="12"/>
        <v>-2.1217577464145929</v>
      </c>
      <c r="C172" s="10">
        <f t="shared" si="13"/>
        <v>0.83385079434093501</v>
      </c>
      <c r="D172" s="10">
        <f t="shared" si="14"/>
        <v>0.5353639430425664</v>
      </c>
      <c r="E172" s="10">
        <f t="shared" si="15"/>
        <v>1.7080697692558759</v>
      </c>
      <c r="F172" s="10">
        <f t="shared" si="19"/>
        <v>4.3433152023353294E-4</v>
      </c>
      <c r="G172" s="10">
        <f t="shared" si="16"/>
        <v>-1.0879490073753271</v>
      </c>
      <c r="H172" s="10">
        <f t="shared" si="17"/>
        <v>0.25200469039144835</v>
      </c>
      <c r="I172" s="10">
        <f t="shared" si="20"/>
        <v>2.8761615660677364E-5</v>
      </c>
      <c r="J172" s="20">
        <f t="shared" si="18"/>
        <v>0</v>
      </c>
      <c r="K172" s="10">
        <f t="shared" si="21"/>
        <v>2.5431440727696764E-4</v>
      </c>
      <c r="L172" s="10">
        <f t="shared" si="22"/>
        <v>1.5258864436606956E-4</v>
      </c>
    </row>
    <row r="173" spans="1:12" x14ac:dyDescent="0.2">
      <c r="A173" s="14">
        <v>0.108</v>
      </c>
      <c r="B173" s="10">
        <f t="shared" si="12"/>
        <v>-2.1113349054557897</v>
      </c>
      <c r="C173" s="10">
        <f t="shared" si="13"/>
        <v>0.82764328293866962</v>
      </c>
      <c r="D173" s="10">
        <f t="shared" si="14"/>
        <v>0.53561995695329256</v>
      </c>
      <c r="E173" s="10">
        <f t="shared" si="15"/>
        <v>1.7085071148581865</v>
      </c>
      <c r="F173" s="10">
        <f t="shared" si="19"/>
        <v>4.3734560231056818E-4</v>
      </c>
      <c r="G173" s="10">
        <f t="shared" si="16"/>
        <v>-1.0877953990288911</v>
      </c>
      <c r="H173" s="10">
        <f t="shared" si="17"/>
        <v>0.2520336464106725</v>
      </c>
      <c r="I173" s="10">
        <f t="shared" si="20"/>
        <v>2.8956019224146701E-5</v>
      </c>
      <c r="J173" s="20">
        <f t="shared" si="18"/>
        <v>0</v>
      </c>
      <c r="K173" s="10">
        <f t="shared" si="21"/>
        <v>2.5601391072616053E-4</v>
      </c>
      <c r="L173" s="10">
        <f t="shared" si="22"/>
        <v>1.5360834643596277E-4</v>
      </c>
    </row>
    <row r="174" spans="1:12" x14ac:dyDescent="0.2">
      <c r="A174" s="14">
        <v>0.109</v>
      </c>
      <c r="B174" s="10">
        <f t="shared" si="12"/>
        <v>-2.1009965452416655</v>
      </c>
      <c r="C174" s="10">
        <f t="shared" si="13"/>
        <v>0.82148964918949119</v>
      </c>
      <c r="D174" s="10">
        <f t="shared" si="14"/>
        <v>0.53587778827624111</v>
      </c>
      <c r="E174" s="10">
        <f t="shared" si="15"/>
        <v>1.7089476783009643</v>
      </c>
      <c r="F174" s="10">
        <f t="shared" si="19"/>
        <v>4.4056344277776383E-4</v>
      </c>
      <c r="G174" s="10">
        <f t="shared" si="16"/>
        <v>-1.0876407002351218</v>
      </c>
      <c r="H174" s="10">
        <f t="shared" si="17"/>
        <v>0.25206281021470517</v>
      </c>
      <c r="I174" s="10">
        <f t="shared" si="20"/>
        <v>2.9163804032672491E-5</v>
      </c>
      <c r="J174" s="20">
        <f t="shared" si="18"/>
        <v>0</v>
      </c>
      <c r="K174" s="10">
        <f t="shared" si="21"/>
        <v>2.5783132294854294E-4</v>
      </c>
      <c r="L174" s="10">
        <f t="shared" si="22"/>
        <v>1.546987937692812E-4</v>
      </c>
    </row>
    <row r="175" spans="1:12" x14ac:dyDescent="0.2">
      <c r="A175" s="14">
        <v>0.11</v>
      </c>
      <c r="B175" s="10">
        <f t="shared" si="12"/>
        <v>-2.0907410969337694</v>
      </c>
      <c r="C175" s="10">
        <f t="shared" si="13"/>
        <v>0.81538902780417011</v>
      </c>
      <c r="D175" s="10">
        <f t="shared" si="14"/>
        <v>0.53613755098074367</v>
      </c>
      <c r="E175" s="10">
        <f t="shared" si="15"/>
        <v>1.7093916568337688</v>
      </c>
      <c r="F175" s="10">
        <f t="shared" si="19"/>
        <v>4.4397853280453425E-4</v>
      </c>
      <c r="G175" s="10">
        <f t="shared" si="16"/>
        <v>-1.0874848426124206</v>
      </c>
      <c r="H175" s="10">
        <f t="shared" si="17"/>
        <v>0.25209219474355049</v>
      </c>
      <c r="I175" s="10">
        <f t="shared" si="20"/>
        <v>2.9384528845322055E-5</v>
      </c>
      <c r="J175" s="20">
        <f t="shared" si="18"/>
        <v>0</v>
      </c>
      <c r="K175" s="10">
        <f t="shared" si="21"/>
        <v>2.5976270450256411E-4</v>
      </c>
      <c r="L175" s="10">
        <f t="shared" si="22"/>
        <v>1.558576227012054E-4</v>
      </c>
    </row>
    <row r="176" spans="1:12" x14ac:dyDescent="0.2">
      <c r="A176" s="14">
        <v>0.111</v>
      </c>
      <c r="B176" s="10">
        <f t="shared" si="12"/>
        <v>-2.0805670342015703</v>
      </c>
      <c r="C176" s="10">
        <f t="shared" si="13"/>
        <v>0.80934057630441092</v>
      </c>
      <c r="D176" s="10">
        <f t="shared" si="14"/>
        <v>0.53639935525537585</v>
      </c>
      <c r="E176" s="10">
        <f t="shared" si="15"/>
        <v>1.7098392414637769</v>
      </c>
      <c r="F176" s="10">
        <f t="shared" si="19"/>
        <v>4.475846300080466E-4</v>
      </c>
      <c r="G176" s="10">
        <f t="shared" si="16"/>
        <v>-1.087327760047641</v>
      </c>
      <c r="H176" s="10">
        <f t="shared" si="17"/>
        <v>0.25212181251382476</v>
      </c>
      <c r="I176" s="10">
        <f t="shared" si="20"/>
        <v>2.9617770274270594E-5</v>
      </c>
      <c r="J176" s="20">
        <f t="shared" si="18"/>
        <v>0</v>
      </c>
      <c r="K176" s="10">
        <f t="shared" si="21"/>
        <v>2.6180427463218248E-4</v>
      </c>
      <c r="L176" s="10">
        <f t="shared" si="22"/>
        <v>1.5708256477964255E-4</v>
      </c>
    </row>
    <row r="177" spans="1:12" x14ac:dyDescent="0.2">
      <c r="A177" s="14">
        <v>0.112</v>
      </c>
      <c r="B177" s="10">
        <f t="shared" si="12"/>
        <v>-2.0704728716970755</v>
      </c>
      <c r="C177" s="10">
        <f t="shared" si="13"/>
        <v>0.8033434742184653</v>
      </c>
      <c r="D177" s="10">
        <f t="shared" si="14"/>
        <v>0.53666330765910963</v>
      </c>
      <c r="E177" s="10">
        <f t="shared" si="15"/>
        <v>1.7102906172097954</v>
      </c>
      <c r="F177" s="10">
        <f t="shared" si="19"/>
        <v>4.5137574601850083E-4</v>
      </c>
      <c r="G177" s="10">
        <f t="shared" si="16"/>
        <v>-1.0871693886054006</v>
      </c>
      <c r="H177" s="10">
        <f t="shared" si="17"/>
        <v>0.25215167563576557</v>
      </c>
      <c r="I177" s="10">
        <f t="shared" si="20"/>
        <v>2.9863121940809645E-5</v>
      </c>
      <c r="J177" s="20">
        <f t="shared" si="18"/>
        <v>0</v>
      </c>
      <c r="K177" s="10">
        <f t="shared" si="21"/>
        <v>2.6395240373378037E-4</v>
      </c>
      <c r="L177" s="10">
        <f t="shared" si="22"/>
        <v>1.5837144224040145E-4</v>
      </c>
    </row>
    <row r="178" spans="1:12" x14ac:dyDescent="0.2">
      <c r="A178" s="14">
        <v>0.113</v>
      </c>
      <c r="B178" s="10">
        <f t="shared" si="12"/>
        <v>-2.0604571635972388</v>
      </c>
      <c r="C178" s="10">
        <f t="shared" si="13"/>
        <v>0.79739692231213144</v>
      </c>
      <c r="D178" s="10">
        <f t="shared" si="14"/>
        <v>0.53692951126535748</v>
      </c>
      <c r="E178" s="10">
        <f t="shared" si="15"/>
        <v>1.710745963344531</v>
      </c>
      <c r="F178" s="10">
        <f t="shared" si="19"/>
        <v>4.5534613473563468E-4</v>
      </c>
      <c r="G178" s="10">
        <f t="shared" si="16"/>
        <v>-1.0870096664416522</v>
      </c>
      <c r="H178" s="10">
        <f t="shared" si="17"/>
        <v>0.25218179582944572</v>
      </c>
      <c r="I178" s="10">
        <f t="shared" si="20"/>
        <v>3.0120193680149843E-5</v>
      </c>
      <c r="J178" s="20">
        <f t="shared" si="18"/>
        <v>0</v>
      </c>
      <c r="K178" s="10">
        <f t="shared" si="21"/>
        <v>2.6620360624785011E-4</v>
      </c>
      <c r="L178" s="10">
        <f t="shared" si="22"/>
        <v>1.59722163748377E-4</v>
      </c>
    </row>
    <row r="179" spans="1:12" x14ac:dyDescent="0.2">
      <c r="A179" s="14">
        <v>0.114</v>
      </c>
      <c r="B179" s="10">
        <f t="shared" si="12"/>
        <v>-2.0505185022105854</v>
      </c>
      <c r="C179" s="10">
        <f t="shared" si="13"/>
        <v>0.79150014185328599</v>
      </c>
      <c r="D179" s="10">
        <f t="shared" si="14"/>
        <v>0.53719806579928786</v>
      </c>
      <c r="E179" s="10">
        <f t="shared" si="15"/>
        <v>1.711205453625728</v>
      </c>
      <c r="F179" s="10">
        <f t="shared" si="19"/>
        <v>4.5949028119696145E-4</v>
      </c>
      <c r="G179" s="10">
        <f t="shared" si="16"/>
        <v>-1.0868485337212941</v>
      </c>
      <c r="H179" s="10">
        <f t="shared" si="17"/>
        <v>0.25221218444023297</v>
      </c>
      <c r="I179" s="10">
        <f t="shared" si="20"/>
        <v>3.0388610787246417E-5</v>
      </c>
      <c r="J179" s="20">
        <f t="shared" si="18"/>
        <v>0</v>
      </c>
      <c r="K179" s="10">
        <f t="shared" si="21"/>
        <v>2.6855453393037632E-4</v>
      </c>
      <c r="L179" s="10">
        <f t="shared" si="22"/>
        <v>1.6113272035811477E-4</v>
      </c>
    </row>
    <row r="180" spans="1:12" x14ac:dyDescent="0.2">
      <c r="A180" s="14">
        <v>0.115</v>
      </c>
      <c r="B180" s="10">
        <f t="shared" si="12"/>
        <v>-2.0406555166446796</v>
      </c>
      <c r="C180" s="10">
        <f t="shared" si="13"/>
        <v>0.78565237390820164</v>
      </c>
      <c r="D180" s="10">
        <f t="shared" si="14"/>
        <v>0.53746906776878756</v>
      </c>
      <c r="E180" s="10">
        <f t="shared" si="15"/>
        <v>1.711669256516789</v>
      </c>
      <c r="F180" s="10">
        <f t="shared" si="19"/>
        <v>4.6380289106107142E-4</v>
      </c>
      <c r="G180" s="10">
        <f t="shared" si="16"/>
        <v>-1.0866859325395941</v>
      </c>
      <c r="H180" s="10">
        <f t="shared" si="17"/>
        <v>0.25224285245353745</v>
      </c>
      <c r="I180" s="10">
        <f t="shared" si="20"/>
        <v>3.0668013304480102E-5</v>
      </c>
      <c r="J180" s="20">
        <f t="shared" si="18"/>
        <v>0</v>
      </c>
      <c r="K180" s="10">
        <f t="shared" si="21"/>
        <v>2.7100196949969568E-4</v>
      </c>
      <c r="L180" s="10">
        <f t="shared" si="22"/>
        <v>1.6260118169997284E-4</v>
      </c>
    </row>
    <row r="181" spans="1:12" x14ac:dyDescent="0.2">
      <c r="A181" s="14">
        <v>0.11600000000000001</v>
      </c>
      <c r="B181" s="10">
        <f t="shared" si="12"/>
        <v>-2.0308668715312788</v>
      </c>
      <c r="C181" s="10">
        <f t="shared" si="13"/>
        <v>0.77985287866801101</v>
      </c>
      <c r="D181" s="10">
        <f t="shared" si="14"/>
        <v>0.53774261058940764</v>
      </c>
      <c r="E181" s="10">
        <f t="shared" si="15"/>
        <v>1.7121375353974282</v>
      </c>
      <c r="F181" s="10">
        <f t="shared" si="19"/>
        <v>4.6827888063916134E-4</v>
      </c>
      <c r="G181" s="10">
        <f t="shared" si="16"/>
        <v>-1.086521806847222</v>
      </c>
      <c r="H181" s="10">
        <f t="shared" si="17"/>
        <v>0.25227381050888492</v>
      </c>
      <c r="I181" s="10">
        <f t="shared" si="20"/>
        <v>3.09580553474742E-5</v>
      </c>
      <c r="J181" s="20">
        <f t="shared" si="18"/>
        <v>0</v>
      </c>
      <c r="K181" s="10">
        <f t="shared" si="21"/>
        <v>2.7354282062008739E-4</v>
      </c>
      <c r="L181" s="10">
        <f t="shared" si="22"/>
        <v>1.6412569237211905E-4</v>
      </c>
    </row>
    <row r="182" spans="1:12" x14ac:dyDescent="0.2">
      <c r="A182" s="14">
        <v>0.11700000000000001</v>
      </c>
      <c r="B182" s="10">
        <f t="shared" si="12"/>
        <v>-2.0211512658062039</v>
      </c>
      <c r="C182" s="10">
        <f t="shared" si="13"/>
        <v>0.77410093480377606</v>
      </c>
      <c r="D182" s="10">
        <f t="shared" si="14"/>
        <v>0.53801878470361653</v>
      </c>
      <c r="E182" s="10">
        <f t="shared" si="15"/>
        <v>1.7126104487648799</v>
      </c>
      <c r="F182" s="10">
        <f t="shared" si="19"/>
        <v>4.7291336745169943E-4</v>
      </c>
      <c r="G182" s="10">
        <f t="shared" si="16"/>
        <v>-1.0863561023786967</v>
      </c>
      <c r="H182" s="10">
        <f t="shared" si="17"/>
        <v>0.25230506891335203</v>
      </c>
      <c r="I182" s="10">
        <f t="shared" si="20"/>
        <v>3.1258404467104928E-5</v>
      </c>
      <c r="J182" s="20">
        <f t="shared" si="18"/>
        <v>0</v>
      </c>
      <c r="K182" s="10">
        <f t="shared" si="21"/>
        <v>2.7617411420888249E-4</v>
      </c>
      <c r="L182" s="10">
        <f t="shared" si="22"/>
        <v>1.6570446852526288E-4</v>
      </c>
    </row>
    <row r="183" spans="1:12" x14ac:dyDescent="0.2">
      <c r="A183" s="14">
        <v>0.11799999999999999</v>
      </c>
      <c r="B183" s="10">
        <f t="shared" si="12"/>
        <v>-2.0115074315411263</v>
      </c>
      <c r="C183" s="10">
        <f t="shared" si="13"/>
        <v>0.76839583884871032</v>
      </c>
      <c r="D183" s="10">
        <f t="shared" si="14"/>
        <v>0.53829767769466286</v>
      </c>
      <c r="E183" s="10">
        <f t="shared" si="15"/>
        <v>1.7130881504261593</v>
      </c>
      <c r="F183" s="10">
        <f t="shared" si="19"/>
        <v>4.7770166127936164E-4</v>
      </c>
      <c r="G183" s="10">
        <f t="shared" si="16"/>
        <v>-1.0861887665840688</v>
      </c>
      <c r="H183" s="10">
        <f t="shared" si="17"/>
        <v>0.25233663765439618</v>
      </c>
      <c r="I183" s="10">
        <f t="shared" si="20"/>
        <v>3.1568741044152304E-5</v>
      </c>
      <c r="J183" s="20">
        <f t="shared" si="18"/>
        <v>0</v>
      </c>
      <c r="K183" s="10">
        <f t="shared" si="21"/>
        <v>2.7889299104633114E-4</v>
      </c>
      <c r="L183" s="10">
        <f t="shared" si="22"/>
        <v>1.6733579462790971E-4</v>
      </c>
    </row>
    <row r="184" spans="1:12" x14ac:dyDescent="0.2">
      <c r="A184" s="14">
        <v>0.11899999999999999</v>
      </c>
      <c r="B184" s="10">
        <f t="shared" si="12"/>
        <v>-2.0019341328246503</v>
      </c>
      <c r="C184" s="10">
        <f t="shared" si="13"/>
        <v>0.76273690460619181</v>
      </c>
      <c r="D184" s="10">
        <f t="shared" si="14"/>
        <v>0.53857937439533055</v>
      </c>
      <c r="E184" s="10">
        <f t="shared" si="15"/>
        <v>1.7135707896818386</v>
      </c>
      <c r="F184" s="10">
        <f t="shared" si="19"/>
        <v>4.8263925567937349E-4</v>
      </c>
      <c r="G184" s="10">
        <f t="shared" si="16"/>
        <v>-1.0860197485636682</v>
      </c>
      <c r="H184" s="10">
        <f t="shared" si="17"/>
        <v>0.25236852641211316</v>
      </c>
      <c r="I184" s="10">
        <f t="shared" si="20"/>
        <v>3.1888757716980187E-5</v>
      </c>
      <c r="J184" s="20">
        <f t="shared" si="18"/>
        <v>0</v>
      </c>
      <c r="K184" s="10">
        <f t="shared" si="21"/>
        <v>2.8169670066768848E-4</v>
      </c>
      <c r="L184" s="10">
        <f t="shared" si="22"/>
        <v>1.6901802040059088E-4</v>
      </c>
    </row>
    <row r="185" spans="1:12" x14ac:dyDescent="0.2">
      <c r="A185" s="14">
        <v>0.12</v>
      </c>
      <c r="B185" s="10">
        <f t="shared" si="12"/>
        <v>-1.9924301646902063</v>
      </c>
      <c r="C185" s="10">
        <f t="shared" si="13"/>
        <v>0.75712346258227836</v>
      </c>
      <c r="D185" s="10">
        <f t="shared" si="14"/>
        <v>0.5388639569918553</v>
      </c>
      <c r="E185" s="10">
        <f t="shared" si="15"/>
        <v>1.7140585115017746</v>
      </c>
      <c r="F185" s="10">
        <f t="shared" si="19"/>
        <v>4.8772181993594899E-4</v>
      </c>
      <c r="G185" s="10">
        <f t="shared" si="16"/>
        <v>-1.0858489990057534</v>
      </c>
      <c r="H185" s="10">
        <f t="shared" si="17"/>
        <v>0.25240074457095113</v>
      </c>
      <c r="I185" s="10">
        <f t="shared" si="20"/>
        <v>3.2218158837971078E-5</v>
      </c>
      <c r="J185" s="20">
        <f t="shared" si="18"/>
        <v>0</v>
      </c>
      <c r="K185" s="10">
        <f t="shared" si="21"/>
        <v>2.8458259652475171E-4</v>
      </c>
      <c r="L185" s="10">
        <f t="shared" si="22"/>
        <v>1.7074955791485102E-4</v>
      </c>
    </row>
    <row r="186" spans="1:12" x14ac:dyDescent="0.2">
      <c r="A186" s="14">
        <v>0.121</v>
      </c>
      <c r="B186" s="10">
        <f t="shared" si="12"/>
        <v>-1.9829943520884359</v>
      </c>
      <c r="C186" s="10">
        <f t="shared" si="13"/>
        <v>0.75155485944151723</v>
      </c>
      <c r="D186" s="10">
        <f t="shared" si="14"/>
        <v>0.53915150512324939</v>
      </c>
      <c r="E186" s="10">
        <f t="shared" si="15"/>
        <v>1.7145514566931948</v>
      </c>
      <c r="F186" s="10">
        <f t="shared" si="19"/>
        <v>4.929451914201799E-4</v>
      </c>
      <c r="G186" s="10">
        <f t="shared" si="16"/>
        <v>-1.085676470126917</v>
      </c>
      <c r="H186" s="10">
        <f t="shared" si="17"/>
        <v>0.2524333012309099</v>
      </c>
      <c r="I186" s="10">
        <f t="shared" si="20"/>
        <v>3.2556659958771217E-5</v>
      </c>
      <c r="J186" s="20">
        <f t="shared" si="18"/>
        <v>0</v>
      </c>
      <c r="K186" s="10">
        <f t="shared" si="21"/>
        <v>2.8754813139408864E-4</v>
      </c>
      <c r="L186" s="10">
        <f t="shared" si="22"/>
        <v>1.7252887883634216E-4</v>
      </c>
    </row>
    <row r="187" spans="1:12" x14ac:dyDescent="0.2">
      <c r="A187" s="14">
        <v>0.122</v>
      </c>
      <c r="B187" s="10">
        <f t="shared" si="12"/>
        <v>-1.9736255489018601</v>
      </c>
      <c r="C187" s="10">
        <f t="shared" si="13"/>
        <v>0.74603045748490315</v>
      </c>
      <c r="D187" s="10">
        <f t="shared" si="14"/>
        <v>0.53944209597627346</v>
      </c>
      <c r="E187" s="10">
        <f t="shared" si="15"/>
        <v>1.7150497620615335</v>
      </c>
      <c r="F187" s="10">
        <f t="shared" si="19"/>
        <v>4.9830536833872507E-4</v>
      </c>
      <c r="G187" s="10">
        <f t="shared" si="16"/>
        <v>-1.0855021156151026</v>
      </c>
      <c r="H187" s="10">
        <f t="shared" si="17"/>
        <v>0.25246620521825053</v>
      </c>
      <c r="I187" s="10">
        <f t="shared" si="20"/>
        <v>3.2903987340626717E-5</v>
      </c>
      <c r="J187" s="20">
        <f t="shared" si="18"/>
        <v>0</v>
      </c>
      <c r="K187" s="10">
        <f t="shared" si="21"/>
        <v>2.9059085302407528E-4</v>
      </c>
      <c r="L187" s="10">
        <f t="shared" si="22"/>
        <v>1.7435451181446737E-4</v>
      </c>
    </row>
    <row r="188" spans="1:12" x14ac:dyDescent="0.2">
      <c r="A188" s="14">
        <v>0.123</v>
      </c>
      <c r="B188" s="10">
        <f t="shared" si="12"/>
        <v>-1.9643226369997655</v>
      </c>
      <c r="C188" s="10">
        <f t="shared" si="13"/>
        <v>0.74054963414891162</v>
      </c>
      <c r="D188" s="10">
        <f t="shared" si="14"/>
        <v>0.53973580437627833</v>
      </c>
      <c r="E188" s="10">
        <f t="shared" si="15"/>
        <v>1.7155535605643817</v>
      </c>
      <c r="F188" s="10">
        <f t="shared" si="19"/>
        <v>5.0379850284820726E-4</v>
      </c>
      <c r="G188" s="10">
        <f t="shared" si="16"/>
        <v>-1.0853258905750995</v>
      </c>
      <c r="H188" s="10">
        <f t="shared" si="17"/>
        <v>0.25249946509574217</v>
      </c>
      <c r="I188" s="10">
        <f t="shared" si="20"/>
        <v>3.3259877491642609E-5</v>
      </c>
      <c r="J188" s="20">
        <f t="shared" si="18"/>
        <v>0</v>
      </c>
      <c r="K188" s="10">
        <f t="shared" si="21"/>
        <v>2.937084000048662E-4</v>
      </c>
      <c r="L188" s="10">
        <f t="shared" si="22"/>
        <v>1.7622504000303074E-4</v>
      </c>
    </row>
    <row r="189" spans="1:12" x14ac:dyDescent="0.2">
      <c r="A189" s="14">
        <v>0.124</v>
      </c>
      <c r="B189" s="10">
        <f t="shared" si="12"/>
        <v>-1.9550845253313547</v>
      </c>
      <c r="C189" s="10">
        <f t="shared" si="13"/>
        <v>0.73511178152458934</v>
      </c>
      <c r="D189" s="10">
        <f t="shared" si="14"/>
        <v>0.54003270287412175</v>
      </c>
      <c r="E189" s="10">
        <f t="shared" si="15"/>
        <v>1.7160629814588904</v>
      </c>
      <c r="F189" s="10">
        <f t="shared" si="19"/>
        <v>5.0942089450867201E-4</v>
      </c>
      <c r="G189" s="10">
        <f t="shared" si="16"/>
        <v>-1.0851477514763934</v>
      </c>
      <c r="H189" s="10">
        <f t="shared" si="17"/>
        <v>0.25253308917246686</v>
      </c>
      <c r="I189" s="10">
        <f t="shared" si="20"/>
        <v>3.3624076724692031E-5</v>
      </c>
      <c r="J189" s="20">
        <f t="shared" si="18"/>
        <v>0</v>
      </c>
      <c r="K189" s="10">
        <f t="shared" si="21"/>
        <v>2.9689849784342304E-4</v>
      </c>
      <c r="L189" s="10">
        <f t="shared" si="22"/>
        <v>1.7813909870612044E-4</v>
      </c>
    </row>
    <row r="190" spans="1:12" x14ac:dyDescent="0.2">
      <c r="A190" s="14">
        <v>0.125</v>
      </c>
      <c r="B190" s="10">
        <f t="shared" si="12"/>
        <v>-1.9459101490553135</v>
      </c>
      <c r="C190" s="10">
        <f t="shared" si="13"/>
        <v>0.72971630589574255</v>
      </c>
      <c r="D190" s="10">
        <f t="shared" si="14"/>
        <v>0.54033286182936235</v>
      </c>
      <c r="E190" s="10">
        <f t="shared" si="15"/>
        <v>1.7165781504429563</v>
      </c>
      <c r="F190" s="10">
        <f t="shared" si="19"/>
        <v>5.1516898406589462E-4</v>
      </c>
      <c r="G190" s="10">
        <f t="shared" si="16"/>
        <v>-1.0849676561032493</v>
      </c>
      <c r="H190" s="10">
        <f t="shared" si="17"/>
        <v>0.25256708551320689</v>
      </c>
      <c r="I190" s="10">
        <f t="shared" si="20"/>
        <v>3.3996340740027886E-5</v>
      </c>
      <c r="J190" s="20">
        <f t="shared" si="18"/>
        <v>0</v>
      </c>
      <c r="K190" s="10">
        <f t="shared" si="21"/>
        <v>3.0015895524060365E-4</v>
      </c>
      <c r="L190" s="10">
        <f t="shared" si="22"/>
        <v>1.8009537314411794E-4</v>
      </c>
    </row>
    <row r="191" spans="1:12" x14ac:dyDescent="0.2">
      <c r="A191" s="14">
        <v>0.126</v>
      </c>
      <c r="B191" s="10">
        <f t="shared" si="12"/>
        <v>-1.9367984687040574</v>
      </c>
      <c r="C191" s="10">
        <f t="shared" si="13"/>
        <v>0.72436262729531742</v>
      </c>
      <c r="D191" s="10">
        <f t="shared" si="14"/>
        <v>0.54063634948991113</v>
      </c>
      <c r="E191" s="10">
        <f t="shared" si="15"/>
        <v>1.7170991897904904</v>
      </c>
      <c r="F191" s="10">
        <f t="shared" si="19"/>
        <v>5.2103934753411352E-4</v>
      </c>
      <c r="G191" s="10">
        <f t="shared" si="16"/>
        <v>-1.0847855635069199</v>
      </c>
      <c r="H191" s="10">
        <f t="shared" si="17"/>
        <v>0.25260146194743399</v>
      </c>
      <c r="I191" s="10">
        <f t="shared" si="20"/>
        <v>3.4376434227101349E-5</v>
      </c>
      <c r="J191" s="20">
        <f t="shared" si="18"/>
        <v>0</v>
      </c>
      <c r="K191" s="10">
        <f t="shared" si="21"/>
        <v>3.0348766054877352E-4</v>
      </c>
      <c r="L191" s="10">
        <f t="shared" si="22"/>
        <v>1.8209259632939734E-4</v>
      </c>
    </row>
    <row r="192" spans="1:12" x14ac:dyDescent="0.2">
      <c r="A192" s="14">
        <v>0.127</v>
      </c>
      <c r="B192" s="10">
        <f t="shared" si="12"/>
        <v>-1.927748469381011</v>
      </c>
      <c r="C192" s="10">
        <f t="shared" si="13"/>
        <v>0.71905017907911706</v>
      </c>
      <c r="D192" s="10">
        <f t="shared" si="14"/>
        <v>0.54094323206832085</v>
      </c>
      <c r="E192" s="10">
        <f t="shared" si="15"/>
        <v>1.7176262184810642</v>
      </c>
      <c r="F192" s="10">
        <f t="shared" si="19"/>
        <v>5.2702869057386081E-4</v>
      </c>
      <c r="G192" s="10">
        <f t="shared" si="16"/>
        <v>-1.084601433959874</v>
      </c>
      <c r="H192" s="10">
        <f t="shared" si="17"/>
        <v>0.25263622607791969</v>
      </c>
      <c r="I192" s="10">
        <f t="shared" si="20"/>
        <v>3.4764130485698264E-5</v>
      </c>
      <c r="J192" s="20">
        <f t="shared" si="18"/>
        <v>0</v>
      </c>
      <c r="K192" s="10">
        <f t="shared" si="21"/>
        <v>3.0688257840971733E-4</v>
      </c>
      <c r="L192" s="10">
        <f t="shared" si="22"/>
        <v>1.8412954704594142E-4</v>
      </c>
    </row>
    <row r="193" spans="1:12" x14ac:dyDescent="0.2">
      <c r="A193" s="14">
        <v>0.128</v>
      </c>
      <c r="B193" s="10">
        <f t="shared" si="12"/>
        <v>-1.9187591599893623</v>
      </c>
      <c r="C193" s="10">
        <f t="shared" si="13"/>
        <v>0.71377840751604282</v>
      </c>
      <c r="D193" s="10">
        <f t="shared" si="14"/>
        <v>0.54125357381487438</v>
      </c>
      <c r="E193" s="10">
        <f t="shared" si="15"/>
        <v>1.7181593523241989</v>
      </c>
      <c r="F193" s="10">
        <f t="shared" si="19"/>
        <v>5.3313384313469214E-4</v>
      </c>
      <c r="G193" s="10">
        <f t="shared" si="16"/>
        <v>-1.0844152289119418</v>
      </c>
      <c r="H193" s="10">
        <f t="shared" si="17"/>
        <v>0.25267138528898675</v>
      </c>
      <c r="I193" s="10">
        <f t="shared" si="20"/>
        <v>3.5159211067059548E-5</v>
      </c>
      <c r="J193" s="20">
        <f t="shared" si="18"/>
        <v>0</v>
      </c>
      <c r="K193" s="10">
        <f t="shared" si="21"/>
        <v>3.1034174655353297E-4</v>
      </c>
      <c r="L193" s="10">
        <f t="shared" si="22"/>
        <v>1.862050479322086E-4</v>
      </c>
    </row>
    <row r="194" spans="1:12" x14ac:dyDescent="0.2">
      <c r="A194" s="14">
        <v>0.129</v>
      </c>
      <c r="B194" s="10">
        <f t="shared" ref="B194:B257" si="23">LN(A194/(1-A194))</f>
        <v>-1.9098295724908305</v>
      </c>
      <c r="C194" s="10">
        <f t="shared" ref="C194:C257" si="24">(A194-0.5)*B194</f>
        <v>0.70854677139409816</v>
      </c>
      <c r="D194" s="10">
        <f t="shared" ref="D194:D257" si="25">$B$45+$B$46*B194+$B$47*C194</f>
        <v>0.54156743708762978</v>
      </c>
      <c r="E194" s="10">
        <f t="shared" ref="E194:E257" si="26">$B$14+EXP(D194)</f>
        <v>1.7186987040785604</v>
      </c>
      <c r="F194" s="10">
        <f t="shared" si="19"/>
        <v>5.3935175436148342E-4</v>
      </c>
      <c r="G194" s="10">
        <f t="shared" ref="G194:G257" si="27">$C$45+$C$46*B194+$C$47*C194</f>
        <v>-1.0842269109482887</v>
      </c>
      <c r="H194" s="10">
        <f t="shared" ref="H194:H257" si="28">$C$14+($C$15-$C$14)/(1+EXP(-G194))</f>
        <v>0.2527069467544179</v>
      </c>
      <c r="I194" s="10">
        <f t="shared" si="20"/>
        <v>3.5561465431155348E-5</v>
      </c>
      <c r="J194" s="20">
        <f t="shared" ref="J194:J257" si="29">G194-($B$22+$B$21*D194)</f>
        <v>0</v>
      </c>
      <c r="K194" s="10">
        <f t="shared" si="21"/>
        <v>3.1386327275539916E-4</v>
      </c>
      <c r="L194" s="10">
        <f t="shared" si="22"/>
        <v>1.8831796365303966E-4</v>
      </c>
    </row>
    <row r="195" spans="1:12" x14ac:dyDescent="0.2">
      <c r="A195" s="14">
        <v>0.13</v>
      </c>
      <c r="B195" s="10">
        <f t="shared" si="23"/>
        <v>-1.900958761193047</v>
      </c>
      <c r="C195" s="10">
        <f t="shared" si="24"/>
        <v>0.70335474164142742</v>
      </c>
      <c r="D195" s="10">
        <f t="shared" si="25"/>
        <v>0.54188488241957122</v>
      </c>
      <c r="E195" s="10">
        <f t="shared" si="26"/>
        <v>1.7192443835663045</v>
      </c>
      <c r="F195" s="10">
        <f t="shared" ref="F195:F258" si="30">E195-E194</f>
        <v>5.4567948774408848E-4</v>
      </c>
      <c r="G195" s="10">
        <f t="shared" si="27"/>
        <v>-1.0840364437491239</v>
      </c>
      <c r="H195" s="10">
        <f t="shared" si="28"/>
        <v>0.25274291744503913</v>
      </c>
      <c r="I195" s="10">
        <f t="shared" ref="I195:I258" si="31">H195-H194</f>
        <v>3.5970690621223156E-5</v>
      </c>
      <c r="J195" s="20">
        <f t="shared" si="29"/>
        <v>0</v>
      </c>
      <c r="K195" s="10">
        <f t="shared" ref="K195:K258" si="32">D195-D194</f>
        <v>3.1744533194144609E-4</v>
      </c>
      <c r="L195" s="10">
        <f t="shared" ref="L195:L258" si="33">G195-G194</f>
        <v>1.9046719916482324E-4</v>
      </c>
    </row>
    <row r="196" spans="1:12" x14ac:dyDescent="0.2">
      <c r="A196" s="14">
        <v>0.13100000000000001</v>
      </c>
      <c r="B196" s="10">
        <f t="shared" si="23"/>
        <v>-1.8921458020642405</v>
      </c>
      <c r="C196" s="10">
        <f t="shared" si="24"/>
        <v>0.6982018009617047</v>
      </c>
      <c r="D196" s="10">
        <f t="shared" si="25"/>
        <v>0.54220596858299996</v>
      </c>
      <c r="E196" s="10">
        <f t="shared" si="26"/>
        <v>1.7197964977827946</v>
      </c>
      <c r="F196" s="10">
        <f t="shared" si="30"/>
        <v>5.5211421649015158E-4</v>
      </c>
      <c r="G196" s="10">
        <f t="shared" si="27"/>
        <v>-1.0838437920510664</v>
      </c>
      <c r="H196" s="10">
        <f t="shared" si="28"/>
        <v>0.2527793041359922</v>
      </c>
      <c r="I196" s="10">
        <f t="shared" si="31"/>
        <v>3.6386690953071898E-5</v>
      </c>
      <c r="J196" s="20">
        <f t="shared" si="29"/>
        <v>0</v>
      </c>
      <c r="K196" s="10">
        <f t="shared" si="32"/>
        <v>3.2108616342874097E-4</v>
      </c>
      <c r="L196" s="10">
        <f t="shared" si="33"/>
        <v>1.9265169805748883E-4</v>
      </c>
    </row>
    <row r="197" spans="1:12" x14ac:dyDescent="0.2">
      <c r="A197" s="14">
        <v>0.13200000000000001</v>
      </c>
      <c r="B197" s="10">
        <f t="shared" si="23"/>
        <v>-1.8833897920739793</v>
      </c>
      <c r="C197" s="10">
        <f t="shared" si="24"/>
        <v>0.69308744348322437</v>
      </c>
      <c r="D197" s="10">
        <f t="shared" si="25"/>
        <v>0.54253075265130246</v>
      </c>
      <c r="E197" s="10">
        <f t="shared" si="26"/>
        <v>1.7203551510019188</v>
      </c>
      <c r="F197" s="10">
        <f t="shared" si="30"/>
        <v>5.5865321912418331E-4</v>
      </c>
      <c r="G197" s="10">
        <f t="shared" si="27"/>
        <v>-1.0836489216100849</v>
      </c>
      <c r="H197" s="10">
        <f t="shared" si="28"/>
        <v>0.25281611341371218</v>
      </c>
      <c r="I197" s="10">
        <f t="shared" si="31"/>
        <v>3.6809277719984657E-5</v>
      </c>
      <c r="J197" s="20">
        <f t="shared" si="29"/>
        <v>0</v>
      </c>
      <c r="K197" s="10">
        <f t="shared" si="32"/>
        <v>3.2478406830249718E-4</v>
      </c>
      <c r="L197" s="10">
        <f t="shared" si="33"/>
        <v>1.9487044098154271E-4</v>
      </c>
    </row>
    <row r="198" spans="1:12" x14ac:dyDescent="0.2">
      <c r="A198" s="14">
        <v>0.13300000000000001</v>
      </c>
      <c r="B198" s="10">
        <f t="shared" si="23"/>
        <v>-1.8746898485587882</v>
      </c>
      <c r="C198" s="10">
        <f t="shared" si="24"/>
        <v>0.68801117442107529</v>
      </c>
      <c r="D198" s="10">
        <f t="shared" si="25"/>
        <v>0.54285929005821498</v>
      </c>
      <c r="E198" s="10">
        <f t="shared" si="26"/>
        <v>1.7209204448772049</v>
      </c>
      <c r="F198" s="10">
        <f t="shared" si="30"/>
        <v>5.6529387528603259E-4</v>
      </c>
      <c r="G198" s="10">
        <f t="shared" si="27"/>
        <v>-1.0834517991659376</v>
      </c>
      <c r="H198" s="10">
        <f t="shared" si="28"/>
        <v>0.25285335168262324</v>
      </c>
      <c r="I198" s="10">
        <f t="shared" si="31"/>
        <v>3.7238268911055084E-5</v>
      </c>
      <c r="J198" s="20">
        <f t="shared" si="29"/>
        <v>0</v>
      </c>
      <c r="K198" s="10">
        <f t="shared" si="32"/>
        <v>3.2853740691252131E-4</v>
      </c>
      <c r="L198" s="10">
        <f t="shared" si="33"/>
        <v>1.9712244414726854E-4</v>
      </c>
    </row>
    <row r="199" spans="1:12" x14ac:dyDescent="0.2">
      <c r="A199" s="14">
        <v>0.13400000000000001</v>
      </c>
      <c r="B199" s="10">
        <f t="shared" si="23"/>
        <v>-1.8660451086115237</v>
      </c>
      <c r="C199" s="10">
        <f t="shared" si="24"/>
        <v>0.68297250975181767</v>
      </c>
      <c r="D199" s="10">
        <f t="shared" si="25"/>
        <v>0.54319163465470699</v>
      </c>
      <c r="E199" s="10">
        <f t="shared" si="26"/>
        <v>1.7214924785389354</v>
      </c>
      <c r="F199" s="10">
        <f t="shared" si="30"/>
        <v>5.7203366173053105E-4</v>
      </c>
      <c r="G199" s="10">
        <f t="shared" si="27"/>
        <v>-1.0832523924080422</v>
      </c>
      <c r="H199" s="10">
        <f t="shared" si="28"/>
        <v>0.25289102517156636</v>
      </c>
      <c r="I199" s="10">
        <f t="shared" si="31"/>
        <v>3.7673488943124056E-5</v>
      </c>
      <c r="J199" s="20">
        <f t="shared" si="29"/>
        <v>0</v>
      </c>
      <c r="K199" s="10">
        <f t="shared" si="32"/>
        <v>3.3234459649200687E-4</v>
      </c>
      <c r="L199" s="10">
        <f t="shared" si="33"/>
        <v>1.9940675789542617E-4</v>
      </c>
    </row>
    <row r="200" spans="1:12" x14ac:dyDescent="0.2">
      <c r="A200" s="14">
        <v>0.13500000000000001</v>
      </c>
      <c r="B200" s="10">
        <f t="shared" si="23"/>
        <v>-1.8574547284934499</v>
      </c>
      <c r="C200" s="10">
        <f t="shared" si="24"/>
        <v>0.67797097590010924</v>
      </c>
      <c r="D200" s="10">
        <f t="shared" si="25"/>
        <v>0.54352783876359168</v>
      </c>
      <c r="E200" s="10">
        <f t="shared" si="26"/>
        <v>1.7220713486874428</v>
      </c>
      <c r="F200" s="10">
        <f t="shared" si="30"/>
        <v>5.7887014850743768E-4</v>
      </c>
      <c r="G200" s="10">
        <f t="shared" si="27"/>
        <v>-1.0830506699427114</v>
      </c>
      <c r="H200" s="10">
        <f t="shared" si="28"/>
        <v>0.25292913993997074</v>
      </c>
      <c r="I200" s="10">
        <f t="shared" si="31"/>
        <v>3.8114768404373667E-5</v>
      </c>
      <c r="J200" s="20">
        <f t="shared" si="29"/>
        <v>0</v>
      </c>
      <c r="K200" s="10">
        <f t="shared" si="32"/>
        <v>3.3620410888468566E-4</v>
      </c>
      <c r="L200" s="10">
        <f t="shared" si="33"/>
        <v>2.0172246533078919E-4</v>
      </c>
    </row>
    <row r="201" spans="1:12" x14ac:dyDescent="0.2">
      <c r="A201" s="14">
        <v>0.13600000000000001</v>
      </c>
      <c r="B201" s="10">
        <f t="shared" si="23"/>
        <v>-1.8489178830680035</v>
      </c>
      <c r="C201" s="10">
        <f t="shared" si="24"/>
        <v>0.67300610943675332</v>
      </c>
      <c r="D201" s="10">
        <f t="shared" si="25"/>
        <v>0.54386795323196813</v>
      </c>
      <c r="E201" s="10">
        <f t="shared" si="26"/>
        <v>1.7226571496827581</v>
      </c>
      <c r="F201" s="10">
        <f t="shared" si="30"/>
        <v>5.8580099531524432E-4</v>
      </c>
      <c r="G201" s="10">
        <f t="shared" si="27"/>
        <v>-1.0828466012616855</v>
      </c>
      <c r="H201" s="10">
        <f t="shared" si="28"/>
        <v>0.25296770188378143</v>
      </c>
      <c r="I201" s="10">
        <f t="shared" si="31"/>
        <v>3.8561943810688781E-5</v>
      </c>
      <c r="J201" s="20">
        <f t="shared" si="29"/>
        <v>0</v>
      </c>
      <c r="K201" s="10">
        <f t="shared" si="32"/>
        <v>3.4011446837645121E-4</v>
      </c>
      <c r="L201" s="10">
        <f t="shared" si="33"/>
        <v>2.0406868102584852E-4</v>
      </c>
    </row>
    <row r="202" spans="1:12" x14ac:dyDescent="0.2">
      <c r="A202" s="14">
        <v>0.13700000000000001</v>
      </c>
      <c r="B202" s="10">
        <f t="shared" si="23"/>
        <v>-1.8404337652553029</v>
      </c>
      <c r="C202" s="10">
        <f t="shared" si="24"/>
        <v>0.66807745678767494</v>
      </c>
      <c r="D202" s="10">
        <f t="shared" si="25"/>
        <v>0.54421202748159914</v>
      </c>
      <c r="E202" s="10">
        <f t="shared" si="26"/>
        <v>1.7232499736307856</v>
      </c>
      <c r="F202" s="10">
        <f t="shared" si="30"/>
        <v>5.9282394802750993E-4</v>
      </c>
      <c r="G202" s="10">
        <f t="shared" si="27"/>
        <v>-1.0826401567119071</v>
      </c>
      <c r="H202" s="10">
        <f t="shared" si="28"/>
        <v>0.25300671674115438</v>
      </c>
      <c r="I202" s="10">
        <f t="shared" si="31"/>
        <v>3.9014857372954292E-5</v>
      </c>
      <c r="J202" s="20">
        <f t="shared" si="29"/>
        <v>0</v>
      </c>
      <c r="K202" s="10">
        <f t="shared" si="32"/>
        <v>3.4407424963101008E-4</v>
      </c>
      <c r="L202" s="10">
        <f t="shared" si="33"/>
        <v>2.0644454977847282E-4</v>
      </c>
    </row>
    <row r="203" spans="1:12" x14ac:dyDescent="0.2">
      <c r="A203" s="14">
        <v>0.13800000000000001</v>
      </c>
      <c r="B203" s="10">
        <f t="shared" si="23"/>
        <v>-1.8320015855064884</v>
      </c>
      <c r="C203" s="10">
        <f t="shared" si="24"/>
        <v>0.66318457395334873</v>
      </c>
      <c r="D203" s="10">
        <f t="shared" si="25"/>
        <v>0.54456010955731438</v>
      </c>
      <c r="E203" s="10">
        <f t="shared" si="26"/>
        <v>1.7238499104661553</v>
      </c>
      <c r="F203" s="10">
        <f t="shared" si="30"/>
        <v>5.9993683536974096E-4</v>
      </c>
      <c r="G203" s="10">
        <f t="shared" si="27"/>
        <v>-1.0824313074664778</v>
      </c>
      <c r="H203" s="10">
        <f t="shared" si="28"/>
        <v>0.25304619009792872</v>
      </c>
      <c r="I203" s="10">
        <f t="shared" si="31"/>
        <v>3.9473356774344381E-5</v>
      </c>
      <c r="J203" s="20">
        <f t="shared" si="29"/>
        <v>0</v>
      </c>
      <c r="K203" s="10">
        <f t="shared" si="32"/>
        <v>3.4808207571523919E-4</v>
      </c>
      <c r="L203" s="10">
        <f t="shared" si="33"/>
        <v>2.0884924542929895E-4</v>
      </c>
    </row>
    <row r="204" spans="1:12" x14ac:dyDescent="0.2">
      <c r="A204" s="14">
        <v>0.13900000000000001</v>
      </c>
      <c r="B204" s="10">
        <f t="shared" si="23"/>
        <v>-1.823620571297039</v>
      </c>
      <c r="C204" s="10">
        <f t="shared" si="24"/>
        <v>0.65832702623823103</v>
      </c>
      <c r="D204" s="10">
        <f t="shared" si="25"/>
        <v>0.5449122461735324</v>
      </c>
      <c r="E204" s="10">
        <f t="shared" si="26"/>
        <v>1.7244570480319048</v>
      </c>
      <c r="F204" s="10">
        <f t="shared" si="30"/>
        <v>6.0713756574948263E-4</v>
      </c>
      <c r="G204" s="10">
        <f t="shared" si="27"/>
        <v>-1.0822200254967469</v>
      </c>
      <c r="H204" s="10">
        <f t="shared" si="28"/>
        <v>0.25308612739288711</v>
      </c>
      <c r="I204" s="10">
        <f t="shared" si="31"/>
        <v>3.9937294958380942E-5</v>
      </c>
      <c r="J204" s="20">
        <f t="shared" si="29"/>
        <v>0</v>
      </c>
      <c r="K204" s="10">
        <f t="shared" si="32"/>
        <v>3.5213661621802395E-4</v>
      </c>
      <c r="L204" s="10">
        <f t="shared" si="33"/>
        <v>2.1128196973085878E-4</v>
      </c>
    </row>
    <row r="205" spans="1:12" x14ac:dyDescent="0.2">
      <c r="A205" s="14">
        <v>0.14000000000000001</v>
      </c>
      <c r="B205" s="10">
        <f t="shared" si="23"/>
        <v>-1.8152899666382492</v>
      </c>
      <c r="C205" s="10">
        <f t="shared" si="24"/>
        <v>0.65350438798976962</v>
      </c>
      <c r="D205" s="10">
        <f t="shared" si="25"/>
        <v>0.54526848275898254</v>
      </c>
      <c r="E205" s="10">
        <f t="shared" si="26"/>
        <v>1.7250714721561293</v>
      </c>
      <c r="F205" s="10">
        <f t="shared" si="30"/>
        <v>6.1442412422452186E-4</v>
      </c>
      <c r="G205" s="10">
        <f t="shared" si="27"/>
        <v>-1.0820062835454767</v>
      </c>
      <c r="H205" s="10">
        <f t="shared" si="28"/>
        <v>0.25312653392281365</v>
      </c>
      <c r="I205" s="10">
        <f t="shared" si="31"/>
        <v>4.0406529926539925E-5</v>
      </c>
      <c r="J205" s="20">
        <f t="shared" si="29"/>
        <v>0</v>
      </c>
      <c r="K205" s="10">
        <f t="shared" si="32"/>
        <v>3.5623658545014258E-4</v>
      </c>
      <c r="L205" s="10">
        <f t="shared" si="33"/>
        <v>2.1374195127021878E-4</v>
      </c>
    </row>
    <row r="206" spans="1:12" x14ac:dyDescent="0.2">
      <c r="A206" s="14">
        <v>0.14099999999999999</v>
      </c>
      <c r="B206" s="10">
        <f t="shared" si="23"/>
        <v>-1.8070090316060872</v>
      </c>
      <c r="C206" s="10">
        <f t="shared" si="24"/>
        <v>0.64871624234658531</v>
      </c>
      <c r="D206" s="10">
        <f t="shared" si="25"/>
        <v>0.54562886349971285</v>
      </c>
      <c r="E206" s="10">
        <f t="shared" si="26"/>
        <v>1.7256932667257419</v>
      </c>
      <c r="F206" s="10">
        <f t="shared" si="30"/>
        <v>6.2179456961253265E-4</v>
      </c>
      <c r="G206" s="10">
        <f t="shared" si="27"/>
        <v>-1.0817900551010387</v>
      </c>
      <c r="H206" s="10">
        <f t="shared" si="28"/>
        <v>0.25316741484735772</v>
      </c>
      <c r="I206" s="10">
        <f t="shared" si="31"/>
        <v>4.0880924544073327E-5</v>
      </c>
      <c r="J206" s="20">
        <f t="shared" si="29"/>
        <v>0</v>
      </c>
      <c r="K206" s="10">
        <f t="shared" si="32"/>
        <v>3.6038074073030391E-4</v>
      </c>
      <c r="L206" s="10">
        <f t="shared" si="33"/>
        <v>2.1622844443802691E-4</v>
      </c>
    </row>
    <row r="207" spans="1:12" x14ac:dyDescent="0.2">
      <c r="A207" s="14">
        <v>0.14199999999999999</v>
      </c>
      <c r="B207" s="10">
        <f t="shared" si="23"/>
        <v>-1.7987770418867017</v>
      </c>
      <c r="C207" s="10">
        <f t="shared" si="24"/>
        <v>0.64396218099543923</v>
      </c>
      <c r="D207" s="10">
        <f t="shared" si="25"/>
        <v>0.54599343138045375</v>
      </c>
      <c r="E207" s="10">
        <f t="shared" si="26"/>
        <v>1.72632251375746</v>
      </c>
      <c r="F207" s="10">
        <f t="shared" si="30"/>
        <v>6.2924703171818308E-4</v>
      </c>
      <c r="G207" s="10">
        <f t="shared" si="27"/>
        <v>-1.0815713143725942</v>
      </c>
      <c r="H207" s="10">
        <f t="shared" si="28"/>
        <v>0.25320877519371349</v>
      </c>
      <c r="I207" s="10">
        <f t="shared" si="31"/>
        <v>4.1360346355767685E-5</v>
      </c>
      <c r="J207" s="20">
        <f t="shared" si="29"/>
        <v>0</v>
      </c>
      <c r="K207" s="10">
        <f t="shared" si="32"/>
        <v>3.6456788074090696E-4</v>
      </c>
      <c r="L207" s="10">
        <f t="shared" si="33"/>
        <v>2.1874072844441095E-4</v>
      </c>
    </row>
    <row r="208" spans="1:12" x14ac:dyDescent="0.2">
      <c r="A208" s="14">
        <v>0.14299999999999999</v>
      </c>
      <c r="B208" s="10">
        <f t="shared" si="23"/>
        <v>-1.7905932883378726</v>
      </c>
      <c r="C208" s="10">
        <f t="shared" si="24"/>
        <v>0.63924180393662045</v>
      </c>
      <c r="D208" s="10">
        <f t="shared" si="25"/>
        <v>0.54636222822441616</v>
      </c>
      <c r="E208" s="10">
        <f t="shared" si="26"/>
        <v>1.7269592934661511</v>
      </c>
      <c r="F208" s="10">
        <f t="shared" si="30"/>
        <v>6.3677970869102651E-4</v>
      </c>
      <c r="G208" s="10">
        <f t="shared" si="27"/>
        <v>-1.0813500362662167</v>
      </c>
      <c r="H208" s="10">
        <f t="shared" si="28"/>
        <v>0.25325061986112191</v>
      </c>
      <c r="I208" s="10">
        <f t="shared" si="31"/>
        <v>4.1844667408419411E-5</v>
      </c>
      <c r="J208" s="20">
        <f t="shared" si="29"/>
        <v>0</v>
      </c>
      <c r="K208" s="10">
        <f t="shared" si="32"/>
        <v>3.6879684396240453E-4</v>
      </c>
      <c r="L208" s="10">
        <f t="shared" si="33"/>
        <v>2.2127810637750933E-4</v>
      </c>
    </row>
    <row r="209" spans="1:12" x14ac:dyDescent="0.2">
      <c r="A209" s="14">
        <v>0.14399999999999999</v>
      </c>
      <c r="B209" s="10">
        <f t="shared" si="23"/>
        <v>-1.7824570765657415</v>
      </c>
      <c r="C209" s="10">
        <f t="shared" si="24"/>
        <v>0.63455471925740392</v>
      </c>
      <c r="D209" s="10">
        <f t="shared" si="25"/>
        <v>0.54673529473158922</v>
      </c>
      <c r="E209" s="10">
        <f t="shared" si="26"/>
        <v>1.7276036843306453</v>
      </c>
      <c r="F209" s="10">
        <f t="shared" si="30"/>
        <v>6.4439086449419314E-4</v>
      </c>
      <c r="G209" s="10">
        <f t="shared" si="27"/>
        <v>-1.0811261963619128</v>
      </c>
      <c r="H209" s="10">
        <f t="shared" si="28"/>
        <v>0.2532929536252041</v>
      </c>
      <c r="I209" s="10">
        <f t="shared" si="31"/>
        <v>4.2333764082191916E-5</v>
      </c>
      <c r="J209" s="20">
        <f t="shared" si="29"/>
        <v>0</v>
      </c>
      <c r="K209" s="10">
        <f t="shared" si="32"/>
        <v>3.7306650717305878E-4</v>
      </c>
      <c r="L209" s="10">
        <f t="shared" si="33"/>
        <v>2.238399043039685E-4</v>
      </c>
    </row>
    <row r="210" spans="1:12" x14ac:dyDescent="0.2">
      <c r="A210" s="14">
        <v>0.14499999999999999</v>
      </c>
      <c r="B210" s="10">
        <f t="shared" si="23"/>
        <v>-1.7743677265161859</v>
      </c>
      <c r="C210" s="10">
        <f t="shared" si="24"/>
        <v>0.62990054291324593</v>
      </c>
      <c r="D210" s="10">
        <f t="shared" si="25"/>
        <v>0.54711267051560353</v>
      </c>
      <c r="E210" s="10">
        <f t="shared" si="26"/>
        <v>1.728255763157126</v>
      </c>
      <c r="F210" s="10">
        <f t="shared" si="30"/>
        <v>6.5207882648077309E-4</v>
      </c>
      <c r="G210" s="10">
        <f t="shared" si="27"/>
        <v>-1.0808997708915045</v>
      </c>
      <c r="H210" s="10">
        <f t="shared" si="28"/>
        <v>0.25333578114213262</v>
      </c>
      <c r="I210" s="10">
        <f t="shared" si="31"/>
        <v>4.2827516928523046E-5</v>
      </c>
      <c r="J210" s="20">
        <f t="shared" si="29"/>
        <v>0</v>
      </c>
      <c r="K210" s="10">
        <f t="shared" si="32"/>
        <v>3.7737578401431104E-4</v>
      </c>
      <c r="L210" s="10">
        <f t="shared" si="33"/>
        <v>2.2642547040829797E-4</v>
      </c>
    </row>
    <row r="211" spans="1:12" x14ac:dyDescent="0.2">
      <c r="A211" s="14">
        <v>0.14599999999999999</v>
      </c>
      <c r="B211" s="10">
        <f t="shared" si="23"/>
        <v>-1.7663245720802334</v>
      </c>
      <c r="C211" s="10">
        <f t="shared" si="24"/>
        <v>0.62527889851640261</v>
      </c>
      <c r="D211" s="10">
        <f t="shared" si="25"/>
        <v>0.54749439413922563</v>
      </c>
      <c r="E211" s="10">
        <f t="shared" si="26"/>
        <v>1.7289156051402081</v>
      </c>
      <c r="F211" s="10">
        <f t="shared" si="30"/>
        <v>6.5984198308211006E-4</v>
      </c>
      <c r="G211" s="10">
        <f t="shared" si="27"/>
        <v>-1.0806707367173309</v>
      </c>
      <c r="H211" s="10">
        <f t="shared" si="28"/>
        <v>0.25337910695264881</v>
      </c>
      <c r="I211" s="10">
        <f t="shared" si="31"/>
        <v>4.3325810516192664E-5</v>
      </c>
      <c r="J211" s="20">
        <f t="shared" si="29"/>
        <v>0</v>
      </c>
      <c r="K211" s="10">
        <f t="shared" si="32"/>
        <v>3.8172362362209888E-4</v>
      </c>
      <c r="L211" s="10">
        <f t="shared" si="33"/>
        <v>2.2903417417352578E-4</v>
      </c>
    </row>
    <row r="212" spans="1:12" x14ac:dyDescent="0.2">
      <c r="A212" s="14">
        <v>0.14699999999999999</v>
      </c>
      <c r="B212" s="10">
        <f t="shared" si="23"/>
        <v>-1.7583269607129428</v>
      </c>
      <c r="C212" s="10">
        <f t="shared" si="24"/>
        <v>0.62068941713166881</v>
      </c>
      <c r="D212" s="10">
        <f t="shared" si="25"/>
        <v>0.54788050314853554</v>
      </c>
      <c r="E212" s="10">
        <f t="shared" si="26"/>
        <v>1.7295832839217911</v>
      </c>
      <c r="F212" s="10">
        <f t="shared" si="30"/>
        <v>6.6767878158291438E-4</v>
      </c>
      <c r="G212" s="10">
        <f t="shared" si="27"/>
        <v>-1.0804390713117451</v>
      </c>
      <c r="H212" s="10">
        <f t="shared" si="28"/>
        <v>0.25342293548593042</v>
      </c>
      <c r="I212" s="10">
        <f t="shared" si="31"/>
        <v>4.3828533281609072E-5</v>
      </c>
      <c r="J212" s="20">
        <f t="shared" si="29"/>
        <v>0</v>
      </c>
      <c r="K212" s="10">
        <f t="shared" si="32"/>
        <v>3.8610900930990955E-4</v>
      </c>
      <c r="L212" s="10">
        <f t="shared" si="33"/>
        <v>2.316654055858347E-4</v>
      </c>
    </row>
    <row r="213" spans="1:12" x14ac:dyDescent="0.2">
      <c r="A213" s="14">
        <v>0.14799999999999999</v>
      </c>
      <c r="B213" s="10">
        <f t="shared" si="23"/>
        <v>-1.7503742530652007</v>
      </c>
      <c r="C213" s="10">
        <f t="shared" si="24"/>
        <v>0.61613173707895064</v>
      </c>
      <c r="D213" s="10">
        <f t="shared" si="25"/>
        <v>0.54827103410585232</v>
      </c>
      <c r="E213" s="10">
        <f t="shared" si="26"/>
        <v>1.7302588716477942</v>
      </c>
      <c r="F213" s="10">
        <f t="shared" si="30"/>
        <v>6.7558772600317951E-4</v>
      </c>
      <c r="G213" s="10">
        <f t="shared" si="27"/>
        <v>-1.0802047527373551</v>
      </c>
      <c r="H213" s="10">
        <f t="shared" si="28"/>
        <v>0.25346727106331934</v>
      </c>
      <c r="I213" s="10">
        <f t="shared" si="31"/>
        <v>4.433557738892091E-5</v>
      </c>
      <c r="J213" s="20">
        <f t="shared" si="29"/>
        <v>0</v>
      </c>
      <c r="K213" s="10">
        <f t="shared" si="32"/>
        <v>3.9053095731678145E-4</v>
      </c>
      <c r="L213" s="10">
        <f t="shared" si="33"/>
        <v>2.3431857439004666E-4</v>
      </c>
    </row>
    <row r="214" spans="1:12" x14ac:dyDescent="0.2">
      <c r="A214" s="14">
        <v>0.14899999999999999</v>
      </c>
      <c r="B214" s="10">
        <f t="shared" si="23"/>
        <v>-1.7424658226279151</v>
      </c>
      <c r="C214" s="10">
        <f t="shared" si="24"/>
        <v>0.61160550374239819</v>
      </c>
      <c r="D214" s="10">
        <f t="shared" si="25"/>
        <v>0.54866602262145525</v>
      </c>
      <c r="E214" s="10">
        <f t="shared" si="26"/>
        <v>1.7309424390228594</v>
      </c>
      <c r="F214" s="10">
        <f t="shared" si="30"/>
        <v>6.8356737506514165E-4</v>
      </c>
      <c r="G214" s="10">
        <f t="shared" si="27"/>
        <v>-1.0799677596279933</v>
      </c>
      <c r="H214" s="10">
        <f t="shared" si="28"/>
        <v>0.25351211790191264</v>
      </c>
      <c r="I214" s="10">
        <f t="shared" si="31"/>
        <v>4.4846838593293192E-5</v>
      </c>
      <c r="J214" s="20">
        <f t="shared" si="29"/>
        <v>0</v>
      </c>
      <c r="K214" s="10">
        <f t="shared" si="32"/>
        <v>3.9498851560293424E-4</v>
      </c>
      <c r="L214" s="10">
        <f t="shared" si="33"/>
        <v>2.3699310936176055E-4</v>
      </c>
    </row>
    <row r="215" spans="1:12" x14ac:dyDescent="0.2">
      <c r="A215" s="14">
        <v>0.15</v>
      </c>
      <c r="B215" s="10">
        <f t="shared" si="23"/>
        <v>-1.7346010553881064</v>
      </c>
      <c r="C215" s="10">
        <f t="shared" si="24"/>
        <v>0.60711036938583718</v>
      </c>
      <c r="D215" s="10">
        <f t="shared" si="25"/>
        <v>0.54906550338415172</v>
      </c>
      <c r="E215" s="10">
        <f t="shared" si="26"/>
        <v>1.731634055363098</v>
      </c>
      <c r="F215" s="10">
        <f t="shared" si="30"/>
        <v>6.9161634023862106E-4</v>
      </c>
      <c r="G215" s="10">
        <f t="shared" si="27"/>
        <v>-1.0797280711703756</v>
      </c>
      <c r="H215" s="10">
        <f t="shared" si="28"/>
        <v>0.25355748011802309</v>
      </c>
      <c r="I215" s="10">
        <f t="shared" si="31"/>
        <v>4.5362216110456099E-5</v>
      </c>
      <c r="J215" s="20">
        <f t="shared" si="29"/>
        <v>0</v>
      </c>
      <c r="K215" s="10">
        <f t="shared" si="32"/>
        <v>3.9948076269646915E-4</v>
      </c>
      <c r="L215" s="10">
        <f t="shared" si="33"/>
        <v>2.3968845761768165E-4</v>
      </c>
    </row>
    <row r="216" spans="1:12" x14ac:dyDescent="0.2">
      <c r="A216" s="14">
        <v>0.151</v>
      </c>
      <c r="B216" s="10">
        <f t="shared" si="23"/>
        <v>-1.726779349496423</v>
      </c>
      <c r="C216" s="10">
        <f t="shared" si="24"/>
        <v>0.60264599297425159</v>
      </c>
      <c r="D216" s="10">
        <f t="shared" si="25"/>
        <v>0.54946951019074508</v>
      </c>
      <c r="E216" s="10">
        <f t="shared" si="26"/>
        <v>1.7323337886469805</v>
      </c>
      <c r="F216" s="10">
        <f t="shared" si="30"/>
        <v>6.9973328388250877E-4</v>
      </c>
      <c r="G216" s="10">
        <f t="shared" si="27"/>
        <v>-1.0794856670864192</v>
      </c>
      <c r="H216" s="10">
        <f t="shared" si="28"/>
        <v>0.25360336173051667</v>
      </c>
      <c r="I216" s="10">
        <f t="shared" si="31"/>
        <v>4.5881612493581247E-5</v>
      </c>
      <c r="J216" s="20">
        <f t="shared" si="29"/>
        <v>0</v>
      </c>
      <c r="K216" s="10">
        <f t="shared" si="32"/>
        <v>4.0400680659335997E-4</v>
      </c>
      <c r="L216" s="10">
        <f t="shared" si="33"/>
        <v>2.4240408395637125E-4</v>
      </c>
    </row>
    <row r="217" spans="1:12" x14ac:dyDescent="0.2">
      <c r="A217" s="14">
        <v>0.152</v>
      </c>
      <c r="B217" s="10">
        <f t="shared" si="23"/>
        <v>-1.7190001149456267</v>
      </c>
      <c r="C217" s="10">
        <f t="shared" si="24"/>
        <v>0.59821204000107808</v>
      </c>
      <c r="D217" s="10">
        <f t="shared" si="25"/>
        <v>0.54987807597444227</v>
      </c>
      <c r="E217" s="10">
        <f t="shared" si="26"/>
        <v>1.7330417055644318</v>
      </c>
      <c r="F217" s="10">
        <f t="shared" si="30"/>
        <v>7.0791691745131224E-4</v>
      </c>
      <c r="G217" s="10">
        <f t="shared" si="27"/>
        <v>-1.0792405276162009</v>
      </c>
      <c r="H217" s="10">
        <f t="shared" si="28"/>
        <v>0.25364976666402878</v>
      </c>
      <c r="I217" s="10">
        <f t="shared" si="31"/>
        <v>4.6404933512100843E-5</v>
      </c>
      <c r="J217" s="20">
        <f t="shared" si="29"/>
        <v>0</v>
      </c>
      <c r="K217" s="10">
        <f t="shared" si="32"/>
        <v>4.085657836971901E-4</v>
      </c>
      <c r="L217" s="10">
        <f t="shared" si="33"/>
        <v>2.4513947021831406E-4</v>
      </c>
    </row>
    <row r="218" spans="1:12" x14ac:dyDescent="0.2">
      <c r="A218" s="14">
        <v>0.153</v>
      </c>
      <c r="B218" s="10">
        <f t="shared" si="23"/>
        <v>-1.7112627732596188</v>
      </c>
      <c r="C218" s="10">
        <f t="shared" si="24"/>
        <v>0.59380818232108767</v>
      </c>
      <c r="D218" s="10">
        <f t="shared" si="25"/>
        <v>0.5502912328322489</v>
      </c>
      <c r="E218" s="10">
        <f t="shared" si="26"/>
        <v>1.7337578715642104</v>
      </c>
      <c r="F218" s="10">
        <f t="shared" si="30"/>
        <v>7.1616599977852857E-4</v>
      </c>
      <c r="G218" s="10">
        <f t="shared" si="27"/>
        <v>-1.078992633501517</v>
      </c>
      <c r="H218" s="10">
        <f t="shared" si="28"/>
        <v>0.25369669875206757</v>
      </c>
      <c r="I218" s="10">
        <f t="shared" si="31"/>
        <v>4.6932088038798003E-5</v>
      </c>
      <c r="J218" s="20">
        <f t="shared" si="29"/>
        <v>0</v>
      </c>
      <c r="K218" s="10">
        <f t="shared" si="32"/>
        <v>4.1315685780662914E-4</v>
      </c>
      <c r="L218" s="10">
        <f t="shared" si="33"/>
        <v>2.4789411468395528E-4</v>
      </c>
    </row>
    <row r="219" spans="1:12" x14ac:dyDescent="0.2">
      <c r="A219" s="14">
        <v>0.154</v>
      </c>
      <c r="B219" s="10">
        <f t="shared" si="23"/>
        <v>-1.7035667571925941</v>
      </c>
      <c r="C219" s="10">
        <f t="shared" si="24"/>
        <v>0.58943409798863755</v>
      </c>
      <c r="D219" s="10">
        <f t="shared" si="25"/>
        <v>0.55070901205139433</v>
      </c>
      <c r="E219" s="10">
        <f t="shared" si="26"/>
        <v>1.7344823508996476</v>
      </c>
      <c r="F219" s="10">
        <f t="shared" si="30"/>
        <v>7.2447933543728915E-4</v>
      </c>
      <c r="G219" s="10">
        <f t="shared" si="27"/>
        <v>-1.0787419659700297</v>
      </c>
      <c r="H219" s="10">
        <f t="shared" si="28"/>
        <v>0.25374416174000702</v>
      </c>
      <c r="I219" s="10">
        <f t="shared" si="31"/>
        <v>4.7462987939450585E-5</v>
      </c>
      <c r="J219" s="20">
        <f t="shared" si="29"/>
        <v>0</v>
      </c>
      <c r="K219" s="10">
        <f t="shared" si="32"/>
        <v>4.1777921914543104E-4</v>
      </c>
      <c r="L219" s="10">
        <f t="shared" si="33"/>
        <v>2.5066753148728083E-4</v>
      </c>
    </row>
    <row r="220" spans="1:12" x14ac:dyDescent="0.2">
      <c r="A220" s="14">
        <v>0.155</v>
      </c>
      <c r="B220" s="10">
        <f t="shared" si="23"/>
        <v>-1.6959115104379272</v>
      </c>
      <c r="C220" s="10">
        <f t="shared" si="24"/>
        <v>0.58508947110108489</v>
      </c>
      <c r="D220" s="10">
        <f t="shared" si="25"/>
        <v>0.55113144413482218</v>
      </c>
      <c r="E220" s="10">
        <f t="shared" si="26"/>
        <v>1.7352152066728046</v>
      </c>
      <c r="F220" s="10">
        <f t="shared" si="30"/>
        <v>7.328557731569596E-4</v>
      </c>
      <c r="G220" s="10">
        <f t="shared" si="27"/>
        <v>-1.0784885067199732</v>
      </c>
      <c r="H220" s="10">
        <f t="shared" si="28"/>
        <v>0.25379215928797422</v>
      </c>
      <c r="I220" s="10">
        <f t="shared" si="31"/>
        <v>4.7997547967193466E-5</v>
      </c>
      <c r="J220" s="20">
        <f t="shared" si="29"/>
        <v>0</v>
      </c>
      <c r="K220" s="10">
        <f t="shared" si="32"/>
        <v>4.2243208342784833E-4</v>
      </c>
      <c r="L220" s="10">
        <f t="shared" si="33"/>
        <v>2.5345925005648695E-4</v>
      </c>
    </row>
    <row r="221" spans="1:12" x14ac:dyDescent="0.2">
      <c r="A221" s="14">
        <v>0.156</v>
      </c>
      <c r="B221" s="10">
        <f t="shared" si="23"/>
        <v>-1.6882964873464201</v>
      </c>
      <c r="C221" s="10">
        <f t="shared" si="24"/>
        <v>0.58077399164716847</v>
      </c>
      <c r="D221" s="10">
        <f t="shared" si="25"/>
        <v>0.55155855882578997</v>
      </c>
      <c r="E221" s="10">
        <f t="shared" si="26"/>
        <v>1.7359565008771183</v>
      </c>
      <c r="F221" s="10">
        <f t="shared" si="30"/>
        <v>7.4129420431368054E-4</v>
      </c>
      <c r="G221" s="10">
        <f t="shared" si="27"/>
        <v>-1.0782322379053924</v>
      </c>
      <c r="H221" s="10">
        <f t="shared" si="28"/>
        <v>0.25384069497363676</v>
      </c>
      <c r="I221" s="10">
        <f t="shared" si="31"/>
        <v>4.853568566254296E-5</v>
      </c>
      <c r="J221" s="20">
        <f t="shared" si="29"/>
        <v>0</v>
      </c>
      <c r="K221" s="10">
        <f t="shared" si="32"/>
        <v>4.271146909677892E-4</v>
      </c>
      <c r="L221" s="10">
        <f t="shared" si="33"/>
        <v>2.5626881458085116E-4</v>
      </c>
    </row>
    <row r="222" spans="1:12" x14ac:dyDescent="0.2">
      <c r="A222" s="14">
        <v>0.157</v>
      </c>
      <c r="B222" s="10">
        <f t="shared" si="23"/>
        <v>-1.6807211526535473</v>
      </c>
      <c r="C222" s="10">
        <f t="shared" si="24"/>
        <v>0.57648735536016671</v>
      </c>
      <c r="D222" s="10">
        <f t="shared" si="25"/>
        <v>0.55199038513161103</v>
      </c>
      <c r="E222" s="10">
        <f t="shared" si="26"/>
        <v>1.7367062944385987</v>
      </c>
      <c r="F222" s="10">
        <f t="shared" si="30"/>
        <v>7.4979356148041632E-4</v>
      </c>
      <c r="G222" s="10">
        <f t="shared" si="27"/>
        <v>-1.0779731421218997</v>
      </c>
      <c r="H222" s="10">
        <f t="shared" si="28"/>
        <v>0.25388977229489246</v>
      </c>
      <c r="I222" s="10">
        <f t="shared" si="31"/>
        <v>4.9077321255697193E-5</v>
      </c>
      <c r="J222" s="20">
        <f t="shared" si="29"/>
        <v>0</v>
      </c>
      <c r="K222" s="10">
        <f t="shared" si="32"/>
        <v>4.3182630582105919E-4</v>
      </c>
      <c r="L222" s="10">
        <f t="shared" si="33"/>
        <v>2.5909578349270213E-4</v>
      </c>
    </row>
    <row r="223" spans="1:12" x14ac:dyDescent="0.2">
      <c r="A223" s="14">
        <v>0.158</v>
      </c>
      <c r="B223" s="10">
        <f t="shared" si="23"/>
        <v>-1.6731849812153599</v>
      </c>
      <c r="C223" s="10">
        <f t="shared" si="24"/>
        <v>0.57222926357565307</v>
      </c>
      <c r="D223" s="10">
        <f t="shared" si="25"/>
        <v>0.55242695134657127</v>
      </c>
      <c r="E223" s="10">
        <f t="shared" si="26"/>
        <v>1.7374646472556243</v>
      </c>
      <c r="F223" s="10">
        <f t="shared" si="30"/>
        <v>7.5835281702563151E-4</v>
      </c>
      <c r="G223" s="10">
        <f t="shared" si="27"/>
        <v>-1.0777112023929236</v>
      </c>
      <c r="H223" s="10">
        <f t="shared" si="28"/>
        <v>0.25393939467246646</v>
      </c>
      <c r="I223" s="10">
        <f t="shared" si="31"/>
        <v>4.962237757399901E-5</v>
      </c>
      <c r="J223" s="20">
        <f t="shared" si="29"/>
        <v>0</v>
      </c>
      <c r="K223" s="10">
        <f t="shared" si="32"/>
        <v>4.3656621496024339E-4</v>
      </c>
      <c r="L223" s="10">
        <f t="shared" si="33"/>
        <v>2.6193972897603501E-4</v>
      </c>
    </row>
    <row r="224" spans="1:12" x14ac:dyDescent="0.2">
      <c r="A224" s="14">
        <v>0.159</v>
      </c>
      <c r="B224" s="10">
        <f t="shared" si="23"/>
        <v>-1.6656874577527165</v>
      </c>
      <c r="C224" s="10">
        <f t="shared" si="24"/>
        <v>0.56799942309367624</v>
      </c>
      <c r="D224" s="10">
        <f t="shared" si="25"/>
        <v>0.55286828507405905</v>
      </c>
      <c r="E224" s="10">
        <f t="shared" si="26"/>
        <v>1.738231618237408</v>
      </c>
      <c r="F224" s="10">
        <f t="shared" si="30"/>
        <v>7.6697098178368783E-4</v>
      </c>
      <c r="G224" s="10">
        <f t="shared" si="27"/>
        <v>-1.0774464021564309</v>
      </c>
      <c r="H224" s="10">
        <f t="shared" si="28"/>
        <v>0.25398956545241896</v>
      </c>
      <c r="I224" s="10">
        <f t="shared" si="31"/>
        <v>5.0170779952507516E-5</v>
      </c>
      <c r="J224" s="20">
        <f t="shared" si="29"/>
        <v>0</v>
      </c>
      <c r="K224" s="10">
        <f t="shared" si="32"/>
        <v>4.4133372748778044E-4</v>
      </c>
      <c r="L224" s="10">
        <f t="shared" si="33"/>
        <v>2.6480023649266826E-4</v>
      </c>
    </row>
    <row r="225" spans="1:12" x14ac:dyDescent="0.2">
      <c r="A225" s="14">
        <v>0.16</v>
      </c>
      <c r="B225" s="10">
        <f t="shared" si="23"/>
        <v>-1.6582280766035322</v>
      </c>
      <c r="C225" s="10">
        <f t="shared" si="24"/>
        <v>0.56379754604520094</v>
      </c>
      <c r="D225" s="10">
        <f t="shared" si="25"/>
        <v>0.55331441324793507</v>
      </c>
      <c r="E225" s="10">
        <f t="shared" si="26"/>
        <v>1.7390072653411741</v>
      </c>
      <c r="F225" s="10">
        <f t="shared" si="30"/>
        <v>7.7564710376609725E-4</v>
      </c>
      <c r="G225" s="10">
        <f t="shared" si="27"/>
        <v>-1.0771787252521052</v>
      </c>
      <c r="H225" s="10">
        <f t="shared" si="28"/>
        <v>0.25404028790856747</v>
      </c>
      <c r="I225" s="10">
        <f t="shared" si="31"/>
        <v>5.0722456148510897E-5</v>
      </c>
      <c r="J225" s="20">
        <f t="shared" si="29"/>
        <v>0</v>
      </c>
      <c r="K225" s="10">
        <f t="shared" si="32"/>
        <v>4.4612817387601478E-4</v>
      </c>
      <c r="L225" s="10">
        <f t="shared" si="33"/>
        <v>2.6767690432571989E-4</v>
      </c>
    </row>
    <row r="226" spans="1:12" x14ac:dyDescent="0.2">
      <c r="A226" s="14">
        <v>0.161</v>
      </c>
      <c r="B226" s="10">
        <f t="shared" si="23"/>
        <v>-1.6508063414827432</v>
      </c>
      <c r="C226" s="10">
        <f t="shared" si="24"/>
        <v>0.55962334976264994</v>
      </c>
      <c r="D226" s="10">
        <f t="shared" si="25"/>
        <v>0.55376536215317429</v>
      </c>
      <c r="E226" s="10">
        <f t="shared" si="26"/>
        <v>1.7397916456081017</v>
      </c>
      <c r="F226" s="10">
        <f t="shared" si="30"/>
        <v>7.8438026692762008E-4</v>
      </c>
      <c r="G226" s="10">
        <f t="shared" si="27"/>
        <v>-1.0769081559089617</v>
      </c>
      <c r="H226" s="10">
        <f t="shared" si="28"/>
        <v>0.25409156524482635</v>
      </c>
      <c r="I226" s="10">
        <f t="shared" si="31"/>
        <v>5.1277336258870321E-5</v>
      </c>
      <c r="J226" s="20">
        <f t="shared" si="29"/>
        <v>0</v>
      </c>
      <c r="K226" s="10">
        <f t="shared" si="32"/>
        <v>4.5094890523922349E-4</v>
      </c>
      <c r="L226" s="10">
        <f t="shared" si="33"/>
        <v>2.7056934314351189E-4</v>
      </c>
    </row>
    <row r="227" spans="1:12" x14ac:dyDescent="0.2">
      <c r="A227" s="14">
        <v>0.16200000000000001</v>
      </c>
      <c r="B227" s="10">
        <f t="shared" si="23"/>
        <v>-1.643421765249699</v>
      </c>
      <c r="C227" s="10">
        <f t="shared" si="24"/>
        <v>0.55547655665439821</v>
      </c>
      <c r="D227" s="10">
        <f t="shared" si="25"/>
        <v>0.55422115744580913</v>
      </c>
      <c r="E227" s="10">
        <f t="shared" si="26"/>
        <v>1.7405848151980863</v>
      </c>
      <c r="F227" s="10">
        <f t="shared" si="30"/>
        <v>7.9316958998454368E-4</v>
      </c>
      <c r="G227" s="10">
        <f t="shared" si="27"/>
        <v>-1.0766346787333807</v>
      </c>
      <c r="H227" s="10">
        <f t="shared" si="28"/>
        <v>0.25414340059746771</v>
      </c>
      <c r="I227" s="10">
        <f t="shared" si="31"/>
        <v>5.1835352641360632E-5</v>
      </c>
      <c r="J227" s="20">
        <f t="shared" si="29"/>
        <v>0</v>
      </c>
      <c r="K227" s="10">
        <f t="shared" si="32"/>
        <v>4.5579529263484186E-4</v>
      </c>
      <c r="L227" s="10">
        <f t="shared" si="33"/>
        <v>2.7347717558101614E-4</v>
      </c>
    </row>
    <row r="228" spans="1:12" x14ac:dyDescent="0.2">
      <c r="A228" s="14">
        <v>0.16300000000000001</v>
      </c>
      <c r="B228" s="10">
        <f t="shared" si="23"/>
        <v>-1.6360738696827128</v>
      </c>
      <c r="C228" s="10">
        <f t="shared" si="24"/>
        <v>0.5513568940830742</v>
      </c>
      <c r="D228" s="10">
        <f t="shared" si="25"/>
        <v>0.55468182417219913</v>
      </c>
      <c r="E228" s="10">
        <f t="shared" si="26"/>
        <v>1.7413868294233583</v>
      </c>
      <c r="F228" s="10">
        <f t="shared" si="30"/>
        <v>8.020142252720408E-4</v>
      </c>
      <c r="G228" s="10">
        <f t="shared" si="27"/>
        <v>-1.0763582786975467</v>
      </c>
      <c r="H228" s="10">
        <f t="shared" si="28"/>
        <v>0.25419579703730616</v>
      </c>
      <c r="I228" s="10">
        <f t="shared" si="31"/>
        <v>5.2396439838453546E-5</v>
      </c>
      <c r="J228" s="20">
        <f t="shared" si="29"/>
        <v>0</v>
      </c>
      <c r="K228" s="10">
        <f t="shared" si="32"/>
        <v>4.6066672639000217E-4</v>
      </c>
      <c r="L228" s="10">
        <f t="shared" si="33"/>
        <v>2.7640003583395689E-4</v>
      </c>
    </row>
    <row r="229" spans="1:12" x14ac:dyDescent="0.2">
      <c r="A229" s="14">
        <v>0.16400000000000001</v>
      </c>
      <c r="B229" s="10">
        <f t="shared" si="23"/>
        <v>-1.628762185260503</v>
      </c>
      <c r="C229" s="10">
        <f t="shared" si="24"/>
        <v>0.54726409424752898</v>
      </c>
      <c r="D229" s="10">
        <f t="shared" si="25"/>
        <v>0.55514738678765541</v>
      </c>
      <c r="E229" s="10">
        <f t="shared" si="26"/>
        <v>1.7421977427810107</v>
      </c>
      <c r="F229" s="10">
        <f t="shared" si="30"/>
        <v>8.1091335765237638E-4</v>
      </c>
      <c r="G229" s="10">
        <f t="shared" si="27"/>
        <v>-1.076078941128273</v>
      </c>
      <c r="H229" s="10">
        <f t="shared" si="28"/>
        <v>0.25424875757181042</v>
      </c>
      <c r="I229" s="10">
        <f t="shared" si="31"/>
        <v>5.2960534504264967E-5</v>
      </c>
      <c r="J229" s="20">
        <f t="shared" si="29"/>
        <v>0</v>
      </c>
      <c r="K229" s="10">
        <f t="shared" si="32"/>
        <v>4.6556261545627198E-4</v>
      </c>
      <c r="L229" s="10">
        <f t="shared" si="33"/>
        <v>2.7933756927378539E-4</v>
      </c>
    </row>
    <row r="230" spans="1:12" x14ac:dyDescent="0.2">
      <c r="A230" s="14">
        <v>0.16500000000000001</v>
      </c>
      <c r="B230" s="10">
        <f t="shared" si="23"/>
        <v>-1.6214862509502748</v>
      </c>
      <c r="C230" s="10">
        <f t="shared" si="24"/>
        <v>0.54319789406834196</v>
      </c>
      <c r="D230" s="10">
        <f t="shared" si="25"/>
        <v>0.55561786917444433</v>
      </c>
      <c r="E230" s="10">
        <f t="shared" si="26"/>
        <v>1.7430176089844733</v>
      </c>
      <c r="F230" s="10">
        <f t="shared" si="30"/>
        <v>8.1986620346263805E-4</v>
      </c>
      <c r="G230" s="10">
        <f t="shared" si="27"/>
        <v>-1.0757966516961996</v>
      </c>
      <c r="H230" s="10">
        <f t="shared" si="28"/>
        <v>0.25430228514714487</v>
      </c>
      <c r="I230" s="10">
        <f t="shared" si="31"/>
        <v>5.3527575334444411E-5</v>
      </c>
      <c r="J230" s="20">
        <f t="shared" si="29"/>
        <v>0</v>
      </c>
      <c r="K230" s="10">
        <f t="shared" si="32"/>
        <v>4.7048238678892851E-4</v>
      </c>
      <c r="L230" s="10">
        <f t="shared" si="33"/>
        <v>2.822894320733127E-4</v>
      </c>
    </row>
    <row r="231" spans="1:12" x14ac:dyDescent="0.2">
      <c r="A231" s="14">
        <v>0.16600000000000001</v>
      </c>
      <c r="B231" s="10">
        <f t="shared" si="23"/>
        <v>-1.6142456140022035</v>
      </c>
      <c r="C231" s="10">
        <f t="shared" si="24"/>
        <v>0.53915803507673588</v>
      </c>
      <c r="D231" s="10">
        <f t="shared" si="25"/>
        <v>0.55609329465919421</v>
      </c>
      <c r="E231" s="10">
        <f t="shared" si="26"/>
        <v>1.7438464809939784</v>
      </c>
      <c r="F231" s="10">
        <f t="shared" si="30"/>
        <v>8.2887200950509943E-4</v>
      </c>
      <c r="G231" s="10">
        <f t="shared" si="27"/>
        <v>-1.0755113964053495</v>
      </c>
      <c r="H231" s="10">
        <f t="shared" si="28"/>
        <v>0.25435638265014382</v>
      </c>
      <c r="I231" s="10">
        <f t="shared" si="31"/>
        <v>5.4097502998950997E-5</v>
      </c>
      <c r="J231" s="20">
        <f t="shared" si="29"/>
        <v>0</v>
      </c>
      <c r="K231" s="10">
        <f t="shared" si="32"/>
        <v>4.7542548474988067E-4</v>
      </c>
      <c r="L231" s="10">
        <f t="shared" si="33"/>
        <v>2.8525529085010604E-4</v>
      </c>
    </row>
    <row r="232" spans="1:12" x14ac:dyDescent="0.2">
      <c r="A232" s="14">
        <v>0.16700000000000001</v>
      </c>
      <c r="B232" s="10">
        <f t="shared" si="23"/>
        <v>-1.6070398297500874</v>
      </c>
      <c r="C232" s="10">
        <f t="shared" si="24"/>
        <v>0.535144263306779</v>
      </c>
      <c r="D232" s="10">
        <f t="shared" si="25"/>
        <v>0.55657368602972734</v>
      </c>
      <c r="E232" s="10">
        <f t="shared" si="26"/>
        <v>1.7446844110460509</v>
      </c>
      <c r="F232" s="10">
        <f t="shared" si="30"/>
        <v>8.379300520724442E-4</v>
      </c>
      <c r="G232" s="10">
        <f t="shared" si="27"/>
        <v>-1.0752231615830299</v>
      </c>
      <c r="H232" s="10">
        <f t="shared" si="28"/>
        <v>0.25441105291022009</v>
      </c>
      <c r="I232" s="10">
        <f t="shared" si="31"/>
        <v>5.4670260076272736E-5</v>
      </c>
      <c r="J232" s="20">
        <f t="shared" si="29"/>
        <v>0</v>
      </c>
      <c r="K232" s="10">
        <f t="shared" si="32"/>
        <v>4.8039137053312864E-4</v>
      </c>
      <c r="L232" s="10">
        <f t="shared" si="33"/>
        <v>2.8823482231965514E-4</v>
      </c>
    </row>
    <row r="233" spans="1:12" x14ac:dyDescent="0.2">
      <c r="A233" s="14">
        <v>0.16800000000000001</v>
      </c>
      <c r="B233" s="10">
        <f t="shared" si="23"/>
        <v>-1.5998684614179495</v>
      </c>
      <c r="C233" s="10">
        <f t="shared" si="24"/>
        <v>0.53115632919075917</v>
      </c>
      <c r="D233" s="10">
        <f t="shared" si="25"/>
        <v>0.55705906555134022</v>
      </c>
      <c r="E233" s="10">
        <f t="shared" si="26"/>
        <v>1.7455314506820669</v>
      </c>
      <c r="F233" s="10">
        <f t="shared" si="30"/>
        <v>8.4703963601606702E-4</v>
      </c>
      <c r="G233" s="10">
        <f t="shared" si="27"/>
        <v>-1.074931933870062</v>
      </c>
      <c r="H233" s="10">
        <f t="shared" si="28"/>
        <v>0.2544662987012124</v>
      </c>
      <c r="I233" s="10">
        <f t="shared" si="31"/>
        <v>5.5245790992308752E-5</v>
      </c>
      <c r="J233" s="20">
        <f t="shared" si="29"/>
        <v>0</v>
      </c>
      <c r="K233" s="10">
        <f t="shared" si="32"/>
        <v>4.8537952161287201E-4</v>
      </c>
      <c r="L233" s="10">
        <f t="shared" si="33"/>
        <v>2.9122771296785643E-4</v>
      </c>
    </row>
    <row r="234" spans="1:12" x14ac:dyDescent="0.2">
      <c r="A234" s="14">
        <v>0.16900000000000001</v>
      </c>
      <c r="B234" s="10">
        <f t="shared" si="23"/>
        <v>-1.5927310799323746</v>
      </c>
      <c r="C234" s="10">
        <f t="shared" si="24"/>
        <v>0.52719398745761592</v>
      </c>
      <c r="D234" s="10">
        <f t="shared" si="25"/>
        <v>0.55754945498255248</v>
      </c>
      <c r="E234" s="10">
        <f t="shared" si="26"/>
        <v>1.7463876507759102</v>
      </c>
      <c r="F234" s="10">
        <f t="shared" si="30"/>
        <v>8.5620009384324014E-4</v>
      </c>
      <c r="G234" s="10">
        <f t="shared" si="27"/>
        <v>-1.0746377002113348</v>
      </c>
      <c r="H234" s="10">
        <f t="shared" si="28"/>
        <v>0.25452212274317138</v>
      </c>
      <c r="I234" s="10">
        <f t="shared" si="31"/>
        <v>5.5824041958973947E-5</v>
      </c>
      <c r="J234" s="20">
        <f t="shared" si="29"/>
        <v>0</v>
      </c>
      <c r="K234" s="10">
        <f t="shared" si="32"/>
        <v>4.9038943121226808E-4</v>
      </c>
      <c r="L234" s="10">
        <f t="shared" si="33"/>
        <v>2.9423365872727203E-4</v>
      </c>
    </row>
    <row r="235" spans="1:12" x14ac:dyDescent="0.2">
      <c r="A235" s="14">
        <v>0.17</v>
      </c>
      <c r="B235" s="10">
        <f t="shared" si="23"/>
        <v>-1.5856272637403817</v>
      </c>
      <c r="C235" s="10">
        <f t="shared" si="24"/>
        <v>0.52325699703432593</v>
      </c>
      <c r="D235" s="10">
        <f t="shared" si="25"/>
        <v>0.55804487559034488</v>
      </c>
      <c r="E235" s="10">
        <f t="shared" si="26"/>
        <v>1.7472530615607664</v>
      </c>
      <c r="F235" s="10">
        <f t="shared" si="30"/>
        <v>8.6541078485624645E-4</v>
      </c>
      <c r="G235" s="10">
        <f t="shared" si="27"/>
        <v>-1.0743404478466592</v>
      </c>
      <c r="H235" s="10">
        <f t="shared" si="28"/>
        <v>0.25457852770408868</v>
      </c>
      <c r="I235" s="10">
        <f t="shared" si="31"/>
        <v>5.6404960917300073E-5</v>
      </c>
      <c r="J235" s="20">
        <f t="shared" si="29"/>
        <v>0</v>
      </c>
      <c r="K235" s="10">
        <f t="shared" si="32"/>
        <v>4.9542060779239616E-4</v>
      </c>
      <c r="L235" s="10">
        <f t="shared" si="33"/>
        <v>2.9725236467559313E-4</v>
      </c>
    </row>
    <row r="236" spans="1:12" x14ac:dyDescent="0.2">
      <c r="A236" s="14">
        <v>0.17100000000000001</v>
      </c>
      <c r="B236" s="10">
        <f t="shared" si="23"/>
        <v>-1.5785565986326349</v>
      </c>
      <c r="C236" s="10">
        <f t="shared" si="24"/>
        <v>0.51934512095013685</v>
      </c>
      <c r="D236" s="10">
        <f t="shared" si="25"/>
        <v>0.55854534816490409</v>
      </c>
      <c r="E236" s="10">
        <f t="shared" si="26"/>
        <v>1.7481277326550828</v>
      </c>
      <c r="F236" s="10">
        <f t="shared" si="30"/>
        <v>8.7467109431638157E-4</v>
      </c>
      <c r="G236" s="10">
        <f t="shared" si="27"/>
        <v>-1.0740401643019239</v>
      </c>
      <c r="H236" s="10">
        <f t="shared" si="28"/>
        <v>0.25463551620156993</v>
      </c>
      <c r="I236" s="10">
        <f t="shared" si="31"/>
        <v>5.6988497481258449E-5</v>
      </c>
      <c r="J236" s="20">
        <f t="shared" si="29"/>
        <v>0</v>
      </c>
      <c r="K236" s="10">
        <f t="shared" si="32"/>
        <v>5.0047257455920757E-4</v>
      </c>
      <c r="L236" s="10">
        <f t="shared" si="33"/>
        <v>3.0028354473521368E-4</v>
      </c>
    </row>
    <row r="237" spans="1:12" x14ac:dyDescent="0.2">
      <c r="A237" s="14">
        <v>0.17199999999999999</v>
      </c>
      <c r="B237" s="10">
        <f t="shared" si="23"/>
        <v>-1.5715186775718069</v>
      </c>
      <c r="C237" s="10">
        <f t="shared" si="24"/>
        <v>0.51545812624355269</v>
      </c>
      <c r="D237" s="10">
        <f t="shared" si="25"/>
        <v>0.55905089303389488</v>
      </c>
      <c r="E237" s="10">
        <f t="shared" si="26"/>
        <v>1.7490117130877261</v>
      </c>
      <c r="F237" s="10">
        <f t="shared" si="30"/>
        <v>8.8398043264326098E-4</v>
      </c>
      <c r="G237" s="10">
        <f t="shared" si="27"/>
        <v>-1.0737368373805294</v>
      </c>
      <c r="H237" s="10">
        <f t="shared" si="28"/>
        <v>0.25469309080445457</v>
      </c>
      <c r="I237" s="10">
        <f t="shared" si="31"/>
        <v>5.7574602884635784E-5</v>
      </c>
      <c r="J237" s="20">
        <f t="shared" si="29"/>
        <v>0</v>
      </c>
      <c r="K237" s="10">
        <f t="shared" si="32"/>
        <v>5.0554486899079265E-4</v>
      </c>
      <c r="L237" s="10">
        <f t="shared" si="33"/>
        <v>3.0332692139456441E-4</v>
      </c>
    </row>
    <row r="238" spans="1:12" x14ac:dyDescent="0.2">
      <c r="A238" s="14">
        <v>0.17299999999999999</v>
      </c>
      <c r="B238" s="10">
        <f t="shared" si="23"/>
        <v>-1.5645131005259123</v>
      </c>
      <c r="C238" s="10">
        <f t="shared" si="24"/>
        <v>0.51159578387197335</v>
      </c>
      <c r="D238" s="10">
        <f t="shared" si="25"/>
        <v>0.55956153007627674</v>
      </c>
      <c r="E238" s="10">
        <f t="shared" si="26"/>
        <v>1.749905051322374</v>
      </c>
      <c r="F238" s="10">
        <f t="shared" si="30"/>
        <v>8.9333823464787798E-4</v>
      </c>
      <c r="G238" s="10">
        <f t="shared" si="27"/>
        <v>-1.0734304551551004</v>
      </c>
      <c r="H238" s="10">
        <f t="shared" si="28"/>
        <v>0.25475125403438365</v>
      </c>
      <c r="I238" s="10">
        <f t="shared" si="31"/>
        <v>5.8163229929075744E-5</v>
      </c>
      <c r="J238" s="20">
        <f t="shared" si="29"/>
        <v>0</v>
      </c>
      <c r="K238" s="10">
        <f t="shared" si="32"/>
        <v>5.1063704238185625E-4</v>
      </c>
      <c r="L238" s="10">
        <f t="shared" si="33"/>
        <v>3.0638222542900273E-4</v>
      </c>
    </row>
    <row r="239" spans="1:12" x14ac:dyDescent="0.2">
      <c r="A239" s="14">
        <v>0.17399999999999999</v>
      </c>
      <c r="B239" s="10">
        <f t="shared" si="23"/>
        <v>-1.5575394743064492</v>
      </c>
      <c r="C239" s="10">
        <f t="shared" si="24"/>
        <v>0.50775786862390249</v>
      </c>
      <c r="D239" s="10">
        <f t="shared" si="25"/>
        <v>0.56007727873567914</v>
      </c>
      <c r="E239" s="10">
        <f t="shared" si="26"/>
        <v>1.7508077952811576</v>
      </c>
      <c r="F239" s="10">
        <f t="shared" si="30"/>
        <v>9.0274395878364722E-4</v>
      </c>
      <c r="G239" s="10">
        <f t="shared" si="27"/>
        <v>-1.0731210059594589</v>
      </c>
      <c r="H239" s="10">
        <f t="shared" si="28"/>
        <v>0.2548100083673181</v>
      </c>
      <c r="I239" s="10">
        <f t="shared" si="31"/>
        <v>5.875433293445198E-5</v>
      </c>
      <c r="J239" s="20">
        <f t="shared" si="29"/>
        <v>0</v>
      </c>
      <c r="K239" s="10">
        <f t="shared" si="32"/>
        <v>5.1574865940240411E-4</v>
      </c>
      <c r="L239" s="10">
        <f t="shared" si="33"/>
        <v>3.0944919564146467E-4</v>
      </c>
    </row>
    <row r="240" spans="1:12" x14ac:dyDescent="0.2">
      <c r="A240" s="14">
        <v>0.17499999999999999</v>
      </c>
      <c r="B240" s="10">
        <f t="shared" si="23"/>
        <v>-1.550597412411167</v>
      </c>
      <c r="C240" s="10">
        <f t="shared" si="24"/>
        <v>0.50394415903362932</v>
      </c>
      <c r="D240" s="10">
        <f t="shared" si="25"/>
        <v>0.56059815803335522</v>
      </c>
      <c r="E240" s="10">
        <f t="shared" si="26"/>
        <v>1.7517199923675939</v>
      </c>
      <c r="F240" s="10">
        <f t="shared" si="30"/>
        <v>9.1219708643630604E-4</v>
      </c>
      <c r="G240" s="10">
        <f t="shared" si="27"/>
        <v>-1.0728084783808531</v>
      </c>
      <c r="H240" s="10">
        <f t="shared" si="28"/>
        <v>0.25486935623500923</v>
      </c>
      <c r="I240" s="10">
        <f t="shared" si="31"/>
        <v>5.9347867691128542E-5</v>
      </c>
      <c r="J240" s="20">
        <f t="shared" si="29"/>
        <v>0</v>
      </c>
      <c r="K240" s="10">
        <f t="shared" si="32"/>
        <v>5.208792976760801E-4</v>
      </c>
      <c r="L240" s="10">
        <f t="shared" si="33"/>
        <v>3.1252757860578129E-4</v>
      </c>
    </row>
    <row r="241" spans="1:12" x14ac:dyDescent="0.2">
      <c r="A241" s="14">
        <v>0.17599999999999999</v>
      </c>
      <c r="B241" s="10">
        <f t="shared" si="23"/>
        <v>-1.54368653487132</v>
      </c>
      <c r="C241" s="10">
        <f t="shared" si="24"/>
        <v>0.50015443729830766</v>
      </c>
      <c r="D241" s="10">
        <f t="shared" si="25"/>
        <v>0.56112418658072793</v>
      </c>
      <c r="E241" s="10">
        <f t="shared" si="26"/>
        <v>1.7526416894888284</v>
      </c>
      <c r="F241" s="10">
        <f t="shared" si="30"/>
        <v>9.2169712123446601E-4</v>
      </c>
      <c r="G241" s="10">
        <f t="shared" si="27"/>
        <v>-1.0724928612524296</v>
      </c>
      <c r="H241" s="10">
        <f t="shared" si="28"/>
        <v>0.25492930002642322</v>
      </c>
      <c r="I241" s="10">
        <f t="shared" si="31"/>
        <v>5.9943791413996639E-5</v>
      </c>
      <c r="J241" s="20">
        <f t="shared" si="29"/>
        <v>0</v>
      </c>
      <c r="K241" s="10">
        <f t="shared" si="32"/>
        <v>5.2602854737271443E-4</v>
      </c>
      <c r="L241" s="10">
        <f t="shared" si="33"/>
        <v>3.1561712842353984E-4</v>
      </c>
    </row>
    <row r="242" spans="1:12" x14ac:dyDescent="0.2">
      <c r="A242" s="14">
        <v>0.17699999999999999</v>
      </c>
      <c r="B242" s="10">
        <f t="shared" si="23"/>
        <v>-1.5368064681032407</v>
      </c>
      <c r="C242" s="10">
        <f t="shared" si="24"/>
        <v>0.49638848919734679</v>
      </c>
      <c r="D242" s="10">
        <f t="shared" si="25"/>
        <v>0.56165538259154246</v>
      </c>
      <c r="E242" s="10">
        <f t="shared" si="26"/>
        <v>1.7535729330772143</v>
      </c>
      <c r="F242" s="10">
        <f t="shared" si="30"/>
        <v>9.3124358838592158E-4</v>
      </c>
      <c r="G242" s="10">
        <f t="shared" si="27"/>
        <v>-1.0721741436459407</v>
      </c>
      <c r="H242" s="10">
        <f t="shared" si="28"/>
        <v>0.25498984208912084</v>
      </c>
      <c r="I242" s="10">
        <f t="shared" si="31"/>
        <v>6.0542062697621635E-5</v>
      </c>
      <c r="J242" s="20">
        <f t="shared" si="29"/>
        <v>0</v>
      </c>
      <c r="K242" s="10">
        <f t="shared" si="32"/>
        <v>5.311960108145275E-4</v>
      </c>
      <c r="L242" s="10">
        <f t="shared" si="33"/>
        <v>3.1871760648893854E-4</v>
      </c>
    </row>
    <row r="243" spans="1:12" x14ac:dyDescent="0.2">
      <c r="A243" s="14">
        <v>0.17799999999999999</v>
      </c>
      <c r="B243" s="10">
        <f t="shared" si="23"/>
        <v>-1.5299568447640948</v>
      </c>
      <c r="C243" s="10">
        <f t="shared" si="24"/>
        <v>0.49264610401403852</v>
      </c>
      <c r="D243" s="10">
        <f t="shared" si="25"/>
        <v>0.56219176389364056</v>
      </c>
      <c r="E243" s="10">
        <f t="shared" si="26"/>
        <v>1.7545137691112538</v>
      </c>
      <c r="F243" s="10">
        <f t="shared" si="30"/>
        <v>9.408360340394939E-4</v>
      </c>
      <c r="G243" s="10">
        <f t="shared" si="27"/>
        <v>-1.0718523148646819</v>
      </c>
      <c r="H243" s="10">
        <f t="shared" si="28"/>
        <v>0.25505098473059462</v>
      </c>
      <c r="I243" s="10">
        <f t="shared" si="31"/>
        <v>6.1142641473777015E-5</v>
      </c>
      <c r="J243" s="20">
        <f t="shared" si="29"/>
        <v>0</v>
      </c>
      <c r="K243" s="10">
        <f t="shared" si="32"/>
        <v>5.3638130209809898E-4</v>
      </c>
      <c r="L243" s="10">
        <f t="shared" si="33"/>
        <v>3.2182878125874836E-4</v>
      </c>
    </row>
    <row r="244" spans="1:12" x14ac:dyDescent="0.2">
      <c r="A244" s="14">
        <v>0.17899999999999999</v>
      </c>
      <c r="B244" s="10">
        <f t="shared" si="23"/>
        <v>-1.5231373036116731</v>
      </c>
      <c r="C244" s="10">
        <f t="shared" si="24"/>
        <v>0.48892707445934708</v>
      </c>
      <c r="D244" s="10">
        <f t="shared" si="25"/>
        <v>0.56273334794036944</v>
      </c>
      <c r="E244" s="10">
        <f t="shared" si="26"/>
        <v>1.7554642431359226</v>
      </c>
      <c r="F244" s="10">
        <f t="shared" si="30"/>
        <v>9.50474024668857E-4</v>
      </c>
      <c r="G244" s="10">
        <f t="shared" si="27"/>
        <v>-1.0715273644366448</v>
      </c>
      <c r="H244" s="10">
        <f t="shared" si="28"/>
        <v>0.2551127302195646</v>
      </c>
      <c r="I244" s="10">
        <f t="shared" si="31"/>
        <v>6.1745488969977558E-5</v>
      </c>
      <c r="J244" s="20">
        <f t="shared" si="29"/>
        <v>0</v>
      </c>
      <c r="K244" s="10">
        <f t="shared" si="32"/>
        <v>5.4158404672888238E-4</v>
      </c>
      <c r="L244" s="10">
        <f t="shared" si="33"/>
        <v>3.249504280371518E-4</v>
      </c>
    </row>
    <row r="245" spans="1:12" x14ac:dyDescent="0.2">
      <c r="A245" s="14">
        <v>0.18</v>
      </c>
      <c r="B245" s="10">
        <f t="shared" si="23"/>
        <v>-1.5163474893680886</v>
      </c>
      <c r="C245" s="10">
        <f t="shared" si="24"/>
        <v>0.48523119659778835</v>
      </c>
      <c r="D245" s="10">
        <f t="shared" si="25"/>
        <v>0.56328015182163937</v>
      </c>
      <c r="E245" s="10">
        <f t="shared" si="26"/>
        <v>1.7564244002824037</v>
      </c>
      <c r="F245" s="10">
        <f t="shared" si="30"/>
        <v>9.6015714648101103E-4</v>
      </c>
      <c r="G245" s="10">
        <f t="shared" si="27"/>
        <v>-1.0711992821078826</v>
      </c>
      <c r="H245" s="10">
        <f t="shared" si="28"/>
        <v>0.25517508078723433</v>
      </c>
      <c r="I245" s="10">
        <f t="shared" si="31"/>
        <v>6.2350567669733348E-5</v>
      </c>
      <c r="J245" s="20">
        <f t="shared" si="29"/>
        <v>0</v>
      </c>
      <c r="K245" s="10">
        <f t="shared" si="32"/>
        <v>5.4680388126993051E-4</v>
      </c>
      <c r="L245" s="10">
        <f t="shared" si="33"/>
        <v>3.2808232876213594E-4</v>
      </c>
    </row>
    <row r="246" spans="1:12" x14ac:dyDescent="0.2">
      <c r="A246" s="14">
        <v>0.18099999999999999</v>
      </c>
      <c r="B246" s="10">
        <f t="shared" si="23"/>
        <v>-1.5095870525872437</v>
      </c>
      <c r="C246" s="10">
        <f t="shared" si="24"/>
        <v>0.48155826977533073</v>
      </c>
      <c r="D246" s="10">
        <f t="shared" si="25"/>
        <v>0.56383219227464243</v>
      </c>
      <c r="E246" s="10">
        <f t="shared" si="26"/>
        <v>1.7573942852872491</v>
      </c>
      <c r="F246" s="10">
        <f t="shared" si="30"/>
        <v>9.6988500484540552E-4</v>
      </c>
      <c r="G246" s="10">
        <f t="shared" si="27"/>
        <v>-1.0708680578360807</v>
      </c>
      <c r="H246" s="10">
        <f t="shared" si="28"/>
        <v>0.25523803862850875</v>
      </c>
      <c r="I246" s="10">
        <f t="shared" si="31"/>
        <v>6.2957841274413617E-5</v>
      </c>
      <c r="J246" s="20">
        <f t="shared" si="29"/>
        <v>0</v>
      </c>
      <c r="K246" s="10">
        <f t="shared" si="32"/>
        <v>5.5204045300305538E-4</v>
      </c>
      <c r="L246" s="10">
        <f t="shared" si="33"/>
        <v>3.3122427180187763E-4</v>
      </c>
    </row>
    <row r="247" spans="1:12" x14ac:dyDescent="0.2">
      <c r="A247" s="14">
        <v>0.182</v>
      </c>
      <c r="B247" s="10">
        <f t="shared" si="23"/>
        <v>-1.5028556495259517</v>
      </c>
      <c r="C247" s="10">
        <f t="shared" si="24"/>
        <v>0.47790809654925265</v>
      </c>
      <c r="D247" s="10">
        <f t="shared" si="25"/>
        <v>0.56438948569424063</v>
      </c>
      <c r="E247" s="10">
        <f t="shared" si="26"/>
        <v>1.7583739425109863</v>
      </c>
      <c r="F247" s="10">
        <f t="shared" si="30"/>
        <v>9.796572237372736E-4</v>
      </c>
      <c r="G247" s="10">
        <f t="shared" si="27"/>
        <v>-1.0705336817843221</v>
      </c>
      <c r="H247" s="10">
        <f t="shared" si="28"/>
        <v>0.25530160590317413</v>
      </c>
      <c r="I247" s="10">
        <f t="shared" si="31"/>
        <v>6.356727466538814E-5</v>
      </c>
      <c r="J247" s="20">
        <f t="shared" si="29"/>
        <v>0</v>
      </c>
      <c r="K247" s="10">
        <f t="shared" si="32"/>
        <v>5.5729341959820378E-4</v>
      </c>
      <c r="L247" s="10">
        <f t="shared" si="33"/>
        <v>3.3437605175867802E-4</v>
      </c>
    </row>
    <row r="248" spans="1:12" x14ac:dyDescent="0.2">
      <c r="A248" s="14">
        <v>0.183</v>
      </c>
      <c r="B248" s="10">
        <f t="shared" si="23"/>
        <v>-1.496152942018582</v>
      </c>
      <c r="C248" s="10">
        <f t="shared" si="24"/>
        <v>0.47428048261989048</v>
      </c>
      <c r="D248" s="10">
        <f t="shared" si="25"/>
        <v>0.56495204814304345</v>
      </c>
      <c r="E248" s="10">
        <f t="shared" si="26"/>
        <v>1.7593634159562033</v>
      </c>
      <c r="F248" s="10">
        <f t="shared" si="30"/>
        <v>9.8947344521693736E-4</v>
      </c>
      <c r="G248" s="10">
        <f t="shared" si="27"/>
        <v>-1.0701961443150401</v>
      </c>
      <c r="H248" s="10">
        <f t="shared" si="28"/>
        <v>0.25536578473704374</v>
      </c>
      <c r="I248" s="10">
        <f t="shared" si="31"/>
        <v>6.4178833869610319E-5</v>
      </c>
      <c r="J248" s="20">
        <f t="shared" si="29"/>
        <v>0</v>
      </c>
      <c r="K248" s="10">
        <f t="shared" si="32"/>
        <v>5.6256244880281692E-4</v>
      </c>
      <c r="L248" s="10">
        <f t="shared" si="33"/>
        <v>3.3753746928200101E-4</v>
      </c>
    </row>
    <row r="249" spans="1:12" x14ac:dyDescent="0.2">
      <c r="A249" s="14">
        <v>0.184</v>
      </c>
      <c r="B249" s="10">
        <f t="shared" si="23"/>
        <v>-1.4894785973551214</v>
      </c>
      <c r="C249" s="10">
        <f t="shared" si="24"/>
        <v>0.47067523676421841</v>
      </c>
      <c r="D249" s="10">
        <f t="shared" si="25"/>
        <v>0.56551989536117619</v>
      </c>
      <c r="E249" s="10">
        <f t="shared" si="26"/>
        <v>1.7603627492851108</v>
      </c>
      <c r="F249" s="10">
        <f t="shared" si="30"/>
        <v>9.9933332890755899E-4</v>
      </c>
      <c r="G249" s="10">
        <f t="shared" si="27"/>
        <v>-1.0698554359841606</v>
      </c>
      <c r="H249" s="10">
        <f t="shared" si="28"/>
        <v>0.2554305772230675</v>
      </c>
      <c r="I249" s="10">
        <f t="shared" si="31"/>
        <v>6.4792486023756979E-5</v>
      </c>
      <c r="J249" s="20">
        <f t="shared" si="29"/>
        <v>0</v>
      </c>
      <c r="K249" s="10">
        <f t="shared" si="32"/>
        <v>5.678472181327443E-4</v>
      </c>
      <c r="L249" s="10">
        <f t="shared" si="33"/>
        <v>3.4070833087951335E-4</v>
      </c>
    </row>
    <row r="250" spans="1:12" x14ac:dyDescent="0.2">
      <c r="A250" s="14">
        <v>0.185</v>
      </c>
      <c r="B250" s="10">
        <f t="shared" si="23"/>
        <v>-1.4828322881625378</v>
      </c>
      <c r="C250" s="10">
        <f t="shared" si="24"/>
        <v>0.46709217077119941</v>
      </c>
      <c r="D250" s="10">
        <f t="shared" si="25"/>
        <v>0.56609304277575689</v>
      </c>
      <c r="E250" s="10">
        <f t="shared" si="26"/>
        <v>1.7613719858366204</v>
      </c>
      <c r="F250" s="10">
        <f t="shared" si="30"/>
        <v>1.0092365515095292E-3</v>
      </c>
      <c r="G250" s="10">
        <f t="shared" si="27"/>
        <v>-1.0695115475354122</v>
      </c>
      <c r="H250" s="10">
        <f t="shared" si="28"/>
        <v>0.25549598542240981</v>
      </c>
      <c r="I250" s="10">
        <f t="shared" si="31"/>
        <v>6.5408199342309459E-5</v>
      </c>
      <c r="J250" s="20">
        <f t="shared" si="29"/>
        <v>0</v>
      </c>
      <c r="K250" s="10">
        <f t="shared" si="32"/>
        <v>5.7314741458069918E-4</v>
      </c>
      <c r="L250" s="10">
        <f t="shared" si="33"/>
        <v>3.4388844874833069E-4</v>
      </c>
    </row>
    <row r="251" spans="1:12" x14ac:dyDescent="0.2">
      <c r="A251" s="14">
        <v>0.186</v>
      </c>
      <c r="B251" s="10">
        <f t="shared" si="23"/>
        <v>-1.4762136922893392</v>
      </c>
      <c r="C251" s="10">
        <f t="shared" si="24"/>
        <v>0.46353109937885251</v>
      </c>
      <c r="D251" s="10">
        <f t="shared" si="25"/>
        <v>0.56667150551008794</v>
      </c>
      <c r="E251" s="10">
        <f t="shared" si="26"/>
        <v>1.7623911686429381</v>
      </c>
      <c r="F251" s="10">
        <f t="shared" si="30"/>
        <v>1.0191828063177422E-3</v>
      </c>
      <c r="G251" s="10">
        <f t="shared" si="27"/>
        <v>-1.0691644698948135</v>
      </c>
      <c r="H251" s="10">
        <f t="shared" si="28"/>
        <v>0.25556201136549411</v>
      </c>
      <c r="I251" s="10">
        <f t="shared" si="31"/>
        <v>6.602594308430243E-5</v>
      </c>
      <c r="J251" s="20">
        <f t="shared" si="29"/>
        <v>0</v>
      </c>
      <c r="K251" s="10">
        <f t="shared" si="32"/>
        <v>5.7846273433104223E-4</v>
      </c>
      <c r="L251" s="10">
        <f t="shared" si="33"/>
        <v>3.4707764059871415E-4</v>
      </c>
    </row>
    <row r="252" spans="1:12" x14ac:dyDescent="0.2">
      <c r="A252" s="14">
        <v>0.187</v>
      </c>
      <c r="B252" s="10">
        <f t="shared" si="23"/>
        <v>-1.469622492693224</v>
      </c>
      <c r="C252" s="10">
        <f t="shared" si="24"/>
        <v>0.45999184021297912</v>
      </c>
      <c r="D252" s="10">
        <f t="shared" si="25"/>
        <v>0.56725529839257516</v>
      </c>
      <c r="E252" s="10">
        <f t="shared" si="26"/>
        <v>1.7634203404457072</v>
      </c>
      <c r="F252" s="10">
        <f t="shared" si="30"/>
        <v>1.0291718027690688E-3</v>
      </c>
      <c r="G252" s="10">
        <f t="shared" si="27"/>
        <v>-1.0688141941653211</v>
      </c>
      <c r="H252" s="10">
        <f t="shared" si="28"/>
        <v>0.25562865705301724</v>
      </c>
      <c r="I252" s="10">
        <f t="shared" si="31"/>
        <v>6.6645687523125829E-5</v>
      </c>
      <c r="J252" s="20">
        <f t="shared" si="29"/>
        <v>0</v>
      </c>
      <c r="K252" s="10">
        <f t="shared" si="32"/>
        <v>5.8379288248722183E-4</v>
      </c>
      <c r="L252" s="10">
        <f t="shared" si="33"/>
        <v>3.5027572949242192E-4</v>
      </c>
    </row>
    <row r="253" spans="1:12" x14ac:dyDescent="0.2">
      <c r="A253" s="14">
        <v>0.188</v>
      </c>
      <c r="B253" s="10">
        <f t="shared" si="23"/>
        <v>-1.4630583773317287</v>
      </c>
      <c r="C253" s="10">
        <f t="shared" si="24"/>
        <v>0.45647421372749936</v>
      </c>
      <c r="D253" s="10">
        <f t="shared" si="25"/>
        <v>0.56784443596538048</v>
      </c>
      <c r="E253" s="10">
        <f t="shared" si="26"/>
        <v>1.7644595437117001</v>
      </c>
      <c r="F253" s="10">
        <f t="shared" si="30"/>
        <v>1.0392032659929384E-3</v>
      </c>
      <c r="G253" s="10">
        <f t="shared" si="27"/>
        <v>-1.068460711621638</v>
      </c>
      <c r="H253" s="10">
        <f t="shared" si="28"/>
        <v>0.25569592445693334</v>
      </c>
      <c r="I253" s="10">
        <f t="shared" si="31"/>
        <v>6.7267403916104751E-5</v>
      </c>
      <c r="J253" s="20">
        <f t="shared" si="29"/>
        <v>0</v>
      </c>
      <c r="K253" s="10">
        <f t="shared" si="32"/>
        <v>5.8913757280532053E-4</v>
      </c>
      <c r="L253" s="10">
        <f t="shared" si="33"/>
        <v>3.5348254368305909E-4</v>
      </c>
    </row>
    <row r="254" spans="1:12" x14ac:dyDescent="0.2">
      <c r="A254" s="14">
        <v>0.189</v>
      </c>
      <c r="B254" s="10">
        <f t="shared" si="23"/>
        <v>-1.4565210390557706</v>
      </c>
      <c r="C254" s="10">
        <f t="shared" si="24"/>
        <v>0.45297804314634466</v>
      </c>
      <c r="D254" s="10">
        <f t="shared" si="25"/>
        <v>0.56843893249282085</v>
      </c>
      <c r="E254" s="10">
        <f t="shared" si="26"/>
        <v>1.7655088206480898</v>
      </c>
      <c r="F254" s="10">
        <f t="shared" si="30"/>
        <v>1.0492769363896759E-3</v>
      </c>
      <c r="G254" s="10">
        <f t="shared" si="27"/>
        <v>-1.0681040137051736</v>
      </c>
      <c r="H254" s="10">
        <f t="shared" si="28"/>
        <v>0.25576381552140937</v>
      </c>
      <c r="I254" s="10">
        <f t="shared" si="31"/>
        <v>6.7891064476022223E-5</v>
      </c>
      <c r="J254" s="20">
        <f t="shared" si="29"/>
        <v>0</v>
      </c>
      <c r="K254" s="10">
        <f t="shared" si="32"/>
        <v>5.9449652744036907E-4</v>
      </c>
      <c r="L254" s="10">
        <f t="shared" si="33"/>
        <v>3.5669791646442128E-4</v>
      </c>
    </row>
    <row r="255" spans="1:12" x14ac:dyDescent="0.2">
      <c r="A255" s="14">
        <v>0.19</v>
      </c>
      <c r="B255" s="10">
        <f t="shared" si="23"/>
        <v>-1.4500101755059984</v>
      </c>
      <c r="C255" s="10">
        <f t="shared" si="24"/>
        <v>0.44950315440685951</v>
      </c>
      <c r="D255" s="10">
        <f t="shared" si="25"/>
        <v>0.56903880196952028</v>
      </c>
      <c r="E255" s="10">
        <f t="shared" si="26"/>
        <v>1.7665682132173053</v>
      </c>
      <c r="F255" s="10">
        <f t="shared" si="30"/>
        <v>1.0593925692155004E-3</v>
      </c>
      <c r="G255" s="10">
        <f t="shared" si="27"/>
        <v>-1.0677440920191541</v>
      </c>
      <c r="H255" s="10">
        <f t="shared" si="28"/>
        <v>0.2558323321637524</v>
      </c>
      <c r="I255" s="10">
        <f t="shared" si="31"/>
        <v>6.8516642343030565E-5</v>
      </c>
      <c r="J255" s="20">
        <f t="shared" si="29"/>
        <v>0</v>
      </c>
      <c r="K255" s="10">
        <f t="shared" si="32"/>
        <v>5.998694766994328E-4</v>
      </c>
      <c r="L255" s="10">
        <f t="shared" si="33"/>
        <v>3.5992168601950425E-4</v>
      </c>
    </row>
    <row r="256" spans="1:12" x14ac:dyDescent="0.2">
      <c r="A256" s="14">
        <v>0.191</v>
      </c>
      <c r="B256" s="10">
        <f t="shared" si="23"/>
        <v>-1.4435254890118618</v>
      </c>
      <c r="C256" s="10">
        <f t="shared" si="24"/>
        <v>0.44604937610466533</v>
      </c>
      <c r="D256" s="10">
        <f t="shared" si="25"/>
        <v>0.56964405812832197</v>
      </c>
      <c r="E256" s="10">
        <f t="shared" si="26"/>
        <v>1.7676377631514897</v>
      </c>
      <c r="F256" s="10">
        <f t="shared" si="30"/>
        <v>1.0695499341843995E-3</v>
      </c>
      <c r="G256" s="10">
        <f t="shared" si="27"/>
        <v>-1.0673809383238733</v>
      </c>
      <c r="H256" s="10">
        <f t="shared" si="28"/>
        <v>0.25590147627530985</v>
      </c>
      <c r="I256" s="10">
        <f t="shared" si="31"/>
        <v>6.9144111557450927E-5</v>
      </c>
      <c r="J256" s="20">
        <f t="shared" si="29"/>
        <v>0</v>
      </c>
      <c r="K256" s="10">
        <f t="shared" si="32"/>
        <v>6.0525615880169248E-4</v>
      </c>
      <c r="L256" s="10">
        <f t="shared" si="33"/>
        <v>3.6315369528083785E-4</v>
      </c>
    </row>
    <row r="257" spans="1:12" x14ac:dyDescent="0.2">
      <c r="A257" s="14">
        <v>0.192</v>
      </c>
      <c r="B257" s="10">
        <f t="shared" si="23"/>
        <v>-1.4370666864933139</v>
      </c>
      <c r="C257" s="10">
        <f t="shared" si="24"/>
        <v>0.44261653943994067</v>
      </c>
      <c r="D257" s="10">
        <f t="shared" si="25"/>
        <v>0.57025471444797171</v>
      </c>
      <c r="E257" s="10">
        <f t="shared" si="26"/>
        <v>1.7687175119665752</v>
      </c>
      <c r="F257" s="10">
        <f t="shared" si="30"/>
        <v>1.0797488150855461E-3</v>
      </c>
      <c r="G257" s="10">
        <f t="shared" si="27"/>
        <v>-1.0670145445320829</v>
      </c>
      <c r="H257" s="10">
        <f t="shared" si="28"/>
        <v>0.25597124972234436</v>
      </c>
      <c r="I257" s="10">
        <f t="shared" si="31"/>
        <v>6.9773447034515712E-5</v>
      </c>
      <c r="J257" s="20">
        <f t="shared" si="29"/>
        <v>0</v>
      </c>
      <c r="K257" s="10">
        <f t="shared" si="32"/>
        <v>6.1065631964973832E-4</v>
      </c>
      <c r="L257" s="10">
        <f t="shared" si="33"/>
        <v>3.663937917903759E-4</v>
      </c>
    </row>
    <row r="258" spans="1:12" x14ac:dyDescent="0.2">
      <c r="A258" s="14">
        <v>0.193</v>
      </c>
      <c r="B258" s="10">
        <f t="shared" ref="B258:B321" si="34">LN(A258/(1-A258))</f>
        <v>-1.430633479365063</v>
      </c>
      <c r="C258" s="10">
        <f t="shared" ref="C258:C321" si="35">(A258-0.5)*B258</f>
        <v>0.43920447816507435</v>
      </c>
      <c r="D258" s="10">
        <f t="shared" ref="D258:D321" si="36">$B$45+$B$46*B258+$B$47*C258</f>
        <v>0.5708707841605789</v>
      </c>
      <c r="E258" s="10">
        <f t="shared" ref="E258:E321" si="37">$B$14+EXP(D258)</f>
        <v>1.7698075009759888</v>
      </c>
      <c r="F258" s="10">
        <f t="shared" si="30"/>
        <v>1.0899890094135944E-3</v>
      </c>
      <c r="G258" s="10">
        <f t="shared" ref="G258:G321" si="38">$C$45+$C$46*B258+$C$47*C258</f>
        <v>-1.0666449027045188</v>
      </c>
      <c r="H258" s="10">
        <f t="shared" ref="H258:H321" si="39">$C$14+($C$15-$C$14)/(1+EXP(-G258))</f>
        <v>0.2560416543468822</v>
      </c>
      <c r="I258" s="10">
        <f t="shared" si="31"/>
        <v>7.0404624537834248E-5</v>
      </c>
      <c r="J258" s="20">
        <f t="shared" ref="J258:J321" si="40">G258-($B$22+$B$21*D258)</f>
        <v>0</v>
      </c>
      <c r="K258" s="10">
        <f t="shared" si="32"/>
        <v>6.1606971260719234E-4</v>
      </c>
      <c r="L258" s="10">
        <f t="shared" si="33"/>
        <v>3.6964182756404895E-4</v>
      </c>
    </row>
    <row r="259" spans="1:12" x14ac:dyDescent="0.2">
      <c r="A259" s="14">
        <v>0.19400000000000001</v>
      </c>
      <c r="B259" s="10">
        <f t="shared" si="34"/>
        <v>-1.4242255834433002</v>
      </c>
      <c r="C259" s="10">
        <f t="shared" si="35"/>
        <v>0.43581302853364984</v>
      </c>
      <c r="D259" s="10">
        <f t="shared" si="36"/>
        <v>0.57149228025886045</v>
      </c>
      <c r="E259" s="10">
        <f t="shared" si="37"/>
        <v>1.7709077713039971</v>
      </c>
      <c r="F259" s="10">
        <f t="shared" ref="F259:F322" si="41">E259-E258</f>
        <v>1.1002703280083015E-3</v>
      </c>
      <c r="G259" s="10">
        <f t="shared" si="38"/>
        <v>-1.0662720050455499</v>
      </c>
      <c r="H259" s="10">
        <f t="shared" si="39"/>
        <v>0.256112691967539</v>
      </c>
      <c r="I259" s="10">
        <f t="shared" ref="I259:I322" si="42">H259-H258</f>
        <v>7.1037620656799749E-5</v>
      </c>
      <c r="J259" s="20">
        <f t="shared" si="40"/>
        <v>0</v>
      </c>
      <c r="K259" s="10">
        <f t="shared" ref="K259:K322" si="43">D259-D258</f>
        <v>6.2149609828154873E-4</v>
      </c>
      <c r="L259" s="10">
        <f t="shared" ref="L259:L322" si="44">G259-G258</f>
        <v>3.7289765896897364E-4</v>
      </c>
    </row>
    <row r="260" spans="1:12" x14ac:dyDescent="0.2">
      <c r="A260" s="14">
        <v>0.19500000000000001</v>
      </c>
      <c r="B260" s="10">
        <f t="shared" si="34"/>
        <v>-1.4178427188548164</v>
      </c>
      <c r="C260" s="10">
        <f t="shared" si="35"/>
        <v>0.43244202925071901</v>
      </c>
      <c r="D260" s="10">
        <f t="shared" si="36"/>
        <v>0.5721192155031799</v>
      </c>
      <c r="E260" s="10">
        <f t="shared" si="37"/>
        <v>1.7720183638987104</v>
      </c>
      <c r="F260" s="10">
        <f t="shared" si="41"/>
        <v>1.1105925947132445E-3</v>
      </c>
      <c r="G260" s="10">
        <f t="shared" si="38"/>
        <v>-1.0658958438989583</v>
      </c>
      <c r="H260" s="10">
        <f t="shared" si="39"/>
        <v>0.25618436438032083</v>
      </c>
      <c r="I260" s="10">
        <f t="shared" si="42"/>
        <v>7.1672412781831341E-5</v>
      </c>
      <c r="J260" s="20">
        <f t="shared" si="40"/>
        <v>0</v>
      </c>
      <c r="K260" s="10">
        <f t="shared" si="43"/>
        <v>6.2693524431944869E-4</v>
      </c>
      <c r="L260" s="10">
        <f t="shared" si="44"/>
        <v>3.7616114659155819E-4</v>
      </c>
    </row>
    <row r="261" spans="1:12" x14ac:dyDescent="0.2">
      <c r="A261" s="14">
        <v>0.19600000000000001</v>
      </c>
      <c r="B261" s="10">
        <f t="shared" si="34"/>
        <v>-1.411484609948449</v>
      </c>
      <c r="C261" s="10">
        <f t="shared" si="35"/>
        <v>0.42909132142432849</v>
      </c>
      <c r="D261" s="10">
        <f t="shared" si="36"/>
        <v>0.57275160242838241</v>
      </c>
      <c r="E261" s="10">
        <f t="shared" si="37"/>
        <v>1.7731393195447487</v>
      </c>
      <c r="F261" s="10">
        <f t="shared" si="41"/>
        <v>1.120955646038313E-3</v>
      </c>
      <c r="G261" s="10">
        <f t="shared" si="38"/>
        <v>-1.0655164117438367</v>
      </c>
      <c r="H261" s="10">
        <f t="shared" si="39"/>
        <v>0.25625667335940272</v>
      </c>
      <c r="I261" s="10">
        <f t="shared" si="42"/>
        <v>7.2308979081892044E-5</v>
      </c>
      <c r="J261" s="20">
        <f t="shared" si="40"/>
        <v>0</v>
      </c>
      <c r="K261" s="10">
        <f t="shared" si="43"/>
        <v>6.323869252025105E-4</v>
      </c>
      <c r="L261" s="10">
        <f t="shared" si="44"/>
        <v>3.7943215512159512E-4</v>
      </c>
    </row>
    <row r="262" spans="1:12" x14ac:dyDescent="0.2">
      <c r="A262" s="14">
        <v>0.19700000000000001</v>
      </c>
      <c r="B262" s="10">
        <f t="shared" si="34"/>
        <v>-1.4051509852087729</v>
      </c>
      <c r="C262" s="10">
        <f t="shared" si="35"/>
        <v>0.42576074851825818</v>
      </c>
      <c r="D262" s="10">
        <f t="shared" si="36"/>
        <v>0.57338945335043812</v>
      </c>
      <c r="E262" s="10">
        <f t="shared" si="37"/>
        <v>1.7742706788755918</v>
      </c>
      <c r="F262" s="10">
        <f t="shared" si="41"/>
        <v>1.1313593308430736E-3</v>
      </c>
      <c r="G262" s="10">
        <f t="shared" si="38"/>
        <v>-1.0651337011906032</v>
      </c>
      <c r="H262" s="10">
        <f t="shared" si="39"/>
        <v>0.25632962065788573</v>
      </c>
      <c r="I262" s="10">
        <f t="shared" si="42"/>
        <v>7.2947298483005962E-5</v>
      </c>
      <c r="J262" s="20">
        <f t="shared" si="40"/>
        <v>0</v>
      </c>
      <c r="K262" s="10">
        <f t="shared" si="43"/>
        <v>6.3785092205570493E-4</v>
      </c>
      <c r="L262" s="10">
        <f t="shared" si="44"/>
        <v>3.8271055323346737E-4</v>
      </c>
    </row>
    <row r="263" spans="1:12" x14ac:dyDescent="0.2">
      <c r="A263" s="14">
        <v>0.19800000000000001</v>
      </c>
      <c r="B263" s="10">
        <f t="shared" si="34"/>
        <v>-1.3988415771719793</v>
      </c>
      <c r="C263" s="10">
        <f t="shared" si="35"/>
        <v>0.42245015630593774</v>
      </c>
      <c r="D263" s="10">
        <f t="shared" si="36"/>
        <v>0.57403278037289562</v>
      </c>
      <c r="E263" s="10">
        <f t="shared" si="37"/>
        <v>1.7754124823856128</v>
      </c>
      <c r="F263" s="10">
        <f t="shared" si="41"/>
        <v>1.1418035100210222E-3</v>
      </c>
      <c r="G263" s="10">
        <f t="shared" si="38"/>
        <v>-1.064747704977129</v>
      </c>
      <c r="H263" s="10">
        <f t="shared" si="39"/>
        <v>0.25640320800853217</v>
      </c>
      <c r="I263" s="10">
        <f t="shared" si="42"/>
        <v>7.3587350646442395E-5</v>
      </c>
      <c r="J263" s="20">
        <f t="shared" si="40"/>
        <v>0</v>
      </c>
      <c r="K263" s="10">
        <f t="shared" si="43"/>
        <v>6.4332702245750717E-4</v>
      </c>
      <c r="L263" s="10">
        <f t="shared" si="44"/>
        <v>3.8599621347423785E-4</v>
      </c>
    </row>
    <row r="264" spans="1:12" x14ac:dyDescent="0.2">
      <c r="A264" s="14">
        <v>0.19900000000000001</v>
      </c>
      <c r="B264" s="10">
        <f t="shared" si="34"/>
        <v>-1.3925561223438667</v>
      </c>
      <c r="C264" s="10">
        <f t="shared" si="35"/>
        <v>0.41915939282550385</v>
      </c>
      <c r="D264" s="10">
        <f t="shared" si="36"/>
        <v>0.574681595393155</v>
      </c>
      <c r="E264" s="10">
        <f t="shared" si="37"/>
        <v>1.7765647704418173</v>
      </c>
      <c r="F264" s="10">
        <f t="shared" si="41"/>
        <v>1.1522880562044868E-3</v>
      </c>
      <c r="G264" s="10">
        <f t="shared" si="38"/>
        <v>-1.064358415964973</v>
      </c>
      <c r="H264" s="10">
        <f t="shared" si="39"/>
        <v>0.25647743712448096</v>
      </c>
      <c r="I264" s="10">
        <f t="shared" si="42"/>
        <v>7.4229115948787339E-5</v>
      </c>
      <c r="J264" s="20">
        <f t="shared" si="40"/>
        <v>0</v>
      </c>
      <c r="K264" s="10">
        <f t="shared" si="43"/>
        <v>6.4881502025937454E-4</v>
      </c>
      <c r="L264" s="10">
        <f t="shared" si="44"/>
        <v>3.8928901215595779E-4</v>
      </c>
    </row>
    <row r="265" spans="1:12" x14ac:dyDescent="0.2">
      <c r="A265" s="14">
        <v>0.2</v>
      </c>
      <c r="B265" s="10">
        <f t="shared" si="34"/>
        <v>-1.3862943611198906</v>
      </c>
      <c r="C265" s="10">
        <f t="shared" si="35"/>
        <v>0.41588830833596718</v>
      </c>
      <c r="D265" s="10">
        <f t="shared" si="36"/>
        <v>0.57533591010856422</v>
      </c>
      <c r="E265" s="10">
        <f t="shared" si="37"/>
        <v>1.7777275832952897</v>
      </c>
      <c r="F265" s="10">
        <f t="shared" si="41"/>
        <v>1.1628128534724169E-3</v>
      </c>
      <c r="G265" s="10">
        <f t="shared" si="38"/>
        <v>-1.0639658271357277</v>
      </c>
      <c r="H265" s="10">
        <f t="shared" si="39"/>
        <v>0.25655230969994219</v>
      </c>
      <c r="I265" s="10">
        <f t="shared" si="42"/>
        <v>7.4872575461237822E-5</v>
      </c>
      <c r="J265" s="20">
        <f t="shared" si="40"/>
        <v>0</v>
      </c>
      <c r="K265" s="10">
        <f t="shared" si="43"/>
        <v>6.5431471540922104E-4</v>
      </c>
      <c r="L265" s="10">
        <f t="shared" si="44"/>
        <v>3.9258882924531058E-4</v>
      </c>
    </row>
    <row r="266" spans="1:12" x14ac:dyDescent="0.2">
      <c r="A266" s="14">
        <v>0.20100000000000001</v>
      </c>
      <c r="B266" s="10">
        <f t="shared" si="34"/>
        <v>-1.3800560377071986</v>
      </c>
      <c r="C266" s="10">
        <f t="shared" si="35"/>
        <v>0.41263675527445237</v>
      </c>
      <c r="D266" s="10">
        <f t="shared" si="36"/>
        <v>0.57599573602234577</v>
      </c>
      <c r="E266" s="10">
        <f t="shared" si="37"/>
        <v>1.7789009610923596</v>
      </c>
      <c r="F266" s="10">
        <f t="shared" si="41"/>
        <v>1.1733777970699411E-3</v>
      </c>
      <c r="G266" s="10">
        <f t="shared" si="38"/>
        <v>-1.0635699315874587</v>
      </c>
      <c r="H266" s="10">
        <f t="shared" si="39"/>
        <v>0.25662782741087348</v>
      </c>
      <c r="I266" s="10">
        <f t="shared" si="42"/>
        <v>7.5517710931283233E-5</v>
      </c>
      <c r="J266" s="20">
        <f t="shared" si="40"/>
        <v>0</v>
      </c>
      <c r="K266" s="10">
        <f t="shared" si="43"/>
        <v>6.598259137815532E-4</v>
      </c>
      <c r="L266" s="10">
        <f t="shared" si="44"/>
        <v>3.9589554826902074E-4</v>
      </c>
    </row>
    <row r="267" spans="1:12" x14ac:dyDescent="0.2">
      <c r="A267" s="14">
        <v>0.20200000000000001</v>
      </c>
      <c r="B267" s="10">
        <f t="shared" si="34"/>
        <v>-1.373840900048604</v>
      </c>
      <c r="C267" s="10">
        <f t="shared" si="35"/>
        <v>0.409404588214484</v>
      </c>
      <c r="D267" s="10">
        <f t="shared" si="36"/>
        <v>0.57666108444935871</v>
      </c>
      <c r="E267" s="10">
        <f t="shared" si="37"/>
        <v>1.7800849438855006</v>
      </c>
      <c r="F267" s="10">
        <f t="shared" si="41"/>
        <v>1.1839827931410252E-3</v>
      </c>
      <c r="G267" s="10">
        <f t="shared" si="38"/>
        <v>-1.063170722531251</v>
      </c>
      <c r="H267" s="10">
        <f t="shared" si="39"/>
        <v>0.25670399191563703</v>
      </c>
      <c r="I267" s="10">
        <f t="shared" si="42"/>
        <v>7.6164504763553964E-5</v>
      </c>
      <c r="J267" s="20">
        <f t="shared" si="40"/>
        <v>0</v>
      </c>
      <c r="K267" s="10">
        <f t="shared" si="43"/>
        <v>6.6534842701293506E-4</v>
      </c>
      <c r="L267" s="10">
        <f t="shared" si="44"/>
        <v>3.9920905620771663E-4</v>
      </c>
    </row>
    <row r="268" spans="1:12" x14ac:dyDescent="0.2">
      <c r="A268" s="14">
        <v>0.20300000000000001</v>
      </c>
      <c r="B268" s="10">
        <f t="shared" si="34"/>
        <v>-1.3676486997484274</v>
      </c>
      <c r="C268" s="10">
        <f t="shared" si="35"/>
        <v>0.40619166382528293</v>
      </c>
      <c r="D268" s="10">
        <f t="shared" si="36"/>
        <v>0.5773319665217016</v>
      </c>
      <c r="E268" s="10">
        <f t="shared" si="37"/>
        <v>1.7812795716439673</v>
      </c>
      <c r="F268" s="10">
        <f t="shared" si="41"/>
        <v>1.194627758466682E-3</v>
      </c>
      <c r="G268" s="10">
        <f t="shared" si="38"/>
        <v>-1.0627681932878454</v>
      </c>
      <c r="H268" s="10">
        <f t="shared" si="39"/>
        <v>0.25678080485563898</v>
      </c>
      <c r="I268" s="10">
        <f t="shared" si="42"/>
        <v>7.6812940001946828E-5</v>
      </c>
      <c r="J268" s="20">
        <f t="shared" si="40"/>
        <v>0</v>
      </c>
      <c r="K268" s="10">
        <f t="shared" si="43"/>
        <v>6.7088207234289321E-4</v>
      </c>
      <c r="L268" s="10">
        <f t="shared" si="44"/>
        <v>4.0252924340555829E-4</v>
      </c>
    </row>
    <row r="269" spans="1:12" x14ac:dyDescent="0.2">
      <c r="A269" s="14">
        <v>0.20399999999999999</v>
      </c>
      <c r="B269" s="10">
        <f t="shared" si="34"/>
        <v>-1.3614791920001668</v>
      </c>
      <c r="C269" s="10">
        <f t="shared" si="35"/>
        <v>0.40299784083204943</v>
      </c>
      <c r="D269" s="10">
        <f t="shared" si="36"/>
        <v>0.57800839319416064</v>
      </c>
      <c r="E269" s="10">
        <f t="shared" si="37"/>
        <v>1.7824848842641783</v>
      </c>
      <c r="F269" s="10">
        <f t="shared" si="41"/>
        <v>1.2053126202109521E-3</v>
      </c>
      <c r="G269" s="10">
        <f t="shared" si="38"/>
        <v>-1.0623623372843698</v>
      </c>
      <c r="H269" s="10">
        <f t="shared" si="39"/>
        <v>0.25685826785595145</v>
      </c>
      <c r="I269" s="10">
        <f t="shared" si="42"/>
        <v>7.7463000312472108E-5</v>
      </c>
      <c r="J269" s="20">
        <f t="shared" si="40"/>
        <v>0</v>
      </c>
      <c r="K269" s="10">
        <f t="shared" si="43"/>
        <v>6.7642667245904065E-4</v>
      </c>
      <c r="L269" s="10">
        <f t="shared" si="44"/>
        <v>4.0585600347564643E-4</v>
      </c>
    </row>
    <row r="270" spans="1:12" x14ac:dyDescent="0.2">
      <c r="A270" s="14">
        <v>0.20499999999999999</v>
      </c>
      <c r="B270" s="10">
        <f t="shared" si="34"/>
        <v>-1.3553321355159238</v>
      </c>
      <c r="C270" s="10">
        <f t="shared" si="35"/>
        <v>0.39982297997719757</v>
      </c>
      <c r="D270" s="10">
        <f t="shared" si="36"/>
        <v>0.57869037524951006</v>
      </c>
      <c r="E270" s="10">
        <f t="shared" si="37"/>
        <v>1.7837009215798605</v>
      </c>
      <c r="F270" s="10">
        <f t="shared" si="41"/>
        <v>1.2160373156822057E-3</v>
      </c>
      <c r="G270" s="10">
        <f t="shared" si="38"/>
        <v>-1.0619531480511601</v>
      </c>
      <c r="H270" s="10">
        <f t="shared" si="39"/>
        <v>0.25693638252591738</v>
      </c>
      <c r="I270" s="10">
        <f t="shared" si="42"/>
        <v>7.811466996593408E-5</v>
      </c>
      <c r="J270" s="20">
        <f t="shared" si="40"/>
        <v>0</v>
      </c>
      <c r="K270" s="10">
        <f t="shared" si="43"/>
        <v>6.8198205534941714E-4</v>
      </c>
      <c r="L270" s="10">
        <f t="shared" si="44"/>
        <v>4.0918923320965028E-4</v>
      </c>
    </row>
    <row r="271" spans="1:12" x14ac:dyDescent="0.2">
      <c r="A271" s="14">
        <v>0.20599999999999999</v>
      </c>
      <c r="B271" s="10">
        <f t="shared" si="34"/>
        <v>-1.3492072924575549</v>
      </c>
      <c r="C271" s="10">
        <f t="shared" si="35"/>
        <v>0.39666694398252117</v>
      </c>
      <c r="D271" s="10">
        <f t="shared" si="36"/>
        <v>0.57937792330366567</v>
      </c>
      <c r="E271" s="10">
        <f t="shared" si="37"/>
        <v>1.7849277233719527</v>
      </c>
      <c r="F271" s="10">
        <f t="shared" si="41"/>
        <v>1.2268017920922247E-3</v>
      </c>
      <c r="G271" s="10">
        <f t="shared" si="38"/>
        <v>-1.0615406192186669</v>
      </c>
      <c r="H271" s="10">
        <f t="shared" si="39"/>
        <v>0.25701515045973944</v>
      </c>
      <c r="I271" s="10">
        <f t="shared" si="42"/>
        <v>7.8767933822054825E-5</v>
      </c>
      <c r="J271" s="20">
        <f t="shared" si="40"/>
        <v>0</v>
      </c>
      <c r="K271" s="10">
        <f t="shared" si="43"/>
        <v>6.8754805415560671E-4</v>
      </c>
      <c r="L271" s="10">
        <f t="shared" si="44"/>
        <v>4.125288324932086E-4</v>
      </c>
    </row>
    <row r="272" spans="1:12" x14ac:dyDescent="0.2">
      <c r="A272" s="14">
        <v>0.20699999999999999</v>
      </c>
      <c r="B272" s="10">
        <f t="shared" si="34"/>
        <v>-1.3431044283694791</v>
      </c>
      <c r="C272" s="10">
        <f t="shared" si="35"/>
        <v>0.39352959751225741</v>
      </c>
      <c r="D272" s="10">
        <f t="shared" si="36"/>
        <v>0.5800710478107014</v>
      </c>
      <c r="E272" s="10">
        <f t="shared" si="37"/>
        <v>1.7861653293782882</v>
      </c>
      <c r="F272" s="10">
        <f t="shared" si="41"/>
        <v>1.2376060063354899E-3</v>
      </c>
      <c r="G272" s="10">
        <f t="shared" si="38"/>
        <v>-1.0611247445144454</v>
      </c>
      <c r="H272" s="10">
        <f t="shared" si="39"/>
        <v>0.25709457323705298</v>
      </c>
      <c r="I272" s="10">
        <f t="shared" si="42"/>
        <v>7.9422777313542525E-5</v>
      </c>
      <c r="J272" s="20">
        <f t="shared" si="40"/>
        <v>0</v>
      </c>
      <c r="K272" s="10">
        <f t="shared" si="43"/>
        <v>6.9312450703573614E-4</v>
      </c>
      <c r="L272" s="10">
        <f t="shared" si="44"/>
        <v>4.158747042215527E-4</v>
      </c>
    </row>
    <row r="273" spans="1:12" x14ac:dyDescent="0.2">
      <c r="A273" s="14">
        <v>0.20799999999999999</v>
      </c>
      <c r="B273" s="10">
        <f t="shared" si="34"/>
        <v>-1.3370233121131081</v>
      </c>
      <c r="C273" s="10">
        <f t="shared" si="35"/>
        <v>0.39041080713702764</v>
      </c>
      <c r="D273" s="10">
        <f t="shared" si="36"/>
        <v>0.58076975906772721</v>
      </c>
      <c r="E273" s="10">
        <f t="shared" si="37"/>
        <v>1.7874137793030513</v>
      </c>
      <c r="F273" s="10">
        <f t="shared" si="41"/>
        <v>1.2484499247631398E-3</v>
      </c>
      <c r="G273" s="10">
        <f t="shared" si="38"/>
        <v>-1.0607055177602298</v>
      </c>
      <c r="H273" s="10">
        <f t="shared" si="39"/>
        <v>0.25717465242348359</v>
      </c>
      <c r="I273" s="10">
        <f t="shared" si="42"/>
        <v>8.0079186430603855E-5</v>
      </c>
      <c r="J273" s="20">
        <f t="shared" si="40"/>
        <v>0</v>
      </c>
      <c r="K273" s="10">
        <f t="shared" si="43"/>
        <v>6.9871125702580805E-4</v>
      </c>
      <c r="L273" s="10">
        <f t="shared" si="44"/>
        <v>4.1922675421557365E-4</v>
      </c>
    </row>
    <row r="274" spans="1:12" x14ac:dyDescent="0.2">
      <c r="A274" s="14">
        <v>0.20899999999999999</v>
      </c>
      <c r="B274" s="10">
        <f t="shared" si="34"/>
        <v>-1.3309637158028429</v>
      </c>
      <c r="C274" s="10">
        <f t="shared" si="35"/>
        <v>0.38731044129862735</v>
      </c>
      <c r="D274" s="10">
        <f t="shared" si="36"/>
        <v>0.58147406721963923</v>
      </c>
      <c r="E274" s="10">
        <f t="shared" si="37"/>
        <v>1.7886731128260298</v>
      </c>
      <c r="F274" s="10">
        <f t="shared" si="41"/>
        <v>1.2593335229784675E-3</v>
      </c>
      <c r="G274" s="10">
        <f t="shared" si="38"/>
        <v>-1.0602829328690826</v>
      </c>
      <c r="H274" s="10">
        <f t="shared" si="39"/>
        <v>0.25725538957119004</v>
      </c>
      <c r="I274" s="10">
        <f t="shared" si="42"/>
        <v>8.073714770645557E-5</v>
      </c>
      <c r="J274" s="20">
        <f t="shared" si="40"/>
        <v>0</v>
      </c>
      <c r="K274" s="10">
        <f t="shared" si="43"/>
        <v>7.0430815191202534E-4</v>
      </c>
      <c r="L274" s="10">
        <f t="shared" si="44"/>
        <v>4.225848911472152E-4</v>
      </c>
    </row>
    <row r="275" spans="1:12" x14ac:dyDescent="0.2">
      <c r="A275" s="14">
        <v>0.21</v>
      </c>
      <c r="B275" s="10">
        <f t="shared" si="34"/>
        <v>-1.3249254147435987</v>
      </c>
      <c r="C275" s="10">
        <f t="shared" si="35"/>
        <v>0.38422837027564366</v>
      </c>
      <c r="D275" s="10">
        <f t="shared" si="36"/>
        <v>0.58218398226373969</v>
      </c>
      <c r="E275" s="10">
        <f t="shared" si="37"/>
        <v>1.7899433696116553</v>
      </c>
      <c r="F275" s="10">
        <f t="shared" si="41"/>
        <v>1.2702567856255342E-3</v>
      </c>
      <c r="G275" s="10">
        <f t="shared" si="38"/>
        <v>-1.0598569838426224</v>
      </c>
      <c r="H275" s="10">
        <f t="shared" si="39"/>
        <v>0.25733678621939282</v>
      </c>
      <c r="I275" s="10">
        <f t="shared" si="42"/>
        <v>8.1396648202780586E-5</v>
      </c>
      <c r="J275" s="20">
        <f t="shared" si="40"/>
        <v>0</v>
      </c>
      <c r="K275" s="10">
        <f t="shared" si="43"/>
        <v>7.0991504410045092E-4</v>
      </c>
      <c r="L275" s="10">
        <f t="shared" si="44"/>
        <v>4.2594902646020394E-4</v>
      </c>
    </row>
    <row r="276" spans="1:12" x14ac:dyDescent="0.2">
      <c r="A276" s="14">
        <v>0.21099999999999999</v>
      </c>
      <c r="B276" s="10">
        <f t="shared" si="34"/>
        <v>-1.3189081873698079</v>
      </c>
      <c r="C276" s="10">
        <f t="shared" si="35"/>
        <v>0.38116446614987454</v>
      </c>
      <c r="D276" s="10">
        <f t="shared" si="36"/>
        <v>0.5828995140542359</v>
      </c>
      <c r="E276" s="10">
        <f t="shared" si="37"/>
        <v>1.7912245893178518</v>
      </c>
      <c r="F276" s="10">
        <f t="shared" si="41"/>
        <v>1.2812197061964348E-3</v>
      </c>
      <c r="G276" s="10">
        <f t="shared" si="38"/>
        <v>-1.0594276647683245</v>
      </c>
      <c r="H276" s="10">
        <f t="shared" si="39"/>
        <v>0.25741884389488895</v>
      </c>
      <c r="I276" s="10">
        <f t="shared" si="42"/>
        <v>8.2057675496127747E-5</v>
      </c>
      <c r="J276" s="20">
        <f t="shared" si="40"/>
        <v>0</v>
      </c>
      <c r="K276" s="10">
        <f t="shared" si="43"/>
        <v>7.1553179049621551E-4</v>
      </c>
      <c r="L276" s="10">
        <f t="shared" si="44"/>
        <v>4.2931907429788474E-4</v>
      </c>
    </row>
    <row r="277" spans="1:12" x14ac:dyDescent="0.2">
      <c r="A277" s="14">
        <v>0.21199999999999999</v>
      </c>
      <c r="B277" s="10">
        <f t="shared" si="34"/>
        <v>-1.3129118151858667</v>
      </c>
      <c r="C277" s="10">
        <f t="shared" si="35"/>
        <v>0.37811860277352966</v>
      </c>
      <c r="D277" s="10">
        <f t="shared" si="36"/>
        <v>0.58362067230661896</v>
      </c>
      <c r="E277" s="10">
        <f t="shared" si="37"/>
        <v>1.792516811604689</v>
      </c>
      <c r="F277" s="10">
        <f t="shared" si="41"/>
        <v>1.2922222868372302E-3</v>
      </c>
      <c r="G277" s="10">
        <f t="shared" si="38"/>
        <v>-1.0589949698168946</v>
      </c>
      <c r="H277" s="10">
        <f t="shared" si="39"/>
        <v>0.25750156411255276</v>
      </c>
      <c r="I277" s="10">
        <f t="shared" si="42"/>
        <v>8.272021766381199E-5</v>
      </c>
      <c r="J277" s="20">
        <f t="shared" si="40"/>
        <v>0</v>
      </c>
      <c r="K277" s="10">
        <f t="shared" si="43"/>
        <v>7.2115825238305842E-4</v>
      </c>
      <c r="L277" s="10">
        <f t="shared" si="44"/>
        <v>4.3269495142994607E-4</v>
      </c>
    </row>
    <row r="278" spans="1:12" x14ac:dyDescent="0.2">
      <c r="A278" s="14">
        <v>0.21299999999999999</v>
      </c>
      <c r="B278" s="10">
        <f t="shared" si="34"/>
        <v>-1.3069360827079783</v>
      </c>
      <c r="C278" s="10">
        <f t="shared" si="35"/>
        <v>0.3750906557371898</v>
      </c>
      <c r="D278" s="10">
        <f t="shared" si="36"/>
        <v>0.58434746660192727</v>
      </c>
      <c r="E278" s="10">
        <f t="shared" si="37"/>
        <v>1.7938200761428547</v>
      </c>
      <c r="F278" s="10">
        <f t="shared" si="41"/>
        <v>1.3032645381656494E-3</v>
      </c>
      <c r="G278" s="10">
        <f t="shared" si="38"/>
        <v>-1.0585588932397099</v>
      </c>
      <c r="H278" s="10">
        <f t="shared" si="39"/>
        <v>0.25758494837582446</v>
      </c>
      <c r="I278" s="10">
        <f t="shared" si="42"/>
        <v>8.3384263271701897E-5</v>
      </c>
      <c r="J278" s="20">
        <f t="shared" si="40"/>
        <v>0</v>
      </c>
      <c r="K278" s="10">
        <f t="shared" si="43"/>
        <v>7.2679429530830841E-4</v>
      </c>
      <c r="L278" s="10">
        <f t="shared" si="44"/>
        <v>4.3607657718469639E-4</v>
      </c>
    </row>
    <row r="279" spans="1:12" x14ac:dyDescent="0.2">
      <c r="A279" s="14">
        <v>0.214</v>
      </c>
      <c r="B279" s="10">
        <f t="shared" si="34"/>
        <v>-1.3009807774073552</v>
      </c>
      <c r="C279" s="10">
        <f t="shared" si="35"/>
        <v>0.37208050233850365</v>
      </c>
      <c r="D279" s="10">
        <f t="shared" si="36"/>
        <v>0.58507990639089735</v>
      </c>
      <c r="E279" s="10">
        <f t="shared" si="37"/>
        <v>1.7951344226219452</v>
      </c>
      <c r="F279" s="10">
        <f t="shared" si="41"/>
        <v>1.3143464790905668E-3</v>
      </c>
      <c r="G279" s="10">
        <f t="shared" si="38"/>
        <v>-1.0581194293663276</v>
      </c>
      <c r="H279" s="10">
        <f t="shared" si="39"/>
        <v>0.25766899817718569</v>
      </c>
      <c r="I279" s="10">
        <f t="shared" si="42"/>
        <v>8.4049801361230081E-5</v>
      </c>
      <c r="J279" s="20">
        <f t="shared" si="40"/>
        <v>0</v>
      </c>
      <c r="K279" s="10">
        <f t="shared" si="43"/>
        <v>7.324397889700851E-4</v>
      </c>
      <c r="L279" s="10">
        <f t="shared" si="44"/>
        <v>4.394638733822287E-4</v>
      </c>
    </row>
    <row r="280" spans="1:12" x14ac:dyDescent="0.2">
      <c r="A280" s="14">
        <v>0.215</v>
      </c>
      <c r="B280" s="10">
        <f t="shared" si="34"/>
        <v>-1.2950456896547458</v>
      </c>
      <c r="C280" s="10">
        <f t="shared" si="35"/>
        <v>0.36908802155160259</v>
      </c>
      <c r="D280" s="10">
        <f t="shared" si="36"/>
        <v>0.58581800099800729</v>
      </c>
      <c r="E280" s="10">
        <f t="shared" si="37"/>
        <v>1.7964598907585874</v>
      </c>
      <c r="F280" s="10">
        <f t="shared" si="41"/>
        <v>1.3254681366421384E-3</v>
      </c>
      <c r="G280" s="10">
        <f t="shared" si="38"/>
        <v>-1.0576765726020616</v>
      </c>
      <c r="H280" s="10">
        <f t="shared" si="39"/>
        <v>0.25775371499862237</v>
      </c>
      <c r="I280" s="10">
        <f t="shared" si="42"/>
        <v>8.4716821436681133E-5</v>
      </c>
      <c r="J280" s="20">
        <f t="shared" si="40"/>
        <v>0</v>
      </c>
      <c r="K280" s="10">
        <f t="shared" si="43"/>
        <v>7.3809460710994035E-4</v>
      </c>
      <c r="L280" s="10">
        <f t="shared" si="44"/>
        <v>4.4285676426603082E-4</v>
      </c>
    </row>
    <row r="281" spans="1:12" x14ac:dyDescent="0.2">
      <c r="A281" s="14">
        <v>0.216</v>
      </c>
      <c r="B281" s="10">
        <f t="shared" si="34"/>
        <v>-1.289130612666243</v>
      </c>
      <c r="C281" s="10">
        <f t="shared" si="35"/>
        <v>0.36611309399721303</v>
      </c>
      <c r="D281" s="10">
        <f t="shared" si="36"/>
        <v>0.58656175962541424</v>
      </c>
      <c r="E281" s="10">
        <f t="shared" si="37"/>
        <v>1.7977965203043917</v>
      </c>
      <c r="F281" s="10">
        <f t="shared" si="41"/>
        <v>1.3366295458043798E-3</v>
      </c>
      <c r="G281" s="10">
        <f t="shared" si="38"/>
        <v>-1.0572303174256175</v>
      </c>
      <c r="H281" s="10">
        <f t="shared" si="39"/>
        <v>0.25783910031207669</v>
      </c>
      <c r="I281" s="10">
        <f t="shared" si="42"/>
        <v>8.538531345431144E-5</v>
      </c>
      <c r="J281" s="20">
        <f t="shared" si="40"/>
        <v>0</v>
      </c>
      <c r="K281" s="10">
        <f t="shared" si="43"/>
        <v>7.4375862740694298E-4</v>
      </c>
      <c r="L281" s="10">
        <f t="shared" si="44"/>
        <v>4.4625517644414359E-4</v>
      </c>
    </row>
    <row r="282" spans="1:12" x14ac:dyDescent="0.2">
      <c r="A282" s="14">
        <v>0.217</v>
      </c>
      <c r="B282" s="10">
        <f t="shared" si="34"/>
        <v>-1.2832353424503435</v>
      </c>
      <c r="C282" s="10">
        <f t="shared" si="35"/>
        <v>0.36315560191344726</v>
      </c>
      <c r="D282" s="10">
        <f t="shared" si="36"/>
        <v>0.58731119135678922</v>
      </c>
      <c r="E282" s="10">
        <f t="shared" si="37"/>
        <v>1.7991443510537455</v>
      </c>
      <c r="F282" s="10">
        <f t="shared" si="41"/>
        <v>1.34783074935374E-3</v>
      </c>
      <c r="G282" s="10">
        <f t="shared" si="38"/>
        <v>-1.0567806583867925</v>
      </c>
      <c r="H282" s="10">
        <f t="shared" si="39"/>
        <v>0.25792515557988671</v>
      </c>
      <c r="I282" s="10">
        <f t="shared" si="42"/>
        <v>8.6055267810025704E-5</v>
      </c>
      <c r="J282" s="20">
        <f t="shared" si="40"/>
        <v>0</v>
      </c>
      <c r="K282" s="10">
        <f t="shared" si="43"/>
        <v>7.494317313749832E-4</v>
      </c>
      <c r="L282" s="10">
        <f t="shared" si="44"/>
        <v>4.4965903882498992E-4</v>
      </c>
    </row>
    <row r="283" spans="1:12" x14ac:dyDescent="0.2">
      <c r="A283" s="14">
        <v>0.218</v>
      </c>
      <c r="B283" s="10">
        <f t="shared" si="34"/>
        <v>-1.2773596777562222</v>
      </c>
      <c r="C283" s="10">
        <f t="shared" si="35"/>
        <v>0.36021542912725468</v>
      </c>
      <c r="D283" s="10">
        <f t="shared" si="36"/>
        <v>0.58806630516105463</v>
      </c>
      <c r="E283" s="10">
        <f t="shared" si="37"/>
        <v>1.8005034228514518</v>
      </c>
      <c r="F283" s="10">
        <f t="shared" si="41"/>
        <v>1.3590717977063349E-3</v>
      </c>
      <c r="G283" s="10">
        <f t="shared" si="38"/>
        <v>-1.056327590104233</v>
      </c>
      <c r="H283" s="10">
        <f t="shared" si="39"/>
        <v>0.25801188225521543</v>
      </c>
      <c r="I283" s="10">
        <f t="shared" si="42"/>
        <v>8.6726675328718805E-5</v>
      </c>
      <c r="J283" s="20">
        <f t="shared" si="40"/>
        <v>0</v>
      </c>
      <c r="K283" s="10">
        <f t="shared" si="43"/>
        <v>7.5511380426540597E-4</v>
      </c>
      <c r="L283" s="10">
        <f t="shared" si="44"/>
        <v>4.5306828255942122E-4</v>
      </c>
    </row>
    <row r="284" spans="1:12" x14ac:dyDescent="0.2">
      <c r="A284" s="14">
        <v>0.219</v>
      </c>
      <c r="B284" s="10">
        <f t="shared" si="34"/>
        <v>-1.2715034200231852</v>
      </c>
      <c r="C284" s="10">
        <f t="shared" si="35"/>
        <v>0.35729246102651507</v>
      </c>
      <c r="D284" s="10">
        <f t="shared" si="36"/>
        <v>0.58882710989602471</v>
      </c>
      <c r="E284" s="10">
        <f t="shared" si="37"/>
        <v>1.8018737756002174</v>
      </c>
      <c r="F284" s="10">
        <f t="shared" si="41"/>
        <v>1.3703527487656242E-3</v>
      </c>
      <c r="G284" s="10">
        <f t="shared" si="38"/>
        <v>-1.0558711072632514</v>
      </c>
      <c r="H284" s="10">
        <f t="shared" si="39"/>
        <v>0.25809928178246855</v>
      </c>
      <c r="I284" s="10">
        <f t="shared" si="42"/>
        <v>8.7399527253118059E-5</v>
      </c>
      <c r="J284" s="20">
        <f t="shared" si="40"/>
        <v>0</v>
      </c>
      <c r="K284" s="10">
        <f t="shared" si="43"/>
        <v>7.608047349700886E-4</v>
      </c>
      <c r="L284" s="10">
        <f t="shared" si="44"/>
        <v>4.5648284098165348E-4</v>
      </c>
    </row>
    <row r="285" spans="1:12" x14ac:dyDescent="0.2">
      <c r="A285" s="14">
        <v>0.22</v>
      </c>
      <c r="B285" s="10">
        <f t="shared" si="34"/>
        <v>-1.2656663733312759</v>
      </c>
      <c r="C285" s="10">
        <f t="shared" si="35"/>
        <v>0.35438658453275729</v>
      </c>
      <c r="D285" s="10">
        <f t="shared" si="36"/>
        <v>0.58959361431195267</v>
      </c>
      <c r="E285" s="10">
        <f t="shared" si="37"/>
        <v>1.803255449267996</v>
      </c>
      <c r="F285" s="10">
        <f t="shared" si="41"/>
        <v>1.3816736677785268E-3</v>
      </c>
      <c r="G285" s="10">
        <f t="shared" si="38"/>
        <v>-1.0554112046136945</v>
      </c>
      <c r="H285" s="10">
        <f t="shared" si="39"/>
        <v>0.25818735559770239</v>
      </c>
      <c r="I285" s="10">
        <f t="shared" si="42"/>
        <v>8.807381523384672E-5</v>
      </c>
      <c r="J285" s="20">
        <f t="shared" si="40"/>
        <v>0</v>
      </c>
      <c r="K285" s="10">
        <f t="shared" si="43"/>
        <v>7.6650441592795993E-4</v>
      </c>
      <c r="L285" s="10">
        <f t="shared" si="44"/>
        <v>4.5990264955686477E-4</v>
      </c>
    </row>
    <row r="286" spans="1:12" x14ac:dyDescent="0.2">
      <c r="A286" s="14">
        <v>0.221</v>
      </c>
      <c r="B286" s="10">
        <f t="shared" si="34"/>
        <v>-1.2598483443529955</v>
      </c>
      <c r="C286" s="10">
        <f t="shared" si="35"/>
        <v>0.35149768807448578</v>
      </c>
      <c r="D286" s="10">
        <f t="shared" si="36"/>
        <v>0.59036582705498852</v>
      </c>
      <c r="E286" s="10">
        <f t="shared" si="37"/>
        <v>1.8046484838951913</v>
      </c>
      <c r="F286" s="10">
        <f t="shared" si="41"/>
        <v>1.3930346271953109E-3</v>
      </c>
      <c r="G286" s="10">
        <f t="shared" si="38"/>
        <v>-1.0549478769678728</v>
      </c>
      <c r="H286" s="10">
        <f t="shared" si="39"/>
        <v>0.25827610512902088</v>
      </c>
      <c r="I286" s="10">
        <f t="shared" si="42"/>
        <v>8.8749531318488284E-5</v>
      </c>
      <c r="J286" s="20">
        <f t="shared" si="40"/>
        <v>0</v>
      </c>
      <c r="K286" s="10">
        <f t="shared" si="43"/>
        <v>7.7221274303584941E-4</v>
      </c>
      <c r="L286" s="10">
        <f t="shared" si="44"/>
        <v>4.6332764582168728E-4</v>
      </c>
    </row>
    <row r="287" spans="1:12" x14ac:dyDescent="0.2">
      <c r="A287" s="14">
        <v>0.222</v>
      </c>
      <c r="B287" s="10">
        <f t="shared" si="34"/>
        <v>-1.2540491423061122</v>
      </c>
      <c r="C287" s="10">
        <f t="shared" si="35"/>
        <v>0.3486256615610992</v>
      </c>
      <c r="D287" s="10">
        <f t="shared" si="36"/>
        <v>0.59114375667054986</v>
      </c>
      <c r="E287" s="10">
        <f t="shared" si="37"/>
        <v>1.8060529196017283</v>
      </c>
      <c r="F287" s="10">
        <f t="shared" si="41"/>
        <v>1.4044357065370328E-3</v>
      </c>
      <c r="G287" s="10">
        <f t="shared" si="38"/>
        <v>-1.0544811191985362</v>
      </c>
      <c r="H287" s="10">
        <f t="shared" si="39"/>
        <v>0.25836553179696337</v>
      </c>
      <c r="I287" s="10">
        <f t="shared" si="42"/>
        <v>8.9426667942482663E-5</v>
      </c>
      <c r="J287" s="20">
        <f t="shared" si="40"/>
        <v>0</v>
      </c>
      <c r="K287" s="10">
        <f t="shared" si="43"/>
        <v>7.7792961556133466E-4</v>
      </c>
      <c r="L287" s="10">
        <f t="shared" si="44"/>
        <v>4.6675776933668978E-4</v>
      </c>
    </row>
    <row r="288" spans="1:12" x14ac:dyDescent="0.2">
      <c r="A288" s="14">
        <v>0.223</v>
      </c>
      <c r="B288" s="10">
        <f t="shared" si="34"/>
        <v>-1.2482685789075285</v>
      </c>
      <c r="C288" s="10">
        <f t="shared" si="35"/>
        <v>0.34577039635738543</v>
      </c>
      <c r="D288" s="10">
        <f t="shared" si="36"/>
        <v>0.59192741160660578</v>
      </c>
      <c r="E288" s="10">
        <f t="shared" si="37"/>
        <v>1.8074687965939902</v>
      </c>
      <c r="F288" s="10">
        <f t="shared" si="41"/>
        <v>1.4158769922618664E-3</v>
      </c>
      <c r="G288" s="10">
        <f t="shared" si="38"/>
        <v>-1.0540109262369026</v>
      </c>
      <c r="H288" s="10">
        <f t="shared" si="39"/>
        <v>0.25845563701488261</v>
      </c>
      <c r="I288" s="10">
        <f t="shared" si="42"/>
        <v>9.0105217919245195E-5</v>
      </c>
      <c r="J288" s="20">
        <f t="shared" si="40"/>
        <v>0</v>
      </c>
      <c r="K288" s="10">
        <f t="shared" si="43"/>
        <v>7.8365493605592196E-4</v>
      </c>
      <c r="L288" s="10">
        <f t="shared" si="44"/>
        <v>4.7019296163353097E-4</v>
      </c>
    </row>
    <row r="289" spans="1:12" x14ac:dyDescent="0.2">
      <c r="A289" s="14">
        <v>0.224</v>
      </c>
      <c r="B289" s="10">
        <f t="shared" si="34"/>
        <v>-1.242506468328179</v>
      </c>
      <c r="C289" s="10">
        <f t="shared" si="35"/>
        <v>0.34293178525857743</v>
      </c>
      <c r="D289" s="10">
        <f t="shared" si="36"/>
        <v>0.59271680021687934</v>
      </c>
      <c r="E289" s="10">
        <f t="shared" si="37"/>
        <v>1.8088961551716285</v>
      </c>
      <c r="F289" s="10">
        <f t="shared" si="41"/>
        <v>1.4273585776383158E-3</v>
      </c>
      <c r="G289" s="10">
        <f t="shared" si="38"/>
        <v>-1.0535372930707383</v>
      </c>
      <c r="H289" s="10">
        <f t="shared" si="39"/>
        <v>0.25854642218931334</v>
      </c>
      <c r="I289" s="10">
        <f t="shared" si="42"/>
        <v>9.0785174430729754E-5</v>
      </c>
      <c r="J289" s="20">
        <f t="shared" si="40"/>
        <v>0</v>
      </c>
      <c r="K289" s="10">
        <f t="shared" si="43"/>
        <v>7.8938861027355589E-4</v>
      </c>
      <c r="L289" s="10">
        <f t="shared" si="44"/>
        <v>4.7363316616433337E-4</v>
      </c>
    </row>
    <row r="290" spans="1:12" x14ac:dyDescent="0.2">
      <c r="A290" s="14">
        <v>0.22500000000000001</v>
      </c>
      <c r="B290" s="10">
        <f t="shared" si="34"/>
        <v>-1.2367626271489267</v>
      </c>
      <c r="C290" s="10">
        <f t="shared" si="35"/>
        <v>0.34010972246595489</v>
      </c>
      <c r="D290" s="10">
        <f t="shared" si="36"/>
        <v>0.59351193076397235</v>
      </c>
      <c r="E290" s="10">
        <f t="shared" si="37"/>
        <v>1.8103350357342602</v>
      </c>
      <c r="F290" s="10">
        <f t="shared" si="41"/>
        <v>1.4388805626317502E-3</v>
      </c>
      <c r="G290" s="10">
        <f t="shared" si="38"/>
        <v>-1.0530602147424828</v>
      </c>
      <c r="H290" s="10">
        <f t="shared" si="39"/>
        <v>0.25863788872033233</v>
      </c>
      <c r="I290" s="10">
        <f t="shared" si="42"/>
        <v>9.1466531018991049E-5</v>
      </c>
      <c r="J290" s="20">
        <f t="shared" si="40"/>
        <v>0</v>
      </c>
      <c r="K290" s="10">
        <f t="shared" si="43"/>
        <v>7.9513054709301478E-4</v>
      </c>
      <c r="L290" s="10">
        <f t="shared" si="44"/>
        <v>4.7707832825549801E-4</v>
      </c>
    </row>
    <row r="291" spans="1:12" x14ac:dyDescent="0.2">
      <c r="A291" s="14">
        <v>0.22600000000000001</v>
      </c>
      <c r="B291" s="10">
        <f t="shared" si="34"/>
        <v>-1.2310368743174411</v>
      </c>
      <c r="C291" s="10">
        <f t="shared" si="35"/>
        <v>0.33730410356297891</v>
      </c>
      <c r="D291" s="10">
        <f t="shared" si="36"/>
        <v>0.59431281142240788</v>
      </c>
      <c r="E291" s="10">
        <f t="shared" si="37"/>
        <v>1.8117854787880345</v>
      </c>
      <c r="F291" s="10">
        <f t="shared" si="41"/>
        <v>1.4504430537742863E-3</v>
      </c>
      <c r="G291" s="10">
        <f t="shared" si="38"/>
        <v>-1.0525796863474213</v>
      </c>
      <c r="H291" s="10">
        <f t="shared" si="39"/>
        <v>0.2587300380019093</v>
      </c>
      <c r="I291" s="10">
        <f t="shared" si="42"/>
        <v>9.2149281576969777E-5</v>
      </c>
      <c r="J291" s="20">
        <f t="shared" si="40"/>
        <v>0</v>
      </c>
      <c r="K291" s="10">
        <f t="shared" si="43"/>
        <v>8.0088065843553213E-4</v>
      </c>
      <c r="L291" s="10">
        <f t="shared" si="44"/>
        <v>4.8052839506151912E-4</v>
      </c>
    </row>
    <row r="292" spans="1:12" x14ac:dyDescent="0.2">
      <c r="A292" s="14">
        <v>0.22700000000000001</v>
      </c>
      <c r="B292" s="10">
        <f t="shared" si="34"/>
        <v>-1.2253290311060192</v>
      </c>
      <c r="C292" s="10">
        <f t="shared" si="35"/>
        <v>0.33451482549194328</v>
      </c>
      <c r="D292" s="10">
        <f t="shared" si="36"/>
        <v>0.59511945028160262</v>
      </c>
      <c r="E292" s="10">
        <f t="shared" si="37"/>
        <v>1.8132475249520994</v>
      </c>
      <c r="F292" s="10">
        <f t="shared" si="41"/>
        <v>1.4620461640648674E-3</v>
      </c>
      <c r="G292" s="10">
        <f t="shared" si="38"/>
        <v>-1.0520957030319045</v>
      </c>
      <c r="H292" s="10">
        <f t="shared" si="39"/>
        <v>0.25882287142224936</v>
      </c>
      <c r="I292" s="10">
        <f t="shared" si="42"/>
        <v>9.2833420340054928E-5</v>
      </c>
      <c r="J292" s="20">
        <f t="shared" si="40"/>
        <v>0</v>
      </c>
      <c r="K292" s="10">
        <f t="shared" si="43"/>
        <v>8.0663885919474154E-4</v>
      </c>
      <c r="L292" s="10">
        <f t="shared" si="44"/>
        <v>4.8398331551680052E-4</v>
      </c>
    </row>
    <row r="293" spans="1:12" x14ac:dyDescent="0.2">
      <c r="A293" s="14">
        <v>0.22800000000000001</v>
      </c>
      <c r="B293" s="10">
        <f t="shared" si="34"/>
        <v>-1.2196389210703353</v>
      </c>
      <c r="C293" s="10">
        <f t="shared" si="35"/>
        <v>0.33174178653113123</v>
      </c>
      <c r="D293" s="10">
        <f t="shared" si="36"/>
        <v>0.59593185534876225</v>
      </c>
      <c r="E293" s="10">
        <f t="shared" si="37"/>
        <v>1.8147212149649488</v>
      </c>
      <c r="F293" s="10">
        <f t="shared" si="41"/>
        <v>1.4736900128493602E-3</v>
      </c>
      <c r="G293" s="10">
        <f t="shared" si="38"/>
        <v>-1.0516082599916088</v>
      </c>
      <c r="H293" s="10">
        <f t="shared" si="39"/>
        <v>0.25891639036412767</v>
      </c>
      <c r="I293" s="10">
        <f t="shared" si="42"/>
        <v>9.3518941878312223E-5</v>
      </c>
      <c r="J293" s="20">
        <f t="shared" si="40"/>
        <v>0</v>
      </c>
      <c r="K293" s="10">
        <f t="shared" si="43"/>
        <v>8.1240506715962724E-4</v>
      </c>
      <c r="L293" s="10">
        <f t="shared" si="44"/>
        <v>4.8744304029568752E-4</v>
      </c>
    </row>
    <row r="294" spans="1:12" x14ac:dyDescent="0.2">
      <c r="A294" s="14">
        <v>0.22900000000000001</v>
      </c>
      <c r="B294" s="10">
        <f t="shared" si="34"/>
        <v>-1.2139663700090899</v>
      </c>
      <c r="C294" s="10">
        <f t="shared" si="35"/>
        <v>0.32898488627246336</v>
      </c>
      <c r="D294" s="10">
        <f t="shared" si="36"/>
        <v>0.59675003455170805</v>
      </c>
      <c r="E294" s="10">
        <f t="shared" si="37"/>
        <v>1.8162065896906709</v>
      </c>
      <c r="F294" s="10">
        <f t="shared" si="41"/>
        <v>1.4853747257221883E-3</v>
      </c>
      <c r="G294" s="10">
        <f t="shared" si="38"/>
        <v>-1.0511173524698414</v>
      </c>
      <c r="H294" s="10">
        <f t="shared" si="39"/>
        <v>0.25901059620521577</v>
      </c>
      <c r="I294" s="10">
        <f t="shared" si="42"/>
        <v>9.4205841088101927E-5</v>
      </c>
      <c r="J294" s="20">
        <f t="shared" si="40"/>
        <v>0</v>
      </c>
      <c r="K294" s="10">
        <f t="shared" si="43"/>
        <v>8.1817920294580126E-4</v>
      </c>
      <c r="L294" s="10">
        <f t="shared" si="44"/>
        <v>4.9090752176739194E-4</v>
      </c>
    </row>
    <row r="295" spans="1:12" x14ac:dyDescent="0.2">
      <c r="A295" s="14">
        <v>0.23</v>
      </c>
      <c r="B295" s="10">
        <f t="shared" si="34"/>
        <v>-1.2083112059245342</v>
      </c>
      <c r="C295" s="10">
        <f t="shared" si="35"/>
        <v>0.32624402559962429</v>
      </c>
      <c r="D295" s="10">
        <f t="shared" si="36"/>
        <v>0.59757399574163417</v>
      </c>
      <c r="E295" s="10">
        <f t="shared" si="37"/>
        <v>1.8177036901250918</v>
      </c>
      <c r="F295" s="10">
        <f t="shared" si="41"/>
        <v>1.4971004344208616E-3</v>
      </c>
      <c r="G295" s="10">
        <f t="shared" si="38"/>
        <v>-1.0506229757558856</v>
      </c>
      <c r="H295" s="10">
        <f t="shared" si="39"/>
        <v>0.25910549031840036</v>
      </c>
      <c r="I295" s="10">
        <f t="shared" si="42"/>
        <v>9.489411318458485E-5</v>
      </c>
      <c r="J295" s="20">
        <f t="shared" si="40"/>
        <v>0</v>
      </c>
      <c r="K295" s="10">
        <f t="shared" si="43"/>
        <v>8.2396118992611456E-4</v>
      </c>
      <c r="L295" s="10">
        <f t="shared" si="44"/>
        <v>4.9437671395580196E-4</v>
      </c>
    </row>
    <row r="296" spans="1:12" x14ac:dyDescent="0.2">
      <c r="A296" s="14">
        <v>0.23100000000000001</v>
      </c>
      <c r="B296" s="10">
        <f t="shared" si="34"/>
        <v>-1.2026732589838505</v>
      </c>
      <c r="C296" s="10">
        <f t="shared" si="35"/>
        <v>0.32351910666665579</v>
      </c>
      <c r="D296" s="10">
        <f t="shared" si="36"/>
        <v>0.59840374669579788</v>
      </c>
      <c r="E296" s="10">
        <f t="shared" si="37"/>
        <v>1.8192125574018219</v>
      </c>
      <c r="F296" s="10">
        <f t="shared" si="41"/>
        <v>1.5088672767300526E-3</v>
      </c>
      <c r="G296" s="10">
        <f t="shared" si="38"/>
        <v>-1.0501251251833874</v>
      </c>
      <c r="H296" s="10">
        <f t="shared" si="39"/>
        <v>0.25920107407209431</v>
      </c>
      <c r="I296" s="10">
        <f t="shared" si="42"/>
        <v>9.5583753693950779E-5</v>
      </c>
      <c r="J296" s="20">
        <f t="shared" si="40"/>
        <v>0</v>
      </c>
      <c r="K296" s="10">
        <f t="shared" si="43"/>
        <v>8.2975095416371047E-4</v>
      </c>
      <c r="L296" s="10">
        <f t="shared" si="44"/>
        <v>4.9785057249818188E-4</v>
      </c>
    </row>
    <row r="297" spans="1:12" x14ac:dyDescent="0.2">
      <c r="A297" s="14">
        <v>0.23200000000000001</v>
      </c>
      <c r="B297" s="10">
        <f t="shared" si="34"/>
        <v>-1.1970523614813622</v>
      </c>
      <c r="C297" s="10">
        <f t="shared" si="35"/>
        <v>0.3208100328770051</v>
      </c>
      <c r="D297" s="10">
        <f t="shared" si="36"/>
        <v>0.59923929512014462</v>
      </c>
      <c r="E297" s="10">
        <f t="shared" si="37"/>
        <v>1.8207332327982058</v>
      </c>
      <c r="F297" s="10">
        <f t="shared" si="41"/>
        <v>1.520675396383897E-3</v>
      </c>
      <c r="G297" s="10">
        <f t="shared" si="38"/>
        <v>-1.0496237961287793</v>
      </c>
      <c r="H297" s="10">
        <f t="shared" si="39"/>
        <v>0.2592973488305409</v>
      </c>
      <c r="I297" s="10">
        <f t="shared" si="42"/>
        <v>9.6274758446590614E-5</v>
      </c>
      <c r="J297" s="20">
        <f t="shared" si="40"/>
        <v>0</v>
      </c>
      <c r="K297" s="10">
        <f t="shared" si="43"/>
        <v>8.355484243467437E-4</v>
      </c>
      <c r="L297" s="10">
        <f t="shared" si="44"/>
        <v>5.0132905460809063E-4</v>
      </c>
    </row>
    <row r="298" spans="1:12" x14ac:dyDescent="0.2">
      <c r="A298" s="14">
        <v>0.23300000000000001</v>
      </c>
      <c r="B298" s="10">
        <f t="shared" si="34"/>
        <v>-1.1914483478015556</v>
      </c>
      <c r="C298" s="10">
        <f t="shared" si="35"/>
        <v>0.31811670886301535</v>
      </c>
      <c r="D298" s="10">
        <f t="shared" si="36"/>
        <v>0.60008064865187094</v>
      </c>
      <c r="E298" s="10">
        <f t="shared" si="37"/>
        <v>1.8222657577411856</v>
      </c>
      <c r="F298" s="10">
        <f t="shared" si="41"/>
        <v>1.5325249429798404E-3</v>
      </c>
      <c r="G298" s="10">
        <f t="shared" si="38"/>
        <v>-1.0491189840097435</v>
      </c>
      <c r="H298" s="10">
        <f t="shared" si="39"/>
        <v>0.25939431595411055</v>
      </c>
      <c r="I298" s="10">
        <f t="shared" si="42"/>
        <v>9.6967123569657865E-5</v>
      </c>
      <c r="J298" s="20">
        <f t="shared" si="40"/>
        <v>0</v>
      </c>
      <c r="K298" s="10">
        <f t="shared" si="43"/>
        <v>8.4135353172631877E-4</v>
      </c>
      <c r="L298" s="10">
        <f t="shared" si="44"/>
        <v>5.0481211903585788E-4</v>
      </c>
    </row>
    <row r="299" spans="1:12" x14ac:dyDescent="0.2">
      <c r="A299" s="14">
        <v>0.23400000000000001</v>
      </c>
      <c r="B299" s="10">
        <f t="shared" si="34"/>
        <v>-1.1858610543828898</v>
      </c>
      <c r="C299" s="10">
        <f t="shared" si="35"/>
        <v>0.3154390404658487</v>
      </c>
      <c r="D299" s="10">
        <f t="shared" si="36"/>
        <v>0.60092781486192559</v>
      </c>
      <c r="E299" s="10">
        <f t="shared" si="37"/>
        <v>1.823810173813071</v>
      </c>
      <c r="F299" s="10">
        <f t="shared" si="41"/>
        <v>1.5444160718853794E-3</v>
      </c>
      <c r="G299" s="10">
        <f t="shared" si="38"/>
        <v>-1.0486106842837106</v>
      </c>
      <c r="H299" s="10">
        <f t="shared" si="39"/>
        <v>0.2594919767995908</v>
      </c>
      <c r="I299" s="10">
        <f t="shared" si="42"/>
        <v>9.7660845480240788E-5</v>
      </c>
      <c r="J299" s="20">
        <f t="shared" si="40"/>
        <v>0</v>
      </c>
      <c r="K299" s="10">
        <f t="shared" si="43"/>
        <v>8.4716621005465065E-4</v>
      </c>
      <c r="L299" s="10">
        <f t="shared" si="44"/>
        <v>5.082997260328348E-4</v>
      </c>
    </row>
    <row r="300" spans="1:12" x14ac:dyDescent="0.2">
      <c r="A300" s="14">
        <v>0.23499999999999999</v>
      </c>
      <c r="B300" s="10">
        <f t="shared" si="34"/>
        <v>-1.1802903196823771</v>
      </c>
      <c r="C300" s="10">
        <f t="shared" si="35"/>
        <v>0.31277693471582996</v>
      </c>
      <c r="D300" s="10">
        <f t="shared" si="36"/>
        <v>0.60178080125745126</v>
      </c>
      <c r="E300" s="10">
        <f t="shared" si="37"/>
        <v>1.8253665227572282</v>
      </c>
      <c r="F300" s="10">
        <f t="shared" si="41"/>
        <v>1.5563489441572376E-3</v>
      </c>
      <c r="G300" s="10">
        <f t="shared" si="38"/>
        <v>-1.0480988924463954</v>
      </c>
      <c r="H300" s="10">
        <f t="shared" si="39"/>
        <v>0.25959033272046972</v>
      </c>
      <c r="I300" s="10">
        <f t="shared" si="42"/>
        <v>9.8355920878923087E-5</v>
      </c>
      <c r="J300" s="20">
        <f t="shared" si="40"/>
        <v>0</v>
      </c>
      <c r="K300" s="10">
        <f t="shared" si="43"/>
        <v>8.529863955256678E-4</v>
      </c>
      <c r="L300" s="10">
        <f t="shared" si="44"/>
        <v>5.1179183731520084E-4</v>
      </c>
    </row>
    <row r="301" spans="1:12" x14ac:dyDescent="0.2">
      <c r="A301" s="14">
        <v>0.23599999999999999</v>
      </c>
      <c r="B301" s="10">
        <f t="shared" si="34"/>
        <v>-1.1747359841409104</v>
      </c>
      <c r="C301" s="10">
        <f t="shared" si="35"/>
        <v>0.31013029981320034</v>
      </c>
      <c r="D301" s="10">
        <f t="shared" si="36"/>
        <v>0.60263961528416865</v>
      </c>
      <c r="E301" s="10">
        <f t="shared" si="37"/>
        <v>1.8269348464836852</v>
      </c>
      <c r="F301" s="10">
        <f t="shared" si="41"/>
        <v>1.5683237264569883E-3</v>
      </c>
      <c r="G301" s="10">
        <f t="shared" si="38"/>
        <v>-1.0475836040303648</v>
      </c>
      <c r="H301" s="10">
        <f t="shared" si="39"/>
        <v>0.25968938506721323</v>
      </c>
      <c r="I301" s="10">
        <f t="shared" si="42"/>
        <v>9.9052346743511155E-5</v>
      </c>
      <c r="J301" s="20">
        <f t="shared" si="40"/>
        <v>0</v>
      </c>
      <c r="K301" s="10">
        <f t="shared" si="43"/>
        <v>8.588140267173916E-4</v>
      </c>
      <c r="L301" s="10">
        <f t="shared" si="44"/>
        <v>5.15288416030657E-4</v>
      </c>
    </row>
    <row r="302" spans="1:12" x14ac:dyDescent="0.2">
      <c r="A302" s="14">
        <v>0.23699999999999999</v>
      </c>
      <c r="B302" s="10">
        <f t="shared" si="34"/>
        <v>-1.1691978901493258</v>
      </c>
      <c r="C302" s="10">
        <f t="shared" si="35"/>
        <v>0.30749904510927273</v>
      </c>
      <c r="D302" s="10">
        <f t="shared" si="36"/>
        <v>0.6035042643287043</v>
      </c>
      <c r="E302" s="10">
        <f t="shared" si="37"/>
        <v>1.8285151870746597</v>
      </c>
      <c r="F302" s="10">
        <f t="shared" si="41"/>
        <v>1.5803405909744495E-3</v>
      </c>
      <c r="G302" s="10">
        <f t="shared" si="38"/>
        <v>-1.0470648146036434</v>
      </c>
      <c r="H302" s="10">
        <f t="shared" si="39"/>
        <v>0.25978913518753488</v>
      </c>
      <c r="I302" s="10">
        <f t="shared" si="42"/>
        <v>9.9750120321651092E-5</v>
      </c>
      <c r="J302" s="20">
        <f t="shared" si="40"/>
        <v>0</v>
      </c>
      <c r="K302" s="10">
        <f t="shared" si="43"/>
        <v>8.6464904453564806E-4</v>
      </c>
      <c r="L302" s="10">
        <f t="shared" si="44"/>
        <v>5.1878942672134443E-4</v>
      </c>
    </row>
    <row r="303" spans="1:12" x14ac:dyDescent="0.2">
      <c r="A303" s="14">
        <v>0.23799999999999999</v>
      </c>
      <c r="B303" s="10">
        <f t="shared" si="34"/>
        <v>-1.1636758820151716</v>
      </c>
      <c r="C303" s="10">
        <f t="shared" si="35"/>
        <v>0.30488308108797496</v>
      </c>
      <c r="D303" s="10">
        <f t="shared" si="36"/>
        <v>0.60437475572086452</v>
      </c>
      <c r="E303" s="10">
        <f t="shared" si="37"/>
        <v>1.8301075867900107</v>
      </c>
      <c r="F303" s="10">
        <f t="shared" si="41"/>
        <v>1.5923997153510783E-3</v>
      </c>
      <c r="G303" s="10">
        <f t="shared" si="38"/>
        <v>-1.0465425197683471</v>
      </c>
      <c r="H303" s="10">
        <f t="shared" si="39"/>
        <v>0.25988958442666127</v>
      </c>
      <c r="I303" s="10">
        <f t="shared" si="42"/>
        <v>1.0044923912638781E-4</v>
      </c>
      <c r="J303" s="20">
        <f t="shared" si="40"/>
        <v>0</v>
      </c>
      <c r="K303" s="10">
        <f t="shared" si="43"/>
        <v>8.7049139216022198E-4</v>
      </c>
      <c r="L303" s="10">
        <f t="shared" si="44"/>
        <v>5.2229483529631082E-4</v>
      </c>
    </row>
    <row r="304" spans="1:12" x14ac:dyDescent="0.2">
      <c r="A304" s="14">
        <v>0.23899999999999999</v>
      </c>
      <c r="B304" s="10">
        <f t="shared" si="34"/>
        <v>-1.1581698059301753</v>
      </c>
      <c r="C304" s="10">
        <f t="shared" si="35"/>
        <v>0.30228231934777577</v>
      </c>
      <c r="D304" s="10">
        <f t="shared" si="36"/>
        <v>0.60525109673585575</v>
      </c>
      <c r="E304" s="10">
        <f t="shared" si="37"/>
        <v>1.8317120880726181</v>
      </c>
      <c r="F304" s="10">
        <f t="shared" si="41"/>
        <v>1.6045012826073624E-3</v>
      </c>
      <c r="G304" s="10">
        <f t="shared" si="38"/>
        <v>-1.0460167151593525</v>
      </c>
      <c r="H304" s="10">
        <f t="shared" si="39"/>
        <v>0.25999073412759011</v>
      </c>
      <c r="I304" s="10">
        <f t="shared" si="42"/>
        <v>1.0114970092883757E-4</v>
      </c>
      <c r="J304" s="20">
        <f t="shared" si="40"/>
        <v>0</v>
      </c>
      <c r="K304" s="10">
        <f t="shared" si="43"/>
        <v>8.7634101499123318E-4</v>
      </c>
      <c r="L304" s="10">
        <f t="shared" si="44"/>
        <v>5.2580460899465109E-4</v>
      </c>
    </row>
    <row r="305" spans="1:12" x14ac:dyDescent="0.2">
      <c r="A305" s="14">
        <v>0.24</v>
      </c>
      <c r="B305" s="10">
        <f t="shared" si="34"/>
        <v>-1.1526795099383855</v>
      </c>
      <c r="C305" s="10">
        <f t="shared" si="35"/>
        <v>0.29969667258398025</v>
      </c>
      <c r="D305" s="10">
        <f t="shared" si="36"/>
        <v>0.6061332945964536</v>
      </c>
      <c r="E305" s="10">
        <f t="shared" si="37"/>
        <v>1.8333287335536901</v>
      </c>
      <c r="F305" s="10">
        <f t="shared" si="41"/>
        <v>1.6166454810719877E-3</v>
      </c>
      <c r="G305" s="10">
        <f t="shared" si="38"/>
        <v>-1.045487396442994</v>
      </c>
      <c r="H305" s="10">
        <f t="shared" si="39"/>
        <v>0.26009258563134335</v>
      </c>
      <c r="I305" s="10">
        <f t="shared" si="42"/>
        <v>1.0185150375324747E-4</v>
      </c>
      <c r="J305" s="20">
        <f t="shared" si="40"/>
        <v>0</v>
      </c>
      <c r="K305" s="10">
        <f t="shared" si="43"/>
        <v>8.8219786059784422E-4</v>
      </c>
      <c r="L305" s="10">
        <f t="shared" si="44"/>
        <v>5.2931871635841787E-4</v>
      </c>
    </row>
    <row r="306" spans="1:12" x14ac:dyDescent="0.2">
      <c r="A306" s="14">
        <v>0.24099999999999999</v>
      </c>
      <c r="B306" s="10">
        <f t="shared" si="34"/>
        <v>-1.1472048439049751</v>
      </c>
      <c r="C306" s="10">
        <f t="shared" si="35"/>
        <v>0.29712605457138858</v>
      </c>
      <c r="D306" s="10">
        <f t="shared" si="36"/>
        <v>0.6070213564751219</v>
      </c>
      <c r="E306" s="10">
        <f t="shared" si="37"/>
        <v>1.8349575660580046</v>
      </c>
      <c r="F306" s="10">
        <f t="shared" si="41"/>
        <v>1.6288325043145591E-3</v>
      </c>
      <c r="G306" s="10">
        <f t="shared" si="38"/>
        <v>-1.044954559315793</v>
      </c>
      <c r="H306" s="10">
        <f t="shared" si="39"/>
        <v>0.2601951402772148</v>
      </c>
      <c r="I306" s="10">
        <f t="shared" si="42"/>
        <v>1.0255464587144436E-4</v>
      </c>
      <c r="J306" s="20">
        <f t="shared" si="40"/>
        <v>0</v>
      </c>
      <c r="K306" s="10">
        <f t="shared" si="43"/>
        <v>8.8806187866830033E-4</v>
      </c>
      <c r="L306" s="10">
        <f t="shared" si="44"/>
        <v>5.3283712720109122E-4</v>
      </c>
    </row>
    <row r="307" spans="1:12" x14ac:dyDescent="0.2">
      <c r="A307" s="14">
        <v>0.24199999999999999</v>
      </c>
      <c r="B307" s="10">
        <f t="shared" si="34"/>
        <v>-1.1417456594856852</v>
      </c>
      <c r="C307" s="10">
        <f t="shared" si="35"/>
        <v>0.2945703801473068</v>
      </c>
      <c r="D307" s="10">
        <f t="shared" si="36"/>
        <v>0.60791528949608409</v>
      </c>
      <c r="E307" s="10">
        <f t="shared" si="37"/>
        <v>1.8365986286090867</v>
      </c>
      <c r="F307" s="10">
        <f t="shared" si="41"/>
        <v>1.6410625510820953E-3</v>
      </c>
      <c r="G307" s="10">
        <f t="shared" si="38"/>
        <v>-1.0444181995032156</v>
      </c>
      <c r="H307" s="10">
        <f t="shared" si="39"/>
        <v>0.26029839940301119</v>
      </c>
      <c r="I307" s="10">
        <f t="shared" si="42"/>
        <v>1.0325912579639551E-4</v>
      </c>
      <c r="J307" s="20">
        <f t="shared" si="40"/>
        <v>0</v>
      </c>
      <c r="K307" s="10">
        <f t="shared" si="43"/>
        <v>8.9393302096218985E-4</v>
      </c>
      <c r="L307" s="10">
        <f t="shared" si="44"/>
        <v>5.3635981257738052E-4</v>
      </c>
    </row>
    <row r="308" spans="1:12" x14ac:dyDescent="0.2">
      <c r="A308" s="14">
        <v>0.24299999999999999</v>
      </c>
      <c r="B308" s="10">
        <f t="shared" si="34"/>
        <v>-1.1363018100969002</v>
      </c>
      <c r="C308" s="10">
        <f t="shared" si="35"/>
        <v>0.29202956519490336</v>
      </c>
      <c r="D308" s="10">
        <f t="shared" si="36"/>
        <v>0.60881510073734524</v>
      </c>
      <c r="E308" s="10">
        <f t="shared" si="37"/>
        <v>1.8382519644343214</v>
      </c>
      <c r="F308" s="10">
        <f t="shared" si="41"/>
        <v>1.6533358252346364E-3</v>
      </c>
      <c r="G308" s="10">
        <f t="shared" si="38"/>
        <v>-1.0438783127584588</v>
      </c>
      <c r="H308" s="10">
        <f t="shared" si="39"/>
        <v>0.26040236434528963</v>
      </c>
      <c r="I308" s="10">
        <f t="shared" si="42"/>
        <v>1.0396494227843389E-4</v>
      </c>
      <c r="J308" s="20">
        <f t="shared" si="40"/>
        <v>0</v>
      </c>
      <c r="K308" s="10">
        <f t="shared" si="43"/>
        <v>8.9981124126115031E-4</v>
      </c>
      <c r="L308" s="10">
        <f t="shared" si="44"/>
        <v>5.3988674475680121E-4</v>
      </c>
    </row>
    <row r="309" spans="1:12" x14ac:dyDescent="0.2">
      <c r="A309" s="14">
        <v>0.24399999999999999</v>
      </c>
      <c r="B309" s="10">
        <f t="shared" si="34"/>
        <v>-1.1308731508863312</v>
      </c>
      <c r="C309" s="10">
        <f t="shared" si="35"/>
        <v>0.28950352662690082</v>
      </c>
      <c r="D309" s="10">
        <f t="shared" si="36"/>
        <v>0.60972079723267147</v>
      </c>
      <c r="E309" s="10">
        <f t="shared" si="37"/>
        <v>1.8399176169700087</v>
      </c>
      <c r="F309" s="10">
        <f t="shared" si="41"/>
        <v>1.6656525356872898E-3</v>
      </c>
      <c r="G309" s="10">
        <f t="shared" si="38"/>
        <v>-1.0433348948612631</v>
      </c>
      <c r="H309" s="10">
        <f t="shared" si="39"/>
        <v>0.26050703643958861</v>
      </c>
      <c r="I309" s="10">
        <f t="shared" si="42"/>
        <v>1.0467209429898539E-4</v>
      </c>
      <c r="J309" s="20">
        <f t="shared" si="40"/>
        <v>0</v>
      </c>
      <c r="K309" s="10">
        <f t="shared" si="43"/>
        <v>9.0569649532623586E-4</v>
      </c>
      <c r="L309" s="10">
        <f t="shared" si="44"/>
        <v>5.4341789719569711E-4</v>
      </c>
    </row>
    <row r="310" spans="1:12" x14ac:dyDescent="0.2">
      <c r="A310" s="14">
        <v>0.245</v>
      </c>
      <c r="B310" s="10">
        <f t="shared" si="34"/>
        <v>-1.1254595387042978</v>
      </c>
      <c r="C310" s="10">
        <f t="shared" si="35"/>
        <v>0.28699218236959595</v>
      </c>
      <c r="D310" s="10">
        <f t="shared" si="36"/>
        <v>0.61063238597352121</v>
      </c>
      <c r="E310" s="10">
        <f t="shared" si="37"/>
        <v>1.8415956298663598</v>
      </c>
      <c r="F310" s="10">
        <f t="shared" si="41"/>
        <v>1.6780128963511665E-3</v>
      </c>
      <c r="G310" s="10">
        <f t="shared" si="38"/>
        <v>-1.0427879416167531</v>
      </c>
      <c r="H310" s="10">
        <f t="shared" si="39"/>
        <v>0.26061241702065502</v>
      </c>
      <c r="I310" s="10">
        <f t="shared" si="42"/>
        <v>1.0538058106640547E-4</v>
      </c>
      <c r="J310" s="20">
        <f t="shared" si="40"/>
        <v>0</v>
      </c>
      <c r="K310" s="10">
        <f t="shared" si="43"/>
        <v>9.1158874084973363E-4</v>
      </c>
      <c r="L310" s="10">
        <f t="shared" si="44"/>
        <v>5.4695324450992899E-4</v>
      </c>
    </row>
    <row r="311" spans="1:12" x14ac:dyDescent="0.2">
      <c r="A311" s="14">
        <v>0.246</v>
      </c>
      <c r="B311" s="10">
        <f t="shared" si="34"/>
        <v>-1.1200608320755931</v>
      </c>
      <c r="C311" s="10">
        <f t="shared" si="35"/>
        <v>0.28449545134720067</v>
      </c>
      <c r="D311" s="10">
        <f t="shared" si="36"/>
        <v>0.61154987391093574</v>
      </c>
      <c r="E311" s="10">
        <f t="shared" si="37"/>
        <v>1.8432860469924381</v>
      </c>
      <c r="F311" s="10">
        <f t="shared" si="41"/>
        <v>1.6904171260783141E-3</v>
      </c>
      <c r="G311" s="10">
        <f t="shared" si="38"/>
        <v>-1.0422374488543047</v>
      </c>
      <c r="H311" s="10">
        <f t="shared" si="39"/>
        <v>0.26071850742266534</v>
      </c>
      <c r="I311" s="10">
        <f t="shared" si="42"/>
        <v>1.0609040201031705E-4</v>
      </c>
      <c r="J311" s="20">
        <f t="shared" si="40"/>
        <v>0</v>
      </c>
      <c r="K311" s="10">
        <f t="shared" si="43"/>
        <v>9.174879374145295E-4</v>
      </c>
      <c r="L311" s="10">
        <f t="shared" si="44"/>
        <v>5.5049276244845124E-4</v>
      </c>
    </row>
    <row r="312" spans="1:12" x14ac:dyDescent="0.2">
      <c r="A312" s="14">
        <v>0.247</v>
      </c>
      <c r="B312" s="10">
        <f t="shared" si="34"/>
        <v>-1.1146768911719165</v>
      </c>
      <c r="C312" s="10">
        <f t="shared" si="35"/>
        <v>0.28201325346649486</v>
      </c>
      <c r="D312" s="10">
        <f t="shared" si="36"/>
        <v>0.61247326795738588</v>
      </c>
      <c r="E312" s="10">
        <f t="shared" si="37"/>
        <v>1.8449889124410475</v>
      </c>
      <c r="F312" s="10">
        <f t="shared" si="41"/>
        <v>1.7028654486093142E-3</v>
      </c>
      <c r="G312" s="10">
        <f t="shared" si="38"/>
        <v>-1.0416834124264345</v>
      </c>
      <c r="H312" s="10">
        <f t="shared" si="39"/>
        <v>0.26082530897944317</v>
      </c>
      <c r="I312" s="10">
        <f t="shared" si="42"/>
        <v>1.0680155677783576E-4</v>
      </c>
      <c r="J312" s="20">
        <f t="shared" si="40"/>
        <v>0</v>
      </c>
      <c r="K312" s="10">
        <f t="shared" si="43"/>
        <v>9.2339404645014334E-4</v>
      </c>
      <c r="L312" s="10">
        <f t="shared" si="44"/>
        <v>5.5403642787021923E-4</v>
      </c>
    </row>
    <row r="313" spans="1:12" x14ac:dyDescent="0.2">
      <c r="A313" s="14">
        <v>0.248</v>
      </c>
      <c r="B313" s="10">
        <f t="shared" si="34"/>
        <v>-1.1093075777848578</v>
      </c>
      <c r="C313" s="10">
        <f t="shared" si="35"/>
        <v>0.27954550960178415</v>
      </c>
      <c r="D313" s="10">
        <f t="shared" si="36"/>
        <v>0.61340257498858008</v>
      </c>
      <c r="E313" s="10">
        <f t="shared" si="37"/>
        <v>1.8467042705335723</v>
      </c>
      <c r="F313" s="10">
        <f t="shared" si="41"/>
        <v>1.7153580925248768E-3</v>
      </c>
      <c r="G313" s="10">
        <f t="shared" si="38"/>
        <v>-1.041125828207718</v>
      </c>
      <c r="H313" s="10">
        <f t="shared" si="39"/>
        <v>0.26093282302467125</v>
      </c>
      <c r="I313" s="10">
        <f t="shared" si="42"/>
        <v>1.0751404522807428E-4</v>
      </c>
      <c r="J313" s="20">
        <f t="shared" si="40"/>
        <v>0</v>
      </c>
      <c r="K313" s="10">
        <f t="shared" si="43"/>
        <v>9.2930703119420421E-4</v>
      </c>
      <c r="L313" s="10">
        <f t="shared" si="44"/>
        <v>5.5758421871643371E-4</v>
      </c>
    </row>
    <row r="314" spans="1:12" x14ac:dyDescent="0.2">
      <c r="A314" s="14">
        <v>0.249</v>
      </c>
      <c r="B314" s="10">
        <f t="shared" si="34"/>
        <v>-1.1039527552994273</v>
      </c>
      <c r="C314" s="10">
        <f t="shared" si="35"/>
        <v>0.27709214158015627</v>
      </c>
      <c r="D314" s="10">
        <f t="shared" si="36"/>
        <v>0.61433780184522957</v>
      </c>
      <c r="E314" s="10">
        <f t="shared" si="37"/>
        <v>1.8484321658247636</v>
      </c>
      <c r="F314" s="10">
        <f t="shared" si="41"/>
        <v>1.7278952911912171E-3</v>
      </c>
      <c r="G314" s="10">
        <f t="shared" si="38"/>
        <v>-1.0405646920937284</v>
      </c>
      <c r="H314" s="10">
        <f t="shared" si="39"/>
        <v>0.26104105089210006</v>
      </c>
      <c r="I314" s="10">
        <f t="shared" si="42"/>
        <v>1.0822786742881174E-4</v>
      </c>
      <c r="J314" s="20">
        <f t="shared" si="40"/>
        <v>0</v>
      </c>
      <c r="K314" s="10">
        <f t="shared" si="43"/>
        <v>9.3522685664948479E-4</v>
      </c>
      <c r="L314" s="10">
        <f t="shared" si="44"/>
        <v>5.6113611398966867E-4</v>
      </c>
    </row>
    <row r="315" spans="1:12" x14ac:dyDescent="0.2">
      <c r="A315" s="14">
        <v>0.25</v>
      </c>
      <c r="B315" s="10">
        <f t="shared" si="34"/>
        <v>-1.0986122886681098</v>
      </c>
      <c r="C315" s="10">
        <f t="shared" si="35"/>
        <v>0.27465307216702745</v>
      </c>
      <c r="D315" s="10">
        <f t="shared" si="36"/>
        <v>0.61527895533477661</v>
      </c>
      <c r="E315" s="10">
        <f t="shared" si="37"/>
        <v>1.8501726431074828</v>
      </c>
      <c r="F315" s="10">
        <f t="shared" si="41"/>
        <v>1.7404772827191994E-3</v>
      </c>
      <c r="G315" s="10">
        <f t="shared" si="38"/>
        <v>-1.04</v>
      </c>
      <c r="H315" s="10">
        <f t="shared" si="39"/>
        <v>0.261149993915751</v>
      </c>
      <c r="I315" s="10">
        <f t="shared" si="42"/>
        <v>1.0894302365094255E-4</v>
      </c>
      <c r="J315" s="20">
        <f t="shared" si="40"/>
        <v>0</v>
      </c>
      <c r="K315" s="10">
        <f t="shared" si="43"/>
        <v>9.4115348954704192E-4</v>
      </c>
      <c r="L315" s="10">
        <f t="shared" si="44"/>
        <v>5.6469209372833618E-4</v>
      </c>
    </row>
    <row r="316" spans="1:12" x14ac:dyDescent="0.2">
      <c r="A316" s="14">
        <v>0.251</v>
      </c>
      <c r="B316" s="10">
        <f t="shared" si="34"/>
        <v>-1.0932860443854355</v>
      </c>
      <c r="C316" s="10">
        <f t="shared" si="35"/>
        <v>0.27222822505197347</v>
      </c>
      <c r="D316" s="10">
        <f t="shared" si="36"/>
        <v>0.61622604223308541</v>
      </c>
      <c r="E316" s="10">
        <f t="shared" si="37"/>
        <v>1.8519257474174002</v>
      </c>
      <c r="F316" s="10">
        <f t="shared" si="41"/>
        <v>1.7531043099174859E-3</v>
      </c>
      <c r="G316" s="10">
        <f t="shared" si="38"/>
        <v>-1.0394317478610149</v>
      </c>
      <c r="H316" s="10">
        <f t="shared" si="39"/>
        <v>0.26125965343011642</v>
      </c>
      <c r="I316" s="10">
        <f t="shared" si="42"/>
        <v>1.0965951436542332E-4</v>
      </c>
      <c r="J316" s="20">
        <f t="shared" si="40"/>
        <v>0</v>
      </c>
      <c r="K316" s="10">
        <f t="shared" si="43"/>
        <v>9.4708689830880211E-4</v>
      </c>
      <c r="L316" s="10">
        <f t="shared" si="44"/>
        <v>5.6825213898514804E-4</v>
      </c>
    </row>
    <row r="317" spans="1:12" x14ac:dyDescent="0.2">
      <c r="A317" s="14">
        <v>0.252</v>
      </c>
      <c r="B317" s="10">
        <f t="shared" si="34"/>
        <v>-1.0879738904630538</v>
      </c>
      <c r="C317" s="10">
        <f t="shared" si="35"/>
        <v>0.26981752483483734</v>
      </c>
      <c r="D317" s="10">
        <f t="shared" si="36"/>
        <v>0.61717906928609523</v>
      </c>
      <c r="E317" s="10">
        <f t="shared" si="37"/>
        <v>1.8536915240376499</v>
      </c>
      <c r="F317" s="10">
        <f t="shared" si="41"/>
        <v>1.7657766202496816E-3</v>
      </c>
      <c r="G317" s="10">
        <f t="shared" si="38"/>
        <v>-1.0388599316292089</v>
      </c>
      <c r="H317" s="10">
        <f t="shared" si="39"/>
        <v>0.26137003077035498</v>
      </c>
      <c r="I317" s="10">
        <f t="shared" si="42"/>
        <v>1.1037734023855439E-4</v>
      </c>
      <c r="J317" s="20">
        <f t="shared" si="40"/>
        <v>0</v>
      </c>
      <c r="K317" s="10">
        <f t="shared" si="43"/>
        <v>9.5302705300981394E-4</v>
      </c>
      <c r="L317" s="10">
        <f t="shared" si="44"/>
        <v>5.7181623180602159E-4</v>
      </c>
    </row>
    <row r="318" spans="1:12" x14ac:dyDescent="0.2">
      <c r="A318" s="14">
        <v>0.253</v>
      </c>
      <c r="B318" s="10">
        <f t="shared" si="34"/>
        <v>-1.082675696405297</v>
      </c>
      <c r="C318" s="10">
        <f t="shared" si="35"/>
        <v>0.26742089701210836</v>
      </c>
      <c r="D318" s="10">
        <f t="shared" si="36"/>
        <v>0.61813804321143895</v>
      </c>
      <c r="E318" s="10">
        <f t="shared" si="37"/>
        <v>1.8554700185034456</v>
      </c>
      <c r="F318" s="10">
        <f t="shared" si="41"/>
        <v>1.7784944657956991E-3</v>
      </c>
      <c r="G318" s="10">
        <f t="shared" si="38"/>
        <v>-1.0382845472740025</v>
      </c>
      <c r="H318" s="10">
        <f t="shared" si="39"/>
        <v>0.26148112727248318</v>
      </c>
      <c r="I318" s="10">
        <f t="shared" si="42"/>
        <v>1.110965021282051E-4</v>
      </c>
      <c r="J318" s="20">
        <f t="shared" si="40"/>
        <v>0</v>
      </c>
      <c r="K318" s="10">
        <f t="shared" si="43"/>
        <v>9.5897392534372017E-4</v>
      </c>
      <c r="L318" s="10">
        <f t="shared" si="44"/>
        <v>5.7538435520632092E-4</v>
      </c>
    </row>
    <row r="319" spans="1:12" x14ac:dyDescent="0.2">
      <c r="A319" s="14">
        <v>0.254</v>
      </c>
      <c r="B319" s="10">
        <f t="shared" si="34"/>
        <v>-1.0773913331852243</v>
      </c>
      <c r="C319" s="10">
        <f t="shared" si="35"/>
        <v>0.26503826796356517</v>
      </c>
      <c r="D319" s="10">
        <f t="shared" si="36"/>
        <v>0.61910297070002596</v>
      </c>
      <c r="E319" s="10">
        <f t="shared" si="37"/>
        <v>1.8572612766066559</v>
      </c>
      <c r="F319" s="10">
        <f t="shared" si="41"/>
        <v>1.7912581032102359E-3</v>
      </c>
      <c r="G319" s="10">
        <f t="shared" si="38"/>
        <v>-1.0377055907808506</v>
      </c>
      <c r="H319" s="10">
        <f t="shared" si="39"/>
        <v>0.26159294427356311</v>
      </c>
      <c r="I319" s="10">
        <f t="shared" si="42"/>
        <v>1.1181700107992798E-4</v>
      </c>
      <c r="J319" s="20">
        <f t="shared" si="40"/>
        <v>0</v>
      </c>
      <c r="K319" s="10">
        <f t="shared" si="43"/>
        <v>9.649274885870085E-4</v>
      </c>
      <c r="L319" s="10">
        <f t="shared" si="44"/>
        <v>5.7895649315198305E-4</v>
      </c>
    </row>
    <row r="320" spans="1:12" x14ac:dyDescent="0.2">
      <c r="A320" s="14">
        <v>0.255</v>
      </c>
      <c r="B320" s="10">
        <f t="shared" si="34"/>
        <v>-1.0721206732211332</v>
      </c>
      <c r="C320" s="10">
        <f t="shared" si="35"/>
        <v>0.26266956493917765</v>
      </c>
      <c r="D320" s="10">
        <f t="shared" si="36"/>
        <v>0.62007385841759288</v>
      </c>
      <c r="E320" s="10">
        <f t="shared" si="37"/>
        <v>1.8590653444003442</v>
      </c>
      <c r="F320" s="10">
        <f t="shared" si="41"/>
        <v>1.8040677936883576E-3</v>
      </c>
      <c r="G320" s="10">
        <f t="shared" si="38"/>
        <v>-1.0371230581503104</v>
      </c>
      <c r="H320" s="10">
        <f t="shared" si="39"/>
        <v>0.26170548311188674</v>
      </c>
      <c r="I320" s="10">
        <f t="shared" si="42"/>
        <v>1.125388383236281E-4</v>
      </c>
      <c r="J320" s="20">
        <f t="shared" si="40"/>
        <v>0</v>
      </c>
      <c r="K320" s="10">
        <f t="shared" si="43"/>
        <v>9.7088771756692616E-4</v>
      </c>
      <c r="L320" s="10">
        <f t="shared" si="44"/>
        <v>5.825326305402001E-4</v>
      </c>
    </row>
    <row r="321" spans="1:12" x14ac:dyDescent="0.2">
      <c r="A321" s="14">
        <v>0.25600000000000001</v>
      </c>
      <c r="B321" s="10">
        <f t="shared" si="34"/>
        <v>-1.0668635903535293</v>
      </c>
      <c r="C321" s="10">
        <f t="shared" si="35"/>
        <v>0.26031471604626116</v>
      </c>
      <c r="D321" s="10">
        <f t="shared" si="36"/>
        <v>0.62105071300621895</v>
      </c>
      <c r="E321" s="10">
        <f t="shared" si="37"/>
        <v>1.8608822682032717</v>
      </c>
      <c r="F321" s="10">
        <f t="shared" si="41"/>
        <v>1.8169238029275281E-3</v>
      </c>
      <c r="G321" s="10">
        <f t="shared" si="38"/>
        <v>-1.0365369453971347</v>
      </c>
      <c r="H321" s="10">
        <f t="shared" si="39"/>
        <v>0.26181874512715575</v>
      </c>
      <c r="I321" s="10">
        <f t="shared" si="42"/>
        <v>1.1326201526901114E-4</v>
      </c>
      <c r="J321" s="20">
        <f t="shared" si="40"/>
        <v>0</v>
      </c>
      <c r="K321" s="10">
        <f t="shared" si="43"/>
        <v>9.7685458862606378E-4</v>
      </c>
      <c r="L321" s="10">
        <f t="shared" si="44"/>
        <v>5.8611275317566047E-4</v>
      </c>
    </row>
    <row r="322" spans="1:12" x14ac:dyDescent="0.2">
      <c r="A322" s="14">
        <v>0.25700000000000001</v>
      </c>
      <c r="B322" s="10">
        <f t="shared" ref="B322:B385" si="45">LN(A322/(1-A322))</f>
        <v>-1.0616199598225393</v>
      </c>
      <c r="C322" s="10">
        <f t="shared" ref="C322:C385" si="46">(A322-0.5)*B322</f>
        <v>0.25797365023687707</v>
      </c>
      <c r="D322" s="10">
        <f t="shared" ref="D322:D385" si="47">$B$45+$B$46*B322+$B$47*C322</f>
        <v>0.62203354108581288</v>
      </c>
      <c r="E322" s="10">
        <f t="shared" ref="E322:E385" si="48">$B$14+EXP(D322)</f>
        <v>1.8627120946043707</v>
      </c>
      <c r="F322" s="10">
        <f t="shared" si="41"/>
        <v>1.8298264010989662E-3</v>
      </c>
      <c r="G322" s="10">
        <f t="shared" ref="G322:G385" si="49">$C$45+$C$46*B322+$C$47*C322</f>
        <v>-1.0359472485493784</v>
      </c>
      <c r="H322" s="10">
        <f t="shared" ref="H322:H385" si="50">$C$14+($C$15-$C$14)/(1+EXP(-G322))</f>
        <v>0.26193273166065889</v>
      </c>
      <c r="I322" s="10">
        <f t="shared" si="42"/>
        <v>1.1398653350314092E-4</v>
      </c>
      <c r="J322" s="20">
        <f t="shared" ref="J322:J385" si="51">G322-($B$22+$B$21*D322)</f>
        <v>0</v>
      </c>
      <c r="K322" s="10">
        <f t="shared" si="43"/>
        <v>9.828280795939337E-4</v>
      </c>
      <c r="L322" s="10">
        <f t="shared" si="44"/>
        <v>5.8969684775633802E-4</v>
      </c>
    </row>
    <row r="323" spans="1:12" x14ac:dyDescent="0.2">
      <c r="A323" s="14">
        <v>0.25800000000000001</v>
      </c>
      <c r="B323" s="10">
        <f t="shared" si="45"/>
        <v>-1.056389658245763</v>
      </c>
      <c r="C323" s="10">
        <f t="shared" si="46"/>
        <v>0.25564629729547467</v>
      </c>
      <c r="D323" s="10">
        <f t="shared" si="47"/>
        <v>0.62302234925556588</v>
      </c>
      <c r="E323" s="10">
        <f t="shared" si="48"/>
        <v>1.8645548704671808</v>
      </c>
      <c r="F323" s="10">
        <f t="shared" ref="F323:F386" si="52">E323-E322</f>
        <v>1.8427758628101198E-3</v>
      </c>
      <c r="G323" s="10">
        <f t="shared" si="49"/>
        <v>-1.0353539636475264</v>
      </c>
      <c r="H323" s="10">
        <f t="shared" si="50"/>
        <v>0.26204744405544539</v>
      </c>
      <c r="I323" s="10">
        <f t="shared" ref="I323:I386" si="53">H323-H322</f>
        <v>1.1471239478649808E-4</v>
      </c>
      <c r="J323" s="20">
        <f t="shared" si="51"/>
        <v>0</v>
      </c>
      <c r="K323" s="10">
        <f t="shared" ref="K323:K386" si="54">D323-D322</f>
        <v>9.8880816975299712E-4</v>
      </c>
      <c r="L323" s="10">
        <f t="shared" ref="L323:L386" si="55">G323-G322</f>
        <v>5.9328490185195371E-4</v>
      </c>
    </row>
    <row r="324" spans="1:12" x14ac:dyDescent="0.2">
      <c r="A324" s="14">
        <v>0.25900000000000001</v>
      </c>
      <c r="B324" s="10">
        <f t="shared" si="45"/>
        <v>-1.051172563596549</v>
      </c>
      <c r="C324" s="10">
        <f t="shared" si="46"/>
        <v>0.25333258782676832</v>
      </c>
      <c r="D324" s="10">
        <f t="shared" si="47"/>
        <v>0.62401714409537645</v>
      </c>
      <c r="E324" s="10">
        <f t="shared" si="48"/>
        <v>1.8664106429342604</v>
      </c>
      <c r="F324" s="10">
        <f t="shared" si="52"/>
        <v>1.855772467079575E-3</v>
      </c>
      <c r="G324" s="10">
        <f t="shared" si="49"/>
        <v>-1.0347570867436402</v>
      </c>
      <c r="H324" s="10">
        <f t="shared" si="50"/>
        <v>0.26216288365649471</v>
      </c>
      <c r="I324" s="10">
        <f t="shared" si="53"/>
        <v>1.1543960104931639E-4</v>
      </c>
      <c r="J324" s="20">
        <f t="shared" si="51"/>
        <v>0</v>
      </c>
      <c r="K324" s="10">
        <f t="shared" si="54"/>
        <v>9.9479483981057548E-4</v>
      </c>
      <c r="L324" s="10">
        <f t="shared" si="55"/>
        <v>5.9687690388621206E-4</v>
      </c>
    </row>
    <row r="325" spans="1:12" x14ac:dyDescent="0.2">
      <c r="A325" s="14">
        <v>0.26</v>
      </c>
      <c r="B325" s="10">
        <f t="shared" si="45"/>
        <v>-1.0459685551826876</v>
      </c>
      <c r="C325" s="10">
        <f t="shared" si="46"/>
        <v>0.25103245324384504</v>
      </c>
      <c r="D325" s="10">
        <f t="shared" si="47"/>
        <v>0.62501793216724377</v>
      </c>
      <c r="E325" s="10">
        <f t="shared" si="48"/>
        <v>1.8682794594315644</v>
      </c>
      <c r="F325" s="10">
        <f t="shared" si="52"/>
        <v>1.8688164973039711E-3</v>
      </c>
      <c r="G325" s="10">
        <f t="shared" si="49"/>
        <v>-1.0341566139005198</v>
      </c>
      <c r="H325" s="10">
        <f t="shared" si="50"/>
        <v>0.26227905181088396</v>
      </c>
      <c r="I325" s="10">
        <f t="shared" si="53"/>
        <v>1.1616815438925121E-4</v>
      </c>
      <c r="J325" s="20">
        <f t="shared" si="51"/>
        <v>0</v>
      </c>
      <c r="K325" s="10">
        <f t="shared" si="54"/>
        <v>1.0007880718673201E-3</v>
      </c>
      <c r="L325" s="10">
        <f t="shared" si="55"/>
        <v>6.0047284312036986E-4</v>
      </c>
    </row>
    <row r="326" spans="1:12" x14ac:dyDescent="0.2">
      <c r="A326" s="14">
        <v>0.26100000000000001</v>
      </c>
      <c r="B326" s="10">
        <f t="shared" si="45"/>
        <v>-1.0407775136255082</v>
      </c>
      <c r="C326" s="10">
        <f t="shared" si="46"/>
        <v>0.24874582575649645</v>
      </c>
      <c r="D326" s="10">
        <f t="shared" si="47"/>
        <v>0.62602472001663512</v>
      </c>
      <c r="E326" s="10">
        <f t="shared" si="48"/>
        <v>1.8701613676728011</v>
      </c>
      <c r="F326" s="10">
        <f t="shared" si="52"/>
        <v>1.881908241236685E-3</v>
      </c>
      <c r="G326" s="10">
        <f t="shared" si="49"/>
        <v>-1.0335525411908848</v>
      </c>
      <c r="H326" s="10">
        <f t="shared" si="50"/>
        <v>0.26239594986795128</v>
      </c>
      <c r="I326" s="10">
        <f t="shared" si="53"/>
        <v>1.1689805706732725E-4</v>
      </c>
      <c r="J326" s="20">
        <f t="shared" si="51"/>
        <v>0</v>
      </c>
      <c r="K326" s="10">
        <f t="shared" si="54"/>
        <v>1.006787849391344E-3</v>
      </c>
      <c r="L326" s="10">
        <f t="shared" si="55"/>
        <v>6.0407270963502846E-4</v>
      </c>
    </row>
    <row r="327" spans="1:12" x14ac:dyDescent="0.2">
      <c r="A327" s="14">
        <v>0.26200000000000001</v>
      </c>
      <c r="B327" s="10">
        <f t="shared" si="45"/>
        <v>-1.0355993208393754</v>
      </c>
      <c r="C327" s="10">
        <f t="shared" si="46"/>
        <v>0.24647263835977135</v>
      </c>
      <c r="D327" s="10">
        <f t="shared" si="47"/>
        <v>0.62703751417382336</v>
      </c>
      <c r="E327" s="10">
        <f t="shared" si="48"/>
        <v>1.8720564156637582</v>
      </c>
      <c r="F327" s="10">
        <f t="shared" si="52"/>
        <v>1.8950479909571882E-3</v>
      </c>
      <c r="G327" s="10">
        <f t="shared" si="49"/>
        <v>-1.032944864696572</v>
      </c>
      <c r="H327" s="10">
        <f t="shared" si="50"/>
        <v>0.26251357917945656</v>
      </c>
      <c r="I327" s="10">
        <f t="shared" si="53"/>
        <v>1.17629311505274E-4</v>
      </c>
      <c r="J327" s="20">
        <f t="shared" si="51"/>
        <v>0</v>
      </c>
      <c r="K327" s="10">
        <f t="shared" si="54"/>
        <v>1.0127941571882459E-3</v>
      </c>
      <c r="L327" s="10">
        <f t="shared" si="55"/>
        <v>6.0767649431281434E-4</v>
      </c>
    </row>
    <row r="328" spans="1:12" x14ac:dyDescent="0.2">
      <c r="A328" s="14">
        <v>0.26300000000000001</v>
      </c>
      <c r="B328" s="10">
        <f t="shared" si="45"/>
        <v>-1.0304338600115719</v>
      </c>
      <c r="C328" s="10">
        <f t="shared" si="46"/>
        <v>0.24421282482274254</v>
      </c>
      <c r="D328" s="10">
        <f t="shared" si="47"/>
        <v>0.62805632115519883</v>
      </c>
      <c r="E328" s="10">
        <f t="shared" si="48"/>
        <v>1.8739646517066093</v>
      </c>
      <c r="F328" s="10">
        <f t="shared" si="52"/>
        <v>1.9082360428510636E-3</v>
      </c>
      <c r="G328" s="10">
        <f t="shared" si="49"/>
        <v>-1.0323335805077467</v>
      </c>
      <c r="H328" s="10">
        <f t="shared" si="50"/>
        <v>0.26263194109973947</v>
      </c>
      <c r="I328" s="10">
        <f t="shared" si="53"/>
        <v>1.183619202829167E-4</v>
      </c>
      <c r="J328" s="20">
        <f t="shared" si="51"/>
        <v>0</v>
      </c>
      <c r="K328" s="10">
        <f t="shared" si="54"/>
        <v>1.0188069813754641E-3</v>
      </c>
      <c r="L328" s="10">
        <f t="shared" si="55"/>
        <v>6.1128418882527846E-4</v>
      </c>
    </row>
    <row r="329" spans="1:12" x14ac:dyDescent="0.2">
      <c r="A329" s="14">
        <v>0.26400000000000001</v>
      </c>
      <c r="B329" s="10">
        <f t="shared" si="45"/>
        <v>-1.02528101558256</v>
      </c>
      <c r="C329" s="10">
        <f t="shared" si="46"/>
        <v>0.24196631967748417</v>
      </c>
      <c r="D329" s="10">
        <f t="shared" si="47"/>
        <v>0.62908114746455301</v>
      </c>
      <c r="E329" s="10">
        <f t="shared" si="48"/>
        <v>1.8758861244041927</v>
      </c>
      <c r="F329" s="10">
        <f t="shared" si="52"/>
        <v>1.9214726975833596E-3</v>
      </c>
      <c r="G329" s="10">
        <f t="shared" si="49"/>
        <v>-1.0317186847221342</v>
      </c>
      <c r="H329" s="10">
        <f t="shared" si="50"/>
        <v>0.26275103698587382</v>
      </c>
      <c r="I329" s="10">
        <f t="shared" si="53"/>
        <v>1.1909588613434607E-4</v>
      </c>
      <c r="J329" s="20">
        <f t="shared" si="51"/>
        <v>0</v>
      </c>
      <c r="K329" s="10">
        <f t="shared" si="54"/>
        <v>1.0248263093541876E-3</v>
      </c>
      <c r="L329" s="10">
        <f t="shared" si="55"/>
        <v>6.1489578561246816E-4</v>
      </c>
    </row>
    <row r="330" spans="1:12" x14ac:dyDescent="0.2">
      <c r="A330" s="14">
        <v>0.26500000000000001</v>
      </c>
      <c r="B330" s="10">
        <f t="shared" si="45"/>
        <v>-1.0201406732266145</v>
      </c>
      <c r="C330" s="10">
        <f t="shared" si="46"/>
        <v>0.23973305820825438</v>
      </c>
      <c r="D330" s="10">
        <f t="shared" si="47"/>
        <v>0.63011199959434028</v>
      </c>
      <c r="E330" s="10">
        <f t="shared" si="48"/>
        <v>1.8778208826642777</v>
      </c>
      <c r="F330" s="10">
        <f t="shared" si="52"/>
        <v>1.9347582600850455E-3</v>
      </c>
      <c r="G330" s="10">
        <f t="shared" si="49"/>
        <v>-1.0311001734442617</v>
      </c>
      <c r="H330" s="10">
        <f t="shared" si="50"/>
        <v>0.26287086819782018</v>
      </c>
      <c r="I330" s="10">
        <f t="shared" si="53"/>
        <v>1.1983121194636404E-4</v>
      </c>
      <c r="J330" s="20">
        <f t="shared" si="51"/>
        <v>0</v>
      </c>
      <c r="K330" s="10">
        <f t="shared" si="54"/>
        <v>1.030852129787263E-3</v>
      </c>
      <c r="L330" s="10">
        <f t="shared" si="55"/>
        <v>6.1851127787249105E-4</v>
      </c>
    </row>
    <row r="331" spans="1:12" x14ac:dyDescent="0.2">
      <c r="A331" s="14">
        <v>0.26600000000000001</v>
      </c>
      <c r="B331" s="10">
        <f t="shared" si="45"/>
        <v>-1.0150127198328165</v>
      </c>
      <c r="C331" s="10">
        <f t="shared" si="46"/>
        <v>0.23751297644087904</v>
      </c>
      <c r="D331" s="10">
        <f t="shared" si="47"/>
        <v>0.63114888402691005</v>
      </c>
      <c r="E331" s="10">
        <f t="shared" si="48"/>
        <v>1.8797689757038019</v>
      </c>
      <c r="F331" s="10">
        <f t="shared" si="52"/>
        <v>1.9480930395241458E-3</v>
      </c>
      <c r="G331" s="10">
        <f t="shared" si="49"/>
        <v>-1.03047804278472</v>
      </c>
      <c r="H331" s="10">
        <f t="shared" si="50"/>
        <v>0.26299143609857467</v>
      </c>
      <c r="I331" s="10">
        <f t="shared" si="53"/>
        <v>1.2056790075448687E-4</v>
      </c>
      <c r="J331" s="20">
        <f t="shared" si="51"/>
        <v>0</v>
      </c>
      <c r="K331" s="10">
        <f t="shared" si="54"/>
        <v>1.0368844325697735E-3</v>
      </c>
      <c r="L331" s="10">
        <f t="shared" si="55"/>
        <v>6.2213065954175306E-4</v>
      </c>
    </row>
    <row r="332" spans="1:12" x14ac:dyDescent="0.2">
      <c r="A332" s="14">
        <v>0.26700000000000002</v>
      </c>
      <c r="B332" s="10">
        <f t="shared" si="45"/>
        <v>-1.0098970434864019</v>
      </c>
      <c r="C332" s="10">
        <f t="shared" si="46"/>
        <v>0.23530601113233163</v>
      </c>
      <c r="D332" s="10">
        <f t="shared" si="47"/>
        <v>0.63219180723571822</v>
      </c>
      <c r="E332" s="10">
        <f t="shared" si="48"/>
        <v>1.8817304530530967</v>
      </c>
      <c r="F332" s="10">
        <f t="shared" si="52"/>
        <v>1.9614773492948601E-3</v>
      </c>
      <c r="G332" s="10">
        <f t="shared" si="49"/>
        <v>-1.029852288859435</v>
      </c>
      <c r="H332" s="10">
        <f t="shared" si="50"/>
        <v>0.26311274205431595</v>
      </c>
      <c r="I332" s="10">
        <f t="shared" si="53"/>
        <v>1.2130595574127989E-4</v>
      </c>
      <c r="J332" s="20">
        <f t="shared" si="51"/>
        <v>0</v>
      </c>
      <c r="K332" s="10">
        <f t="shared" si="54"/>
        <v>1.0429232088081664E-3</v>
      </c>
      <c r="L332" s="10">
        <f t="shared" si="55"/>
        <v>6.2575392528496643E-4</v>
      </c>
    </row>
    <row r="333" spans="1:12" x14ac:dyDescent="0.2">
      <c r="A333" s="14">
        <v>0.26800000000000002</v>
      </c>
      <c r="B333" s="10">
        <f t="shared" si="45"/>
        <v>-1.0047935334504547</v>
      </c>
      <c r="C333" s="10">
        <f t="shared" si="46"/>
        <v>0.23311209976050548</v>
      </c>
      <c r="D333" s="10">
        <f t="shared" si="47"/>
        <v>0.63324077568651405</v>
      </c>
      <c r="E333" s="10">
        <f t="shared" si="48"/>
        <v>1.8837053645600945</v>
      </c>
      <c r="F333" s="10">
        <f t="shared" si="52"/>
        <v>1.9749115069978007E-3</v>
      </c>
      <c r="G333" s="10">
        <f t="shared" si="49"/>
        <v>-1.0292229077889574</v>
      </c>
      <c r="H333" s="10">
        <f t="shared" si="50"/>
        <v>0.26323478743454914</v>
      </c>
      <c r="I333" s="10">
        <f t="shared" si="53"/>
        <v>1.2204538023319333E-4</v>
      </c>
      <c r="J333" s="20">
        <f t="shared" si="51"/>
        <v>0</v>
      </c>
      <c r="K333" s="10">
        <f t="shared" si="54"/>
        <v>1.0489684507958286E-3</v>
      </c>
      <c r="L333" s="10">
        <f t="shared" si="55"/>
        <v>6.2938107047760816E-4</v>
      </c>
    </row>
    <row r="334" spans="1:12" x14ac:dyDescent="0.2">
      <c r="A334" s="14">
        <v>0.26900000000000002</v>
      </c>
      <c r="B334" s="10">
        <f t="shared" si="45"/>
        <v>-0.99970208014793926</v>
      </c>
      <c r="C334" s="10">
        <f t="shared" si="46"/>
        <v>0.23093118051417397</v>
      </c>
      <c r="D334" s="10">
        <f t="shared" si="47"/>
        <v>0.63429579583850326</v>
      </c>
      <c r="E334" s="10">
        <f t="shared" si="48"/>
        <v>1.8856937603945185</v>
      </c>
      <c r="F334" s="10">
        <f t="shared" si="52"/>
        <v>1.988395834424006E-3</v>
      </c>
      <c r="G334" s="10">
        <f t="shared" si="49"/>
        <v>-1.0285898956977639</v>
      </c>
      <c r="H334" s="10">
        <f t="shared" si="50"/>
        <v>0.26335757361224749</v>
      </c>
      <c r="I334" s="10">
        <f t="shared" si="53"/>
        <v>1.2278617769834188E-4</v>
      </c>
      <c r="J334" s="20">
        <f t="shared" si="51"/>
        <v>0</v>
      </c>
      <c r="K334" s="10">
        <f t="shared" si="54"/>
        <v>1.0550201519892166E-3</v>
      </c>
      <c r="L334" s="10">
        <f t="shared" si="55"/>
        <v>6.3301209119348556E-4</v>
      </c>
    </row>
    <row r="335" spans="1:12" x14ac:dyDescent="0.2">
      <c r="A335" s="14">
        <v>0.27</v>
      </c>
      <c r="B335" s="10">
        <f t="shared" si="45"/>
        <v>-0.99462257514406194</v>
      </c>
      <c r="C335" s="10">
        <f t="shared" si="46"/>
        <v>0.22876319228313421</v>
      </c>
      <c r="D335" s="10">
        <f t="shared" si="47"/>
        <v>0.6353568741454898</v>
      </c>
      <c r="E335" s="10">
        <f t="shared" si="48"/>
        <v>1.8876956910520604</v>
      </c>
      <c r="F335" s="10">
        <f t="shared" si="52"/>
        <v>2.0019306575418394E-3</v>
      </c>
      <c r="G335" s="10">
        <f t="shared" si="49"/>
        <v>-1.0279532487135721</v>
      </c>
      <c r="H335" s="10">
        <f t="shared" si="50"/>
        <v>0.26348110196399155</v>
      </c>
      <c r="I335" s="10">
        <f t="shared" si="53"/>
        <v>1.2352835174406218E-4</v>
      </c>
      <c r="J335" s="20">
        <f t="shared" si="51"/>
        <v>0</v>
      </c>
      <c r="K335" s="10">
        <f t="shared" si="54"/>
        <v>1.0610783069865404E-3</v>
      </c>
      <c r="L335" s="10">
        <f t="shared" si="55"/>
        <v>6.3664698419185761E-4</v>
      </c>
    </row>
    <row r="336" spans="1:12" x14ac:dyDescent="0.2">
      <c r="A336" s="14">
        <v>0.27100000000000002</v>
      </c>
      <c r="B336" s="10">
        <f t="shared" si="45"/>
        <v>-0.9895549111289571</v>
      </c>
      <c r="C336" s="10">
        <f t="shared" si="46"/>
        <v>0.22660807464853117</v>
      </c>
      <c r="D336" s="10">
        <f t="shared" si="47"/>
        <v>0.63642401705699603</v>
      </c>
      <c r="E336" s="10">
        <f t="shared" si="48"/>
        <v>1.8897112073585458</v>
      </c>
      <c r="F336" s="10">
        <f t="shared" si="52"/>
        <v>2.0155163064854431E-3</v>
      </c>
      <c r="G336" s="10">
        <f t="shared" si="49"/>
        <v>-1.0273129629666684</v>
      </c>
      <c r="H336" s="10">
        <f t="shared" si="50"/>
        <v>0.26360537387010585</v>
      </c>
      <c r="I336" s="10">
        <f t="shared" si="53"/>
        <v>1.2427190611430383E-4</v>
      </c>
      <c r="J336" s="20">
        <f t="shared" si="51"/>
        <v>0</v>
      </c>
      <c r="K336" s="10">
        <f t="shared" si="54"/>
        <v>1.0671429115062248E-3</v>
      </c>
      <c r="L336" s="10">
        <f t="shared" si="55"/>
        <v>6.4028574690366824E-4</v>
      </c>
    </row>
    <row r="337" spans="1:12" x14ac:dyDescent="0.2">
      <c r="A337" s="14">
        <v>0.27200000000000002</v>
      </c>
      <c r="B337" s="10">
        <f t="shared" si="45"/>
        <v>-0.98449898190068852</v>
      </c>
      <c r="C337" s="10">
        <f t="shared" si="46"/>
        <v>0.22446576787335695</v>
      </c>
      <c r="D337" s="10">
        <f t="shared" si="47"/>
        <v>0.63749723101936018</v>
      </c>
      <c r="E337" s="10">
        <f t="shared" si="48"/>
        <v>1.8917403604740837</v>
      </c>
      <c r="F337" s="10">
        <f t="shared" si="52"/>
        <v>2.0291531155378628E-3</v>
      </c>
      <c r="G337" s="10">
        <f t="shared" si="49"/>
        <v>-1.0266690345892497</v>
      </c>
      <c r="H337" s="10">
        <f t="shared" si="50"/>
        <v>0.26373039071479359</v>
      </c>
      <c r="I337" s="10">
        <f t="shared" si="53"/>
        <v>1.2501684468774199E-4</v>
      </c>
      <c r="J337" s="20">
        <f t="shared" si="51"/>
        <v>0</v>
      </c>
      <c r="K337" s="10">
        <f t="shared" si="54"/>
        <v>1.0732139623641501E-3</v>
      </c>
      <c r="L337" s="10">
        <f t="shared" si="55"/>
        <v>6.4392837741866771E-4</v>
      </c>
    </row>
    <row r="338" spans="1:12" x14ac:dyDescent="0.2">
      <c r="A338" s="14">
        <v>0.27300000000000002</v>
      </c>
      <c r="B338" s="10">
        <f t="shared" si="45"/>
        <v>-0.97945468234855948</v>
      </c>
      <c r="C338" s="10">
        <f t="shared" si="46"/>
        <v>0.22233621289312297</v>
      </c>
      <c r="D338" s="10">
        <f t="shared" si="47"/>
        <v>0.63857652247681551</v>
      </c>
      <c r="E338" s="10">
        <f t="shared" si="48"/>
        <v>1.8937832018972116</v>
      </c>
      <c r="F338" s="10">
        <f t="shared" si="52"/>
        <v>2.042841423127939E-3</v>
      </c>
      <c r="G338" s="10">
        <f t="shared" si="49"/>
        <v>-1.0260214597147768</v>
      </c>
      <c r="H338" s="10">
        <f t="shared" si="50"/>
        <v>0.26385615388626837</v>
      </c>
      <c r="I338" s="10">
        <f t="shared" si="53"/>
        <v>1.2576317147477978E-4</v>
      </c>
      <c r="J338" s="20">
        <f t="shared" si="51"/>
        <v>0</v>
      </c>
      <c r="K338" s="10">
        <f t="shared" si="54"/>
        <v>1.0792914574553336E-3</v>
      </c>
      <c r="L338" s="10">
        <f t="shared" si="55"/>
        <v>6.4757487447297812E-4</v>
      </c>
    </row>
    <row r="339" spans="1:12" x14ac:dyDescent="0.2">
      <c r="A339" s="14">
        <v>0.27400000000000002</v>
      </c>
      <c r="B339" s="10">
        <f t="shared" si="45"/>
        <v>-0.97442190843672571</v>
      </c>
      <c r="C339" s="10">
        <f t="shared" si="46"/>
        <v>0.22021935130669998</v>
      </c>
      <c r="D339" s="10">
        <f t="shared" si="47"/>
        <v>0.63966189787254746</v>
      </c>
      <c r="E339" s="10">
        <f t="shared" si="48"/>
        <v>1.8958397834690255</v>
      </c>
      <c r="F339" s="10">
        <f t="shared" si="52"/>
        <v>2.0565815718138758E-3</v>
      </c>
      <c r="G339" s="10">
        <f t="shared" si="49"/>
        <v>-1.0253702344773374</v>
      </c>
      <c r="H339" s="10">
        <f t="shared" si="50"/>
        <v>0.26398266477688526</v>
      </c>
      <c r="I339" s="10">
        <f t="shared" si="53"/>
        <v>1.2651089061688214E-4</v>
      </c>
      <c r="J339" s="20">
        <f t="shared" si="51"/>
        <v>0</v>
      </c>
      <c r="K339" s="10">
        <f t="shared" si="54"/>
        <v>1.0853753957319467E-3</v>
      </c>
      <c r="L339" s="10">
        <f t="shared" si="55"/>
        <v>6.5122523743932348E-4</v>
      </c>
    </row>
    <row r="340" spans="1:12" x14ac:dyDescent="0.2">
      <c r="A340" s="14">
        <v>0.27500000000000002</v>
      </c>
      <c r="B340" s="10">
        <f t="shared" si="45"/>
        <v>-0.96940055718810336</v>
      </c>
      <c r="C340" s="10">
        <f t="shared" si="46"/>
        <v>0.21811512536732325</v>
      </c>
      <c r="D340" s="10">
        <f t="shared" si="47"/>
        <v>0.64075336364973257</v>
      </c>
      <c r="E340" s="10">
        <f t="shared" si="48"/>
        <v>1.8979101573773054</v>
      </c>
      <c r="F340" s="10">
        <f t="shared" si="52"/>
        <v>2.07037390827991E-3</v>
      </c>
      <c r="G340" s="10">
        <f t="shared" si="49"/>
        <v>-1.0247153550110266</v>
      </c>
      <c r="H340" s="10">
        <f t="shared" si="50"/>
        <v>0.2641099247832675</v>
      </c>
      <c r="I340" s="10">
        <f t="shared" si="53"/>
        <v>1.2726000638224599E-4</v>
      </c>
      <c r="J340" s="20">
        <f t="shared" si="51"/>
        <v>0</v>
      </c>
      <c r="K340" s="10">
        <f t="shared" si="54"/>
        <v>1.0914657771851077E-3</v>
      </c>
      <c r="L340" s="10">
        <f t="shared" si="55"/>
        <v>6.5487946631082039E-4</v>
      </c>
    </row>
    <row r="341" spans="1:12" x14ac:dyDescent="0.2">
      <c r="A341" s="14">
        <v>0.27600000000000002</v>
      </c>
      <c r="B341" s="10">
        <f t="shared" si="45"/>
        <v>-0.96439052666856628</v>
      </c>
      <c r="C341" s="10">
        <f t="shared" si="46"/>
        <v>0.21602347797375882</v>
      </c>
      <c r="D341" s="10">
        <f t="shared" si="47"/>
        <v>0.64185092625255735</v>
      </c>
      <c r="E341" s="10">
        <f t="shared" si="48"/>
        <v>1.8999943761606319</v>
      </c>
      <c r="F341" s="10">
        <f t="shared" si="52"/>
        <v>2.0842187833265413E-3</v>
      </c>
      <c r="G341" s="10">
        <f t="shared" si="49"/>
        <v>-1.0240568174493316</v>
      </c>
      <c r="H341" s="10">
        <f t="shared" si="50"/>
        <v>0.26423793530643352</v>
      </c>
      <c r="I341" s="10">
        <f t="shared" si="53"/>
        <v>1.2801052316602224E-4</v>
      </c>
      <c r="J341" s="20">
        <f t="shared" si="51"/>
        <v>0</v>
      </c>
      <c r="K341" s="10">
        <f t="shared" si="54"/>
        <v>1.0975626028247865E-3</v>
      </c>
      <c r="L341" s="10">
        <f t="shared" si="55"/>
        <v>6.585375616949829E-4</v>
      </c>
    </row>
    <row r="342" spans="1:12" x14ac:dyDescent="0.2">
      <c r="A342" s="14">
        <v>0.27700000000000002</v>
      </c>
      <c r="B342" s="10">
        <f t="shared" si="45"/>
        <v>-0.95939171597142614</v>
      </c>
      <c r="C342" s="10">
        <f t="shared" si="46"/>
        <v>0.21394435266162801</v>
      </c>
      <c r="D342" s="10">
        <f t="shared" si="47"/>
        <v>0.64295459212722061</v>
      </c>
      <c r="E342" s="10">
        <f t="shared" si="48"/>
        <v>1.9020924927124998</v>
      </c>
      <c r="F342" s="10">
        <f t="shared" si="52"/>
        <v>2.0981165518678679E-3</v>
      </c>
      <c r="G342" s="10">
        <f t="shared" si="49"/>
        <v>-1.0233946179245335</v>
      </c>
      <c r="H342" s="10">
        <f t="shared" si="50"/>
        <v>0.26436669775192034</v>
      </c>
      <c r="I342" s="10">
        <f t="shared" si="53"/>
        <v>1.2876244548681859E-4</v>
      </c>
      <c r="J342" s="20">
        <f t="shared" si="51"/>
        <v>0</v>
      </c>
      <c r="K342" s="10">
        <f t="shared" si="54"/>
        <v>1.1036658746632622E-3</v>
      </c>
      <c r="L342" s="10">
        <f t="shared" si="55"/>
        <v>6.6219952479817934E-4</v>
      </c>
    </row>
    <row r="343" spans="1:12" x14ac:dyDescent="0.2">
      <c r="A343" s="14">
        <v>0.27800000000000002</v>
      </c>
      <c r="B343" s="10">
        <f t="shared" si="45"/>
        <v>-0.95440402520218903</v>
      </c>
      <c r="C343" s="10">
        <f t="shared" si="46"/>
        <v>0.21187769359488595</v>
      </c>
      <c r="D343" s="10">
        <f t="shared" si="47"/>
        <v>0.64406436772291487</v>
      </c>
      <c r="E343" s="10">
        <f t="shared" si="48"/>
        <v>1.904204560285421</v>
      </c>
      <c r="F343" s="10">
        <f t="shared" si="52"/>
        <v>2.1120675729211502E-3</v>
      </c>
      <c r="G343" s="10">
        <f t="shared" si="49"/>
        <v>-1.0227287525671169</v>
      </c>
      <c r="H343" s="10">
        <f t="shared" si="50"/>
        <v>0.26449621352990538</v>
      </c>
      <c r="I343" s="10">
        <f t="shared" si="53"/>
        <v>1.2951577798503422E-4</v>
      </c>
      <c r="J343" s="20">
        <f t="shared" si="51"/>
        <v>0</v>
      </c>
      <c r="K343" s="10">
        <f t="shared" si="54"/>
        <v>1.1097755956942512E-3</v>
      </c>
      <c r="L343" s="10">
        <f t="shared" si="55"/>
        <v>6.6586535741652852E-4</v>
      </c>
    </row>
    <row r="344" spans="1:12" x14ac:dyDescent="0.2">
      <c r="A344" s="14">
        <v>0.27900000000000003</v>
      </c>
      <c r="B344" s="10">
        <f t="shared" si="45"/>
        <v>-0.94942735546358337</v>
      </c>
      <c r="C344" s="10">
        <f t="shared" si="46"/>
        <v>0.20982344555745189</v>
      </c>
      <c r="D344" s="10">
        <f t="shared" si="47"/>
        <v>0.64518025949279301</v>
      </c>
      <c r="E344" s="10">
        <f t="shared" si="48"/>
        <v>1.9063306324950302</v>
      </c>
      <c r="F344" s="10">
        <f t="shared" si="52"/>
        <v>2.1260722096092532E-3</v>
      </c>
      <c r="G344" s="10">
        <f t="shared" si="49"/>
        <v>-1.0220592175051901</v>
      </c>
      <c r="H344" s="10">
        <f t="shared" si="50"/>
        <v>0.26462648405532707</v>
      </c>
      <c r="I344" s="10">
        <f t="shared" si="53"/>
        <v>1.3027052542169404E-4</v>
      </c>
      <c r="J344" s="20">
        <f t="shared" si="51"/>
        <v>0</v>
      </c>
      <c r="K344" s="10">
        <f t="shared" si="54"/>
        <v>1.1158917698781412E-3</v>
      </c>
      <c r="L344" s="10">
        <f t="shared" si="55"/>
        <v>6.695350619267959E-4</v>
      </c>
    </row>
    <row r="345" spans="1:12" x14ac:dyDescent="0.2">
      <c r="A345" s="14">
        <v>0.28000000000000003</v>
      </c>
      <c r="B345" s="10">
        <f t="shared" si="45"/>
        <v>-0.94446160884085117</v>
      </c>
      <c r="C345" s="10">
        <f t="shared" si="46"/>
        <v>0.20778155394498724</v>
      </c>
      <c r="D345" s="10">
        <f t="shared" si="47"/>
        <v>0.64630227389491646</v>
      </c>
      <c r="E345" s="10">
        <f t="shared" si="48"/>
        <v>1.9084707633241846</v>
      </c>
      <c r="F345" s="10">
        <f t="shared" si="52"/>
        <v>2.1401308291544296E-3</v>
      </c>
      <c r="G345" s="10">
        <f t="shared" si="49"/>
        <v>-1.0213860088639162</v>
      </c>
      <c r="H345" s="10">
        <f t="shared" si="50"/>
        <v>0.26475751074800269</v>
      </c>
      <c r="I345" s="10">
        <f t="shared" si="53"/>
        <v>1.3102669267561762E-4</v>
      </c>
      <c r="J345" s="20">
        <f t="shared" si="51"/>
        <v>0</v>
      </c>
      <c r="K345" s="10">
        <f t="shared" si="54"/>
        <v>1.1220144021234502E-3</v>
      </c>
      <c r="L345" s="10">
        <f t="shared" si="55"/>
        <v>6.7320864127395907E-4</v>
      </c>
    </row>
    <row r="346" spans="1:12" x14ac:dyDescent="0.2">
      <c r="A346" s="14">
        <v>0.28100000000000003</v>
      </c>
      <c r="B346" s="10">
        <f t="shared" si="45"/>
        <v>-0.93950668838730078</v>
      </c>
      <c r="C346" s="10">
        <f t="shared" si="46"/>
        <v>0.20575196475681884</v>
      </c>
      <c r="D346" s="10">
        <f t="shared" si="47"/>
        <v>0.64743041739318707</v>
      </c>
      <c r="E346" s="10">
        <f t="shared" si="48"/>
        <v>1.9106250071270614</v>
      </c>
      <c r="F346" s="10">
        <f t="shared" si="52"/>
        <v>2.1542438028767652E-3</v>
      </c>
      <c r="G346" s="10">
        <f t="shared" si="49"/>
        <v>-1.0207091227649536</v>
      </c>
      <c r="H346" s="10">
        <f t="shared" si="50"/>
        <v>0.26488929503274511</v>
      </c>
      <c r="I346" s="10">
        <f t="shared" si="53"/>
        <v>1.3178428474241999E-4</v>
      </c>
      <c r="J346" s="20">
        <f t="shared" si="51"/>
        <v>0</v>
      </c>
      <c r="K346" s="10">
        <f t="shared" si="54"/>
        <v>1.1281434982706173E-3</v>
      </c>
      <c r="L346" s="10">
        <f t="shared" si="55"/>
        <v>6.7688609896254803E-4</v>
      </c>
    </row>
    <row r="347" spans="1:12" x14ac:dyDescent="0.2">
      <c r="A347" s="14">
        <v>0.28199999999999997</v>
      </c>
      <c r="B347" s="10">
        <f t="shared" si="45"/>
        <v>-0.93456249811011072</v>
      </c>
      <c r="C347" s="10">
        <f t="shared" si="46"/>
        <v>0.20373462458800415</v>
      </c>
      <c r="D347" s="10">
        <f t="shared" si="47"/>
        <v>0.6485646964582632</v>
      </c>
      <c r="E347" s="10">
        <f t="shared" si="48"/>
        <v>1.9127934186332567</v>
      </c>
      <c r="F347" s="10">
        <f t="shared" si="52"/>
        <v>2.1684115061952891E-3</v>
      </c>
      <c r="G347" s="10">
        <f t="shared" si="49"/>
        <v>-1.0200285553259081</v>
      </c>
      <c r="H347" s="10">
        <f t="shared" si="50"/>
        <v>0.26502183833947734</v>
      </c>
      <c r="I347" s="10">
        <f t="shared" si="53"/>
        <v>1.3254330673223569E-4</v>
      </c>
      <c r="J347" s="20">
        <f t="shared" si="51"/>
        <v>0</v>
      </c>
      <c r="K347" s="10">
        <f t="shared" si="54"/>
        <v>1.134279065076127E-3</v>
      </c>
      <c r="L347" s="10">
        <f t="shared" si="55"/>
        <v>6.8056743904554295E-4</v>
      </c>
    </row>
    <row r="348" spans="1:12" x14ac:dyDescent="0.2">
      <c r="A348" s="14">
        <v>0.28299999999999997</v>
      </c>
      <c r="B348" s="10">
        <f t="shared" si="45"/>
        <v>-0.92962894295638299</v>
      </c>
      <c r="C348" s="10">
        <f t="shared" si="46"/>
        <v>0.20172948062153515</v>
      </c>
      <c r="D348" s="10">
        <f t="shared" si="47"/>
        <v>0.64970511756845983</v>
      </c>
      <c r="E348" s="10">
        <f t="shared" si="48"/>
        <v>1.9149760529518838</v>
      </c>
      <c r="F348" s="10">
        <f t="shared" si="52"/>
        <v>2.1826343186270858E-3</v>
      </c>
      <c r="G348" s="10">
        <f t="shared" si="49"/>
        <v>-1.0193443026597899</v>
      </c>
      <c r="H348" s="10">
        <f t="shared" si="50"/>
        <v>0.26515514210334601</v>
      </c>
      <c r="I348" s="10">
        <f t="shared" si="53"/>
        <v>1.3330376386866405E-4</v>
      </c>
      <c r="J348" s="20">
        <f t="shared" si="51"/>
        <v>0</v>
      </c>
      <c r="K348" s="10">
        <f t="shared" si="54"/>
        <v>1.1404211101966322E-3</v>
      </c>
      <c r="L348" s="10">
        <f t="shared" si="55"/>
        <v>6.8425266611815694E-4</v>
      </c>
    </row>
    <row r="349" spans="1:12" x14ac:dyDescent="0.2">
      <c r="A349" s="14">
        <v>0.28399999999999997</v>
      </c>
      <c r="B349" s="10">
        <f t="shared" si="45"/>
        <v>-0.92470592879943969</v>
      </c>
      <c r="C349" s="10">
        <f t="shared" si="46"/>
        <v>0.199736480620679</v>
      </c>
      <c r="D349" s="10">
        <f t="shared" si="47"/>
        <v>0.65085168721063336</v>
      </c>
      <c r="E349" s="10">
        <f t="shared" si="48"/>
        <v>1.9171729655756724</v>
      </c>
      <c r="F349" s="10">
        <f t="shared" si="52"/>
        <v>2.1969126237886272E-3</v>
      </c>
      <c r="G349" s="10">
        <f t="shared" si="49"/>
        <v>-1.0186563608744859</v>
      </c>
      <c r="H349" s="10">
        <f t="shared" si="50"/>
        <v>0.26528920776483228</v>
      </c>
      <c r="I349" s="10">
        <f t="shared" si="53"/>
        <v>1.3406566148627119E-4</v>
      </c>
      <c r="J349" s="20">
        <f t="shared" si="51"/>
        <v>0</v>
      </c>
      <c r="K349" s="10">
        <f t="shared" si="54"/>
        <v>1.1465696421735228E-3</v>
      </c>
      <c r="L349" s="10">
        <f t="shared" si="55"/>
        <v>6.8794178530406924E-4</v>
      </c>
    </row>
    <row r="350" spans="1:12" x14ac:dyDescent="0.2">
      <c r="A350" s="14">
        <v>0.28499999999999998</v>
      </c>
      <c r="B350" s="10">
        <f t="shared" si="45"/>
        <v>-0.91979336242535725</v>
      </c>
      <c r="C350" s="10">
        <f t="shared" si="46"/>
        <v>0.19775557292145182</v>
      </c>
      <c r="D350" s="10">
        <f t="shared" si="47"/>
        <v>0.65200441188105118</v>
      </c>
      <c r="E350" s="10">
        <f t="shared" si="48"/>
        <v>1.9193842123850704</v>
      </c>
      <c r="F350" s="10">
        <f t="shared" si="52"/>
        <v>2.2112468093979931E-3</v>
      </c>
      <c r="G350" s="10">
        <f t="shared" si="49"/>
        <v>-1.0179647260722353</v>
      </c>
      <c r="H350" s="10">
        <f t="shared" si="50"/>
        <v>0.26542403676986198</v>
      </c>
      <c r="I350" s="10">
        <f t="shared" si="53"/>
        <v>1.3482900502970185E-4</v>
      </c>
      <c r="J350" s="20">
        <f t="shared" si="51"/>
        <v>0</v>
      </c>
      <c r="K350" s="10">
        <f t="shared" si="54"/>
        <v>1.1527246704178262E-3</v>
      </c>
      <c r="L350" s="10">
        <f t="shared" si="55"/>
        <v>6.916348022505403E-4</v>
      </c>
    </row>
    <row r="351" spans="1:12" x14ac:dyDescent="0.2">
      <c r="A351" s="14">
        <v>0.28599999999999998</v>
      </c>
      <c r="B351" s="10">
        <f t="shared" si="45"/>
        <v>-0.91489115151973188</v>
      </c>
      <c r="C351" s="10">
        <f t="shared" si="46"/>
        <v>0.19578670642522264</v>
      </c>
      <c r="D351" s="10">
        <f t="shared" si="47"/>
        <v>0.65316329808624796</v>
      </c>
      <c r="E351" s="10">
        <f t="shared" si="48"/>
        <v>1.9216098496523502</v>
      </c>
      <c r="F351" s="10">
        <f t="shared" si="52"/>
        <v>2.2256372672797564E-3</v>
      </c>
      <c r="G351" s="10">
        <f t="shared" si="49"/>
        <v>-1.0172693943491171</v>
      </c>
      <c r="H351" s="10">
        <f t="shared" si="50"/>
        <v>0.26555963056991422</v>
      </c>
      <c r="I351" s="10">
        <f t="shared" si="53"/>
        <v>1.3559380005223609E-4</v>
      </c>
      <c r="J351" s="20">
        <f t="shared" si="51"/>
        <v>0</v>
      </c>
      <c r="K351" s="10">
        <f t="shared" si="54"/>
        <v>1.1588862051967741E-3</v>
      </c>
      <c r="L351" s="10">
        <f t="shared" si="55"/>
        <v>6.9533172311819769E-4</v>
      </c>
    </row>
    <row r="352" spans="1:12" x14ac:dyDescent="0.2">
      <c r="A352" s="14">
        <v>0.28699999999999998</v>
      </c>
      <c r="B352" s="10">
        <f t="shared" si="45"/>
        <v>-0.9099992046546751</v>
      </c>
      <c r="C352" s="10">
        <f t="shared" si="46"/>
        <v>0.19382983059144582</v>
      </c>
      <c r="D352" s="10">
        <f t="shared" si="47"/>
        <v>0.65432835234386655</v>
      </c>
      <c r="E352" s="10">
        <f t="shared" si="48"/>
        <v>1.9238499340457176</v>
      </c>
      <c r="F352" s="10">
        <f t="shared" si="52"/>
        <v>2.2400843933674253E-3</v>
      </c>
      <c r="G352" s="10">
        <f t="shared" si="49"/>
        <v>-1.0165703617945461</v>
      </c>
      <c r="H352" s="10">
        <f t="shared" si="50"/>
        <v>0.26569599062212762</v>
      </c>
      <c r="I352" s="10">
        <f t="shared" si="53"/>
        <v>1.3636005221340231E-4</v>
      </c>
      <c r="J352" s="20">
        <f t="shared" si="51"/>
        <v>0</v>
      </c>
      <c r="K352" s="10">
        <f t="shared" si="54"/>
        <v>1.1650542576185918E-3</v>
      </c>
      <c r="L352" s="10">
        <f t="shared" si="55"/>
        <v>6.9903255457104407E-4</v>
      </c>
    </row>
    <row r="353" spans="1:12" x14ac:dyDescent="0.2">
      <c r="A353" s="14">
        <v>0.28799999999999998</v>
      </c>
      <c r="B353" s="10">
        <f t="shared" si="45"/>
        <v>-0.90511743127602984</v>
      </c>
      <c r="C353" s="10">
        <f t="shared" si="46"/>
        <v>0.19188489543051834</v>
      </c>
      <c r="D353" s="10">
        <f t="shared" si="47"/>
        <v>0.6554995811834865</v>
      </c>
      <c r="E353" s="10">
        <f t="shared" si="48"/>
        <v>1.9261045226334279</v>
      </c>
      <c r="F353" s="10">
        <f t="shared" si="52"/>
        <v>2.2545885877103267E-3</v>
      </c>
      <c r="G353" s="10">
        <f t="shared" si="49"/>
        <v>-1.0158676244907741</v>
      </c>
      <c r="H353" s="10">
        <f t="shared" si="50"/>
        <v>0.26583311838940638</v>
      </c>
      <c r="I353" s="10">
        <f t="shared" si="53"/>
        <v>1.371277672787552E-4</v>
      </c>
      <c r="J353" s="20">
        <f t="shared" si="51"/>
        <v>0</v>
      </c>
      <c r="K353" s="10">
        <f t="shared" si="54"/>
        <v>1.1712288396199533E-3</v>
      </c>
      <c r="L353" s="10">
        <f t="shared" si="55"/>
        <v>7.0273730377201638E-4</v>
      </c>
    </row>
    <row r="354" spans="1:12" x14ac:dyDescent="0.2">
      <c r="A354" s="14">
        <v>0.28899999999999998</v>
      </c>
      <c r="B354" s="10">
        <f t="shared" si="45"/>
        <v>-0.90024574169080884</v>
      </c>
      <c r="C354" s="10">
        <f t="shared" si="46"/>
        <v>0.18995185149676069</v>
      </c>
      <c r="D354" s="10">
        <f t="shared" si="47"/>
        <v>0.65667699114743705</v>
      </c>
      <c r="E354" s="10">
        <f t="shared" si="48"/>
        <v>1.928373672887904</v>
      </c>
      <c r="F354" s="10">
        <f t="shared" si="52"/>
        <v>2.2691502544760489E-3</v>
      </c>
      <c r="G354" s="10">
        <f t="shared" si="49"/>
        <v>-1.0151611785124037</v>
      </c>
      <c r="H354" s="10">
        <f t="shared" si="50"/>
        <v>0.26597101534052359</v>
      </c>
      <c r="I354" s="10">
        <f t="shared" si="53"/>
        <v>1.3789695111721123E-4</v>
      </c>
      <c r="J354" s="20">
        <f t="shared" si="51"/>
        <v>0</v>
      </c>
      <c r="K354" s="10">
        <f t="shared" si="54"/>
        <v>1.1774099639505486E-3</v>
      </c>
      <c r="L354" s="10">
        <f t="shared" si="55"/>
        <v>7.0644597837032919E-4</v>
      </c>
    </row>
    <row r="355" spans="1:12" x14ac:dyDescent="0.2">
      <c r="A355" s="14">
        <v>0.28999999999999998</v>
      </c>
      <c r="B355" s="10">
        <f t="shared" si="45"/>
        <v>-0.89538404705484131</v>
      </c>
      <c r="C355" s="10">
        <f t="shared" si="46"/>
        <v>0.18803064988151669</v>
      </c>
      <c r="D355" s="10">
        <f t="shared" si="47"/>
        <v>0.65786058879160036</v>
      </c>
      <c r="E355" s="10">
        <f t="shared" si="48"/>
        <v>1.9306574426898675</v>
      </c>
      <c r="F355" s="10">
        <f t="shared" si="52"/>
        <v>2.2837698019635422E-3</v>
      </c>
      <c r="G355" s="10">
        <f t="shared" si="49"/>
        <v>-1.0144510199259058</v>
      </c>
      <c r="H355" s="10">
        <f t="shared" si="50"/>
        <v>0.26610968295022436</v>
      </c>
      <c r="I355" s="10">
        <f t="shared" si="53"/>
        <v>1.3866760970077108E-4</v>
      </c>
      <c r="J355" s="20">
        <f t="shared" si="51"/>
        <v>0</v>
      </c>
      <c r="K355" s="10">
        <f t="shared" si="54"/>
        <v>1.1835976441633145E-3</v>
      </c>
      <c r="L355" s="10">
        <f t="shared" si="55"/>
        <v>7.1015858649792207E-4</v>
      </c>
    </row>
    <row r="356" spans="1:12" x14ac:dyDescent="0.2">
      <c r="A356" s="14">
        <v>0.29099999999999998</v>
      </c>
      <c r="B356" s="10">
        <f t="shared" si="45"/>
        <v>-0.89053225936063518</v>
      </c>
      <c r="C356" s="10">
        <f t="shared" si="46"/>
        <v>0.18612124220637277</v>
      </c>
      <c r="D356" s="10">
        <f t="shared" si="47"/>
        <v>0.65905038068619881</v>
      </c>
      <c r="E356" s="10">
        <f t="shared" si="48"/>
        <v>1.9329558903324726</v>
      </c>
      <c r="F356" s="10">
        <f t="shared" si="52"/>
        <v>2.298447642605117E-3</v>
      </c>
      <c r="G356" s="10">
        <f t="shared" si="49"/>
        <v>-1.0137371447891466</v>
      </c>
      <c r="H356" s="10">
        <f t="shared" si="50"/>
        <v>0.26624912269932688</v>
      </c>
      <c r="I356" s="10">
        <f t="shared" si="53"/>
        <v>1.3943974910252122E-4</v>
      </c>
      <c r="J356" s="20">
        <f t="shared" si="51"/>
        <v>0</v>
      </c>
      <c r="K356" s="10">
        <f t="shared" si="54"/>
        <v>1.1897918945984465E-3</v>
      </c>
      <c r="L356" s="10">
        <f t="shared" si="55"/>
        <v>7.1387513675924552E-4</v>
      </c>
    </row>
    <row r="357" spans="1:12" x14ac:dyDescent="0.2">
      <c r="A357" s="14">
        <v>0.29199999999999998</v>
      </c>
      <c r="B357" s="10">
        <f t="shared" si="45"/>
        <v>-0.88569029142543809</v>
      </c>
      <c r="C357" s="10">
        <f t="shared" si="46"/>
        <v>0.18422358061649113</v>
      </c>
      <c r="D357" s="10">
        <f t="shared" si="47"/>
        <v>0.66024637341657277</v>
      </c>
      <c r="E357" s="10">
        <f t="shared" si="48"/>
        <v>1.9352690745254519</v>
      </c>
      <c r="F357" s="10">
        <f t="shared" si="52"/>
        <v>2.3131841929793229E-3</v>
      </c>
      <c r="G357" s="10">
        <f t="shared" si="49"/>
        <v>-1.0130195491509222</v>
      </c>
      <c r="H357" s="10">
        <f t="shared" si="50"/>
        <v>0.26638933607482235</v>
      </c>
      <c r="I357" s="10">
        <f t="shared" si="53"/>
        <v>1.402133754954682E-4</v>
      </c>
      <c r="J357" s="20">
        <f t="shared" si="51"/>
        <v>0</v>
      </c>
      <c r="K357" s="10">
        <f t="shared" si="54"/>
        <v>1.1959927303739626E-3</v>
      </c>
      <c r="L357" s="10">
        <f t="shared" si="55"/>
        <v>7.1759563822437755E-4</v>
      </c>
    </row>
    <row r="358" spans="1:12" x14ac:dyDescent="0.2">
      <c r="A358" s="14">
        <v>0.29299999999999998</v>
      </c>
      <c r="B358" s="10">
        <f t="shared" si="45"/>
        <v>-0.88085805687950558</v>
      </c>
      <c r="C358" s="10">
        <f t="shared" si="46"/>
        <v>0.18233761777405766</v>
      </c>
      <c r="D358" s="10">
        <f t="shared" si="47"/>
        <v>0.66144857358394415</v>
      </c>
      <c r="E358" s="10">
        <f t="shared" si="48"/>
        <v>1.9375970543992691</v>
      </c>
      <c r="F358" s="10">
        <f t="shared" si="52"/>
        <v>2.3279798738171653E-3</v>
      </c>
      <c r="G358" s="10">
        <f t="shared" si="49"/>
        <v>-1.0122982290504996</v>
      </c>
      <c r="H358" s="10">
        <f t="shared" si="50"/>
        <v>0.26653032456997378</v>
      </c>
      <c r="I358" s="10">
        <f t="shared" si="53"/>
        <v>1.4098849515142842E-4</v>
      </c>
      <c r="J358" s="20">
        <f t="shared" si="51"/>
        <v>0</v>
      </c>
      <c r="K358" s="10">
        <f t="shared" si="54"/>
        <v>1.2022001673713811E-3</v>
      </c>
      <c r="L358" s="10">
        <f t="shared" si="55"/>
        <v>7.2132010042258443E-4</v>
      </c>
    </row>
    <row r="359" spans="1:12" x14ac:dyDescent="0.2">
      <c r="A359" s="14">
        <v>0.29399999999999998</v>
      </c>
      <c r="B359" s="10">
        <f t="shared" si="45"/>
        <v>-0.8760354701545604</v>
      </c>
      <c r="C359" s="10">
        <f t="shared" si="46"/>
        <v>0.18046330685183945</v>
      </c>
      <c r="D359" s="10">
        <f t="shared" si="47"/>
        <v>0.66265698780617055</v>
      </c>
      <c r="E359" s="10">
        <f t="shared" si="48"/>
        <v>1.9399398895092863</v>
      </c>
      <c r="F359" s="10">
        <f t="shared" si="52"/>
        <v>2.3428351100172051E-3</v>
      </c>
      <c r="G359" s="10">
        <f t="shared" si="49"/>
        <v>-1.0115731805171637</v>
      </c>
      <c r="H359" s="10">
        <f t="shared" si="50"/>
        <v>0.26667208968441392</v>
      </c>
      <c r="I359" s="10">
        <f t="shared" si="53"/>
        <v>1.4176511444013995E-4</v>
      </c>
      <c r="J359" s="20">
        <f t="shared" si="51"/>
        <v>0</v>
      </c>
      <c r="K359" s="10">
        <f t="shared" si="54"/>
        <v>1.2084142222263949E-3</v>
      </c>
      <c r="L359" s="10">
        <f t="shared" si="55"/>
        <v>7.2504853333588137E-4</v>
      </c>
    </row>
    <row r="360" spans="1:12" x14ac:dyDescent="0.2">
      <c r="A360" s="14">
        <v>0.29499999999999998</v>
      </c>
      <c r="B360" s="10">
        <f t="shared" si="45"/>
        <v>-0.87122244647244895</v>
      </c>
      <c r="C360" s="10">
        <f t="shared" si="46"/>
        <v>0.17860060152685206</v>
      </c>
      <c r="D360" s="10">
        <f t="shared" si="47"/>
        <v>0.66387162271848532</v>
      </c>
      <c r="E360" s="10">
        <f t="shared" si="48"/>
        <v>1.9422976398399361</v>
      </c>
      <c r="F360" s="10">
        <f t="shared" si="52"/>
        <v>2.3577503306497771E-3</v>
      </c>
      <c r="G360" s="10">
        <f t="shared" si="49"/>
        <v>-1.0108443995697747</v>
      </c>
      <c r="H360" s="10">
        <f t="shared" si="50"/>
        <v>0.26681463292424079</v>
      </c>
      <c r="I360" s="10">
        <f t="shared" si="53"/>
        <v>1.4254323982687556E-4</v>
      </c>
      <c r="J360" s="20">
        <f t="shared" si="51"/>
        <v>0</v>
      </c>
      <c r="K360" s="10">
        <f t="shared" si="54"/>
        <v>1.2146349123147715E-3</v>
      </c>
      <c r="L360" s="10">
        <f t="shared" si="55"/>
        <v>7.2878094738904053E-4</v>
      </c>
    </row>
    <row r="361" spans="1:12" x14ac:dyDescent="0.2">
      <c r="A361" s="14">
        <v>0.29599999999999999</v>
      </c>
      <c r="B361" s="10">
        <f t="shared" si="45"/>
        <v>-0.86641890183398196</v>
      </c>
      <c r="C361" s="10">
        <f t="shared" si="46"/>
        <v>0.17674945597413233</v>
      </c>
      <c r="D361" s="10">
        <f t="shared" si="47"/>
        <v>0.66509248497423057</v>
      </c>
      <c r="E361" s="10">
        <f t="shared" si="48"/>
        <v>1.9446703658089159</v>
      </c>
      <c r="F361" s="10">
        <f t="shared" si="52"/>
        <v>2.3727259689798608E-3</v>
      </c>
      <c r="G361" s="10">
        <f t="shared" si="49"/>
        <v>-1.0101118822163275</v>
      </c>
      <c r="H361" s="10">
        <f t="shared" si="50"/>
        <v>0.26695795580211351</v>
      </c>
      <c r="I361" s="10">
        <f t="shared" si="53"/>
        <v>1.4332287787272024E-4</v>
      </c>
      <c r="J361" s="20">
        <f t="shared" si="51"/>
        <v>0</v>
      </c>
      <c r="K361" s="10">
        <f t="shared" si="54"/>
        <v>1.2208622557452475E-3</v>
      </c>
      <c r="L361" s="10">
        <f t="shared" si="55"/>
        <v>7.3251735344714852E-4</v>
      </c>
    </row>
    <row r="362" spans="1:12" x14ac:dyDescent="0.2">
      <c r="A362" s="14">
        <v>0.29699999999999999</v>
      </c>
      <c r="B362" s="10">
        <f t="shared" si="45"/>
        <v>-0.86162475300796548</v>
      </c>
      <c r="C362" s="10">
        <f t="shared" si="46"/>
        <v>0.17490982486061701</v>
      </c>
      <c r="D362" s="10">
        <f t="shared" si="47"/>
        <v>0.66631958124557433</v>
      </c>
      <c r="E362" s="10">
        <f t="shared" si="48"/>
        <v>1.9470581282713826</v>
      </c>
      <c r="F362" s="10">
        <f t="shared" si="52"/>
        <v>2.387762462466636E-3</v>
      </c>
      <c r="G362" s="10">
        <f t="shared" si="49"/>
        <v>-1.0093756244535215</v>
      </c>
      <c r="H362" s="10">
        <f t="shared" si="50"/>
        <v>0.26710205983734614</v>
      </c>
      <c r="I362" s="10">
        <f t="shared" si="53"/>
        <v>1.4410403523262838E-4</v>
      </c>
      <c r="J362" s="20">
        <f t="shared" si="51"/>
        <v>0</v>
      </c>
      <c r="K362" s="10">
        <f t="shared" si="54"/>
        <v>1.2270962713437639E-3</v>
      </c>
      <c r="L362" s="10">
        <f t="shared" si="55"/>
        <v>7.3625776280605848E-4</v>
      </c>
    </row>
    <row r="363" spans="1:12" x14ac:dyDescent="0.2">
      <c r="A363" s="14">
        <v>0.29799999999999999</v>
      </c>
      <c r="B363" s="10">
        <f t="shared" si="45"/>
        <v>-0.85683991752040656</v>
      </c>
      <c r="C363" s="10">
        <f t="shared" si="46"/>
        <v>0.17308166333912214</v>
      </c>
      <c r="D363" s="10">
        <f t="shared" si="47"/>
        <v>0.66755291822422314</v>
      </c>
      <c r="E363" s="10">
        <f t="shared" si="48"/>
        <v>1.9494609885241738</v>
      </c>
      <c r="F363" s="10">
        <f t="shared" si="52"/>
        <v>2.402860252791239E-3</v>
      </c>
      <c r="G363" s="10">
        <f t="shared" si="49"/>
        <v>-1.0086356222663322</v>
      </c>
      <c r="H363" s="10">
        <f t="shared" si="50"/>
        <v>0.26724694655600117</v>
      </c>
      <c r="I363" s="10">
        <f t="shared" si="53"/>
        <v>1.4488671865503511E-4</v>
      </c>
      <c r="J363" s="20">
        <f t="shared" si="51"/>
        <v>0</v>
      </c>
      <c r="K363" s="10">
        <f t="shared" si="54"/>
        <v>1.2333369786488024E-3</v>
      </c>
      <c r="L363" s="10">
        <f t="shared" si="55"/>
        <v>7.4000218718928146E-4</v>
      </c>
    </row>
    <row r="364" spans="1:12" x14ac:dyDescent="0.2">
      <c r="A364" s="14">
        <v>0.29899999999999999</v>
      </c>
      <c r="B364" s="10">
        <f t="shared" si="45"/>
        <v>-0.85206431364390378</v>
      </c>
      <c r="C364" s="10">
        <f t="shared" si="46"/>
        <v>0.17126492704242466</v>
      </c>
      <c r="D364" s="10">
        <f t="shared" si="47"/>
        <v>0.66879250262211853</v>
      </c>
      <c r="E364" s="10">
        <f t="shared" si="48"/>
        <v>1.951879008310033</v>
      </c>
      <c r="F364" s="10">
        <f t="shared" si="52"/>
        <v>2.4180197858592045E-3</v>
      </c>
      <c r="G364" s="10">
        <f t="shared" si="49"/>
        <v>-1.0078918716275949</v>
      </c>
      <c r="H364" s="10">
        <f t="shared" si="50"/>
        <v>0.26739261749098059</v>
      </c>
      <c r="I364" s="10">
        <f t="shared" si="53"/>
        <v>1.4567093497941386E-4</v>
      </c>
      <c r="J364" s="20">
        <f t="shared" si="51"/>
        <v>0</v>
      </c>
      <c r="K364" s="10">
        <f t="shared" si="54"/>
        <v>1.2395843978953991E-3</v>
      </c>
      <c r="L364" s="10">
        <f t="shared" si="55"/>
        <v>7.4375063873732827E-4</v>
      </c>
    </row>
    <row r="365" spans="1:12" x14ac:dyDescent="0.2">
      <c r="A365" s="14">
        <v>0.3</v>
      </c>
      <c r="B365" s="10">
        <f t="shared" si="45"/>
        <v>-0.84729786038720356</v>
      </c>
      <c r="C365" s="10">
        <f t="shared" si="46"/>
        <v>0.16945957207744072</v>
      </c>
      <c r="D365" s="10">
        <f t="shared" si="47"/>
        <v>0.67003834117212968</v>
      </c>
      <c r="E365" s="10">
        <f t="shared" si="48"/>
        <v>1.9543122498218595</v>
      </c>
      <c r="F365" s="10">
        <f t="shared" si="52"/>
        <v>2.433241511826445E-3</v>
      </c>
      <c r="G365" s="10">
        <f t="shared" si="49"/>
        <v>-1.007144368497588</v>
      </c>
      <c r="H365" s="10">
        <f t="shared" si="50"/>
        <v>0.26753907418211775</v>
      </c>
      <c r="I365" s="10">
        <f t="shared" si="53"/>
        <v>1.4645669113716453E-4</v>
      </c>
      <c r="J365" s="20">
        <f t="shared" si="51"/>
        <v>0</v>
      </c>
      <c r="K365" s="10">
        <f t="shared" si="54"/>
        <v>1.2458385500111469E-3</v>
      </c>
      <c r="L365" s="10">
        <f t="shared" si="55"/>
        <v>7.4750313000682134E-4</v>
      </c>
    </row>
    <row r="366" spans="1:12" x14ac:dyDescent="0.2">
      <c r="A366" s="14">
        <v>0.30099999999999999</v>
      </c>
      <c r="B366" s="10">
        <f t="shared" si="45"/>
        <v>-0.84254047748493466</v>
      </c>
      <c r="C366" s="10">
        <f t="shared" si="46"/>
        <v>0.16766555501950201</v>
      </c>
      <c r="D366" s="10">
        <f t="shared" si="47"/>
        <v>0.67129044062873056</v>
      </c>
      <c r="E366" s="10">
        <f t="shared" si="48"/>
        <v>1.9567607757069647</v>
      </c>
      <c r="F366" s="10">
        <f t="shared" si="52"/>
        <v>2.448525885105246E-3</v>
      </c>
      <c r="G366" s="10">
        <f t="shared" si="49"/>
        <v>-1.0063931088236278</v>
      </c>
      <c r="H366" s="10">
        <f t="shared" si="50"/>
        <v>0.26768631817626681</v>
      </c>
      <c r="I366" s="10">
        <f t="shared" si="53"/>
        <v>1.4724399414905998E-4</v>
      </c>
      <c r="J366" s="20">
        <f t="shared" si="51"/>
        <v>0</v>
      </c>
      <c r="K366" s="10">
        <f t="shared" si="54"/>
        <v>1.2520994566008747E-3</v>
      </c>
      <c r="L366" s="10">
        <f t="shared" si="55"/>
        <v>7.5125967396028059E-4</v>
      </c>
    </row>
    <row r="367" spans="1:12" x14ac:dyDescent="0.2">
      <c r="A367" s="14">
        <v>0.30199999999999999</v>
      </c>
      <c r="B367" s="10">
        <f t="shared" si="45"/>
        <v>-0.83779208538750283</v>
      </c>
      <c r="C367" s="10">
        <f t="shared" si="46"/>
        <v>0.16588283290672556</v>
      </c>
      <c r="D367" s="10">
        <f t="shared" si="47"/>
        <v>0.67254880776867287</v>
      </c>
      <c r="E367" s="10">
        <f t="shared" si="48"/>
        <v>1.9592246490713556</v>
      </c>
      <c r="F367" s="10">
        <f t="shared" si="52"/>
        <v>2.4638733643909116E-3</v>
      </c>
      <c r="G367" s="10">
        <f t="shared" si="49"/>
        <v>-1.0056380885396623</v>
      </c>
      <c r="H367" s="10">
        <f t="shared" si="50"/>
        <v>0.26783435102739211</v>
      </c>
      <c r="I367" s="10">
        <f t="shared" si="53"/>
        <v>1.4803285112530151E-4</v>
      </c>
      <c r="J367" s="20">
        <f t="shared" si="51"/>
        <v>0</v>
      </c>
      <c r="K367" s="10">
        <f t="shared" si="54"/>
        <v>1.258367139942318E-3</v>
      </c>
      <c r="L367" s="10">
        <f t="shared" si="55"/>
        <v>7.5502028396545739E-4</v>
      </c>
    </row>
    <row r="368" spans="1:12" x14ac:dyDescent="0.2">
      <c r="A368" s="14">
        <v>0.30299999999999999</v>
      </c>
      <c r="B368" s="10">
        <f t="shared" si="45"/>
        <v>-0.83305260525115477</v>
      </c>
      <c r="C368" s="10">
        <f t="shared" si="46"/>
        <v>0.1641113632344775</v>
      </c>
      <c r="D368" s="10">
        <f t="shared" si="47"/>
        <v>0.673813449391647</v>
      </c>
      <c r="E368" s="10">
        <f t="shared" si="48"/>
        <v>1.9617039334840294</v>
      </c>
      <c r="F368" s="10">
        <f t="shared" si="52"/>
        <v>2.4792844126737545E-3</v>
      </c>
      <c r="G368" s="10">
        <f t="shared" si="49"/>
        <v>-1.0048793035658778</v>
      </c>
      <c r="H368" s="10">
        <f t="shared" si="50"/>
        <v>0.26798317429665613</v>
      </c>
      <c r="I368" s="10">
        <f t="shared" si="53"/>
        <v>1.4882326926402012E-4</v>
      </c>
      <c r="J368" s="20">
        <f t="shared" si="51"/>
        <v>0</v>
      </c>
      <c r="K368" s="10">
        <f t="shared" si="54"/>
        <v>1.2646416229741275E-3</v>
      </c>
      <c r="L368" s="10">
        <f t="shared" si="55"/>
        <v>7.5878497378445431E-4</v>
      </c>
    </row>
    <row r="369" spans="1:12" x14ac:dyDescent="0.2">
      <c r="A369" s="14">
        <v>0.30399999999999999</v>
      </c>
      <c r="B369" s="10">
        <f t="shared" si="45"/>
        <v>-0.82832195892819793</v>
      </c>
      <c r="C369" s="10">
        <f t="shared" si="46"/>
        <v>0.1623511039499268</v>
      </c>
      <c r="D369" s="10">
        <f t="shared" si="47"/>
        <v>0.67508437232093454</v>
      </c>
      <c r="E369" s="10">
        <f t="shared" si="48"/>
        <v>1.9641986929812878</v>
      </c>
      <c r="F369" s="10">
        <f t="shared" si="52"/>
        <v>2.4947594972584142E-3</v>
      </c>
      <c r="G369" s="10">
        <f t="shared" si="49"/>
        <v>-1.004116749808305</v>
      </c>
      <c r="H369" s="10">
        <f t="shared" si="50"/>
        <v>0.26813278955250675</v>
      </c>
      <c r="I369" s="10">
        <f t="shared" si="53"/>
        <v>1.4961525585061031E-4</v>
      </c>
      <c r="J369" s="20">
        <f t="shared" si="51"/>
        <v>0</v>
      </c>
      <c r="K369" s="10">
        <f t="shared" si="54"/>
        <v>1.2709229292875435E-3</v>
      </c>
      <c r="L369" s="10">
        <f t="shared" si="55"/>
        <v>7.6255375757283694E-4</v>
      </c>
    </row>
    <row r="370" spans="1:12" x14ac:dyDescent="0.2">
      <c r="A370" s="14">
        <v>0.30499999999999999</v>
      </c>
      <c r="B370" s="10">
        <f t="shared" si="45"/>
        <v>-0.82360006895738069</v>
      </c>
      <c r="C370" s="10">
        <f t="shared" si="46"/>
        <v>0.16060201344668923</v>
      </c>
      <c r="D370" s="10">
        <f t="shared" si="47"/>
        <v>0.67636158340405372</v>
      </c>
      <c r="E370" s="10">
        <f t="shared" si="48"/>
        <v>1.9667089920710739</v>
      </c>
      <c r="F370" s="10">
        <f t="shared" si="52"/>
        <v>2.5102990897860611E-3</v>
      </c>
      <c r="G370" s="10">
        <f t="shared" si="49"/>
        <v>-1.0033504231584338</v>
      </c>
      <c r="H370" s="10">
        <f t="shared" si="50"/>
        <v>0.26828319837076342</v>
      </c>
      <c r="I370" s="10">
        <f t="shared" si="53"/>
        <v>1.504088182566754E-4</v>
      </c>
      <c r="J370" s="20">
        <f t="shared" si="51"/>
        <v>0</v>
      </c>
      <c r="K370" s="10">
        <f t="shared" si="54"/>
        <v>1.2772110831191785E-3</v>
      </c>
      <c r="L370" s="10">
        <f t="shared" si="55"/>
        <v>7.6632664987119625E-4</v>
      </c>
    </row>
    <row r="371" spans="1:12" x14ac:dyDescent="0.2">
      <c r="A371" s="14">
        <v>0.30599999999999999</v>
      </c>
      <c r="B371" s="10">
        <f t="shared" si="45"/>
        <v>-0.81888685855442367</v>
      </c>
      <c r="C371" s="10">
        <f t="shared" si="46"/>
        <v>0.15886405055955818</v>
      </c>
      <c r="D371" s="10">
        <f t="shared" si="47"/>
        <v>0.67764508951339464</v>
      </c>
      <c r="E371" s="10">
        <f t="shared" si="48"/>
        <v>1.9692348957373245</v>
      </c>
      <c r="F371" s="10">
        <f t="shared" si="52"/>
        <v>2.5259036662506062E-3</v>
      </c>
      <c r="G371" s="10">
        <f t="shared" si="49"/>
        <v>-1.0025803194928291</v>
      </c>
      <c r="H371" s="10">
        <f t="shared" si="50"/>
        <v>0.26843440233470323</v>
      </c>
      <c r="I371" s="10">
        <f t="shared" si="53"/>
        <v>1.5120396393980551E-4</v>
      </c>
      <c r="J371" s="20">
        <f t="shared" si="51"/>
        <v>0</v>
      </c>
      <c r="K371" s="10">
        <f t="shared" si="54"/>
        <v>1.283506109340915E-3</v>
      </c>
      <c r="L371" s="10">
        <f t="shared" si="55"/>
        <v>7.7010366560470445E-4</v>
      </c>
    </row>
    <row r="372" spans="1:12" x14ac:dyDescent="0.2">
      <c r="A372" s="14">
        <v>0.307</v>
      </c>
      <c r="B372" s="10">
        <f t="shared" si="45"/>
        <v>-0.81418225160270619</v>
      </c>
      <c r="C372" s="10">
        <f t="shared" si="46"/>
        <v>0.1571371745593223</v>
      </c>
      <c r="D372" s="10">
        <f t="shared" si="47"/>
        <v>0.67893489754684733</v>
      </c>
      <c r="E372" s="10">
        <f t="shared" si="48"/>
        <v>1.9717764694443465</v>
      </c>
      <c r="F372" s="10">
        <f t="shared" si="52"/>
        <v>2.5415737070220157E-3</v>
      </c>
      <c r="G372" s="10">
        <f t="shared" si="49"/>
        <v>-1.0018064346727575</v>
      </c>
      <c r="H372" s="10">
        <f t="shared" si="50"/>
        <v>0.26858640303514503</v>
      </c>
      <c r="I372" s="10">
        <f t="shared" si="53"/>
        <v>1.5200070044180114E-4</v>
      </c>
      <c r="J372" s="20">
        <f t="shared" si="51"/>
        <v>0</v>
      </c>
      <c r="K372" s="10">
        <f t="shared" si="54"/>
        <v>1.2898080334526885E-3</v>
      </c>
      <c r="L372" s="10">
        <f t="shared" si="55"/>
        <v>7.7388482007156867E-4</v>
      </c>
    </row>
    <row r="373" spans="1:12" x14ac:dyDescent="0.2">
      <c r="A373" s="14">
        <v>0.308</v>
      </c>
      <c r="B373" s="10">
        <f t="shared" si="45"/>
        <v>-0.80948617264409506</v>
      </c>
      <c r="C373" s="10">
        <f t="shared" si="46"/>
        <v>0.15542134514766626</v>
      </c>
      <c r="D373" s="10">
        <f t="shared" si="47"/>
        <v>0.68023101442842304</v>
      </c>
      <c r="E373" s="10">
        <f t="shared" si="48"/>
        <v>1.9743337791412159</v>
      </c>
      <c r="F373" s="10">
        <f t="shared" si="52"/>
        <v>2.5573096968694031E-3</v>
      </c>
      <c r="G373" s="10">
        <f t="shared" si="49"/>
        <v>-1.0010287645438121</v>
      </c>
      <c r="H373" s="10">
        <f t="shared" si="50"/>
        <v>0.26873920207053392</v>
      </c>
      <c r="I373" s="10">
        <f t="shared" si="53"/>
        <v>1.5279903538889528E-4</v>
      </c>
      <c r="J373" s="20">
        <f t="shared" si="51"/>
        <v>0</v>
      </c>
      <c r="K373" s="10">
        <f t="shared" si="54"/>
        <v>1.2961168815757151E-3</v>
      </c>
      <c r="L373" s="10">
        <f t="shared" si="55"/>
        <v>7.7767012894547349E-4</v>
      </c>
    </row>
    <row r="374" spans="1:12" x14ac:dyDescent="0.2">
      <c r="A374" s="14">
        <v>0.309</v>
      </c>
      <c r="B374" s="10">
        <f t="shared" si="45"/>
        <v>-0.80479854686992458</v>
      </c>
      <c r="C374" s="10">
        <f t="shared" si="46"/>
        <v>0.15371652245215559</v>
      </c>
      <c r="D374" s="10">
        <f t="shared" si="47"/>
        <v>0.68153344710886543</v>
      </c>
      <c r="E374" s="10">
        <f t="shared" si="48"/>
        <v>1.9769068912661942</v>
      </c>
      <c r="F374" s="10">
        <f t="shared" si="52"/>
        <v>2.5731121249783495E-3</v>
      </c>
      <c r="G374" s="10">
        <f t="shared" si="49"/>
        <v>-1.0002473049355467</v>
      </c>
      <c r="H374" s="10">
        <f t="shared" si="50"/>
        <v>0.26889280104702384</v>
      </c>
      <c r="I374" s="10">
        <f t="shared" si="53"/>
        <v>1.5359897648992149E-4</v>
      </c>
      <c r="J374" s="20">
        <f t="shared" si="51"/>
        <v>0</v>
      </c>
      <c r="K374" s="10">
        <f t="shared" si="54"/>
        <v>1.3024326804423891E-3</v>
      </c>
      <c r="L374" s="10">
        <f t="shared" si="55"/>
        <v>7.8145960826536687E-4</v>
      </c>
    </row>
    <row r="375" spans="1:12" x14ac:dyDescent="0.2">
      <c r="A375" s="14">
        <v>0.31</v>
      </c>
      <c r="B375" s="10">
        <f t="shared" si="45"/>
        <v>-0.80011930011211307</v>
      </c>
      <c r="C375" s="10">
        <f t="shared" si="46"/>
        <v>0.15202266702130149</v>
      </c>
      <c r="D375" s="10">
        <f t="shared" si="47"/>
        <v>0.68284220256625716</v>
      </c>
      <c r="E375" s="10">
        <f t="shared" si="48"/>
        <v>1.9794958727511751</v>
      </c>
      <c r="F375" s="10">
        <f t="shared" si="52"/>
        <v>2.588981484980879E-3</v>
      </c>
      <c r="G375" s="10">
        <f t="shared" si="49"/>
        <v>-0.99946205166111157</v>
      </c>
      <c r="H375" s="10">
        <f t="shared" si="50"/>
        <v>0.26904720157856082</v>
      </c>
      <c r="I375" s="10">
        <f t="shared" si="53"/>
        <v>1.5440053153698008E-4</v>
      </c>
      <c r="J375" s="20">
        <f t="shared" si="51"/>
        <v>0</v>
      </c>
      <c r="K375" s="10">
        <f t="shared" si="54"/>
        <v>1.3087554573917304E-3</v>
      </c>
      <c r="L375" s="10">
        <f t="shared" si="55"/>
        <v>7.8525327443512705E-4</v>
      </c>
    </row>
    <row r="376" spans="1:12" x14ac:dyDescent="0.2">
      <c r="A376" s="14">
        <v>0.311</v>
      </c>
      <c r="B376" s="10">
        <f t="shared" si="45"/>
        <v>-0.79544835883442455</v>
      </c>
      <c r="C376" s="10">
        <f t="shared" si="46"/>
        <v>0.15033973981970625</v>
      </c>
      <c r="D376" s="10">
        <f t="shared" si="47"/>
        <v>0.68415728780661644</v>
      </c>
      <c r="E376" s="10">
        <f t="shared" si="48"/>
        <v>1.9821007910261474</v>
      </c>
      <c r="F376" s="10">
        <f t="shared" si="52"/>
        <v>2.6049182749723343E-3</v>
      </c>
      <c r="G376" s="10">
        <f t="shared" si="49"/>
        <v>-0.99867300051689611</v>
      </c>
      <c r="H376" s="10">
        <f t="shared" si="50"/>
        <v>0.26920240528696388</v>
      </c>
      <c r="I376" s="10">
        <f t="shared" si="53"/>
        <v>1.5520370840305109E-4</v>
      </c>
      <c r="J376" s="20">
        <f t="shared" si="51"/>
        <v>0</v>
      </c>
      <c r="K376" s="10">
        <f t="shared" si="54"/>
        <v>1.3150852403592816E-3</v>
      </c>
      <c r="L376" s="10">
        <f t="shared" si="55"/>
        <v>7.8905114421545797E-4</v>
      </c>
    </row>
    <row r="377" spans="1:12" x14ac:dyDescent="0.2">
      <c r="A377" s="14">
        <v>0.312</v>
      </c>
      <c r="B377" s="10">
        <f t="shared" si="45"/>
        <v>-0.79078565012386126</v>
      </c>
      <c r="C377" s="10">
        <f t="shared" si="46"/>
        <v>0.14866770222328593</v>
      </c>
      <c r="D377" s="10">
        <f t="shared" si="47"/>
        <v>0.68547870986448967</v>
      </c>
      <c r="E377" s="10">
        <f t="shared" si="48"/>
        <v>1.9847217140236895</v>
      </c>
      <c r="F377" s="10">
        <f t="shared" si="52"/>
        <v>2.620922997542019E-3</v>
      </c>
      <c r="G377" s="10">
        <f t="shared" si="49"/>
        <v>-0.99788014728217211</v>
      </c>
      <c r="H377" s="10">
        <f t="shared" si="50"/>
        <v>0.26935841380200676</v>
      </c>
      <c r="I377" s="10">
        <f t="shared" si="53"/>
        <v>1.5600851504288249E-4</v>
      </c>
      <c r="J377" s="20">
        <f t="shared" si="51"/>
        <v>0</v>
      </c>
      <c r="K377" s="10">
        <f t="shared" si="54"/>
        <v>1.3214220578732228E-3</v>
      </c>
      <c r="L377" s="10">
        <f t="shared" si="55"/>
        <v>7.9285323472400027E-4</v>
      </c>
    </row>
    <row r="378" spans="1:12" x14ac:dyDescent="0.2">
      <c r="A378" s="14">
        <v>0.313</v>
      </c>
      <c r="B378" s="10">
        <f t="shared" si="45"/>
        <v>-0.78613110168219613</v>
      </c>
      <c r="C378" s="10">
        <f t="shared" si="46"/>
        <v>0.14700651601457068</v>
      </c>
      <c r="D378" s="10">
        <f t="shared" si="47"/>
        <v>0.68680647580353482</v>
      </c>
      <c r="E378" s="10">
        <f t="shared" si="48"/>
        <v>1.9873587101834842</v>
      </c>
      <c r="F378" s="10">
        <f t="shared" si="52"/>
        <v>2.6369961597947356E-3</v>
      </c>
      <c r="G378" s="10">
        <f t="shared" si="49"/>
        <v>-0.99708348771874489</v>
      </c>
      <c r="H378" s="10">
        <f t="shared" si="50"/>
        <v>0.26951522876149797</v>
      </c>
      <c r="I378" s="10">
        <f t="shared" si="53"/>
        <v>1.5681495949121382E-4</v>
      </c>
      <c r="J378" s="20">
        <f t="shared" si="51"/>
        <v>0</v>
      </c>
      <c r="K378" s="10">
        <f t="shared" si="54"/>
        <v>1.3277659390451557E-3</v>
      </c>
      <c r="L378" s="10">
        <f t="shared" si="55"/>
        <v>7.9665956342722666E-4</v>
      </c>
    </row>
    <row r="379" spans="1:12" x14ac:dyDescent="0.2">
      <c r="A379" s="14">
        <v>0.314</v>
      </c>
      <c r="B379" s="10">
        <f t="shared" si="45"/>
        <v>-0.78148464181763178</v>
      </c>
      <c r="C379" s="10">
        <f t="shared" si="46"/>
        <v>0.14535614337807951</v>
      </c>
      <c r="D379" s="10">
        <f t="shared" si="47"/>
        <v>0.68814059271709982</v>
      </c>
      <c r="E379" s="10">
        <f t="shared" si="48"/>
        <v>1.9900118484568634</v>
      </c>
      <c r="F379" s="10">
        <f t="shared" si="52"/>
        <v>2.6531382733792075E-3</v>
      </c>
      <c r="G379" s="10">
        <f t="shared" si="49"/>
        <v>-0.996283017570606</v>
      </c>
      <c r="H379" s="10">
        <f t="shared" si="50"/>
        <v>0.26967285181136075</v>
      </c>
      <c r="I379" s="10">
        <f t="shared" si="53"/>
        <v>1.576230498627762E-4</v>
      </c>
      <c r="J379" s="20">
        <f t="shared" si="51"/>
        <v>0</v>
      </c>
      <c r="K379" s="10">
        <f t="shared" si="54"/>
        <v>1.3341169135649977E-3</v>
      </c>
      <c r="L379" s="10">
        <f t="shared" si="55"/>
        <v>8.0047014813888762E-4</v>
      </c>
    </row>
    <row r="380" spans="1:12" x14ac:dyDescent="0.2">
      <c r="A380" s="14">
        <v>0.315</v>
      </c>
      <c r="B380" s="10">
        <f t="shared" si="45"/>
        <v>-0.77684619943659228</v>
      </c>
      <c r="C380" s="10">
        <f t="shared" si="46"/>
        <v>0.14371654689576957</v>
      </c>
      <c r="D380" s="10">
        <f t="shared" si="47"/>
        <v>0.68948106772879347</v>
      </c>
      <c r="E380" s="10">
        <f t="shared" si="48"/>
        <v>1.9926811983113759</v>
      </c>
      <c r="F380" s="10">
        <f t="shared" si="52"/>
        <v>2.6693498545125038E-3</v>
      </c>
      <c r="G380" s="10">
        <f t="shared" si="49"/>
        <v>-0.99547873256358987</v>
      </c>
      <c r="H380" s="10">
        <f t="shared" si="50"/>
        <v>0.26983128460571226</v>
      </c>
      <c r="I380" s="10">
        <f t="shared" si="53"/>
        <v>1.5843279435151514E-4</v>
      </c>
      <c r="J380" s="20">
        <f t="shared" si="51"/>
        <v>0</v>
      </c>
      <c r="K380" s="10">
        <f t="shared" si="54"/>
        <v>1.3404750116936537E-3</v>
      </c>
      <c r="L380" s="10">
        <f t="shared" si="55"/>
        <v>8.042850070161256E-4</v>
      </c>
    </row>
    <row r="381" spans="1:12" x14ac:dyDescent="0.2">
      <c r="A381" s="14">
        <v>0.316</v>
      </c>
      <c r="B381" s="10">
        <f t="shared" si="45"/>
        <v>-0.77221570403563833</v>
      </c>
      <c r="C381" s="10">
        <f t="shared" si="46"/>
        <v>0.14208768954255746</v>
      </c>
      <c r="D381" s="10">
        <f t="shared" si="47"/>
        <v>0.69082790799305105</v>
      </c>
      <c r="E381" s="10">
        <f t="shared" si="48"/>
        <v>1.9953668297353859</v>
      </c>
      <c r="F381" s="10">
        <f t="shared" si="52"/>
        <v>2.6856314240100154E-3</v>
      </c>
      <c r="G381" s="10">
        <f t="shared" si="49"/>
        <v>-0.99467062840503528</v>
      </c>
      <c r="H381" s="10">
        <f t="shared" si="50"/>
        <v>0.26999052880694197</v>
      </c>
      <c r="I381" s="10">
        <f t="shared" si="53"/>
        <v>1.592442012297024E-4</v>
      </c>
      <c r="J381" s="20">
        <f t="shared" si="51"/>
        <v>0</v>
      </c>
      <c r="K381" s="10">
        <f t="shared" si="54"/>
        <v>1.3468402642575761E-3</v>
      </c>
      <c r="L381" s="10">
        <f t="shared" si="55"/>
        <v>8.0810415855459006E-4</v>
      </c>
    </row>
    <row r="382" spans="1:12" x14ac:dyDescent="0.2">
      <c r="A382" s="14">
        <v>0.317</v>
      </c>
      <c r="B382" s="10">
        <f t="shared" si="45"/>
        <v>-0.76759308569350948</v>
      </c>
      <c r="C382" s="10">
        <f t="shared" si="46"/>
        <v>0.14046953468191223</v>
      </c>
      <c r="D382" s="10">
        <f t="shared" si="47"/>
        <v>0.69218112069569315</v>
      </c>
      <c r="E382" s="10">
        <f t="shared" si="48"/>
        <v>1.9980688132426976</v>
      </c>
      <c r="F382" s="10">
        <f t="shared" si="52"/>
        <v>2.701983507311656E-3</v>
      </c>
      <c r="G382" s="10">
        <f t="shared" si="49"/>
        <v>-0.99385870078345007</v>
      </c>
      <c r="H382" s="10">
        <f t="shared" si="50"/>
        <v>0.27015058608578985</v>
      </c>
      <c r="I382" s="10">
        <f t="shared" si="53"/>
        <v>1.6005727884788046E-4</v>
      </c>
      <c r="J382" s="20">
        <f t="shared" si="51"/>
        <v>0</v>
      </c>
      <c r="K382" s="10">
        <f t="shared" si="54"/>
        <v>1.3532127026421037E-3</v>
      </c>
      <c r="L382" s="10">
        <f t="shared" si="55"/>
        <v>8.1192762158521781E-4</v>
      </c>
    </row>
    <row r="383" spans="1:12" x14ac:dyDescent="0.2">
      <c r="A383" s="14">
        <v>0.318</v>
      </c>
      <c r="B383" s="10">
        <f t="shared" si="45"/>
        <v>-0.76297827506328519</v>
      </c>
      <c r="C383" s="10">
        <f t="shared" si="46"/>
        <v>0.13886204606151789</v>
      </c>
      <c r="D383" s="10">
        <f t="shared" si="47"/>
        <v>0.69354071305448073</v>
      </c>
      <c r="E383" s="10">
        <f t="shared" si="48"/>
        <v>2.0007872198772123</v>
      </c>
      <c r="F383" s="10">
        <f t="shared" si="52"/>
        <v>2.7184066345147251E-3</v>
      </c>
      <c r="G383" s="10">
        <f t="shared" si="49"/>
        <v>-0.99304294536817761</v>
      </c>
      <c r="H383" s="10">
        <f t="shared" si="50"/>
        <v>0.27031145812142371</v>
      </c>
      <c r="I383" s="10">
        <f t="shared" si="53"/>
        <v>1.6087203563386332E-4</v>
      </c>
      <c r="J383" s="20">
        <f t="shared" si="51"/>
        <v>0</v>
      </c>
      <c r="K383" s="10">
        <f t="shared" si="54"/>
        <v>1.3595923587875758E-3</v>
      </c>
      <c r="L383" s="10">
        <f t="shared" si="55"/>
        <v>8.1575541527245665E-4</v>
      </c>
    </row>
    <row r="384" spans="1:12" x14ac:dyDescent="0.2">
      <c r="A384" s="14">
        <v>0.31900000000000001</v>
      </c>
      <c r="B384" s="10">
        <f t="shared" si="45"/>
        <v>-0.75837120336466779</v>
      </c>
      <c r="C384" s="10">
        <f t="shared" si="46"/>
        <v>0.13726518780900487</v>
      </c>
      <c r="D384" s="10">
        <f t="shared" si="47"/>
        <v>0.6949066923196604</v>
      </c>
      <c r="E384" s="10">
        <f t="shared" si="48"/>
        <v>2.0035221212176086</v>
      </c>
      <c r="F384" s="10">
        <f t="shared" si="52"/>
        <v>2.734901340396334E-3</v>
      </c>
      <c r="G384" s="10">
        <f t="shared" si="49"/>
        <v>-0.99222335780906956</v>
      </c>
      <c r="H384" s="10">
        <f t="shared" si="50"/>
        <v>0.27047314660151628</v>
      </c>
      <c r="I384" s="10">
        <f t="shared" si="53"/>
        <v>1.6168848009256997E-4</v>
      </c>
      <c r="J384" s="20">
        <f t="shared" si="51"/>
        <v>0</v>
      </c>
      <c r="K384" s="10">
        <f t="shared" si="54"/>
        <v>1.3659792651796732E-3</v>
      </c>
      <c r="L384" s="10">
        <f t="shared" si="55"/>
        <v>8.1958755910804815E-4</v>
      </c>
    </row>
    <row r="385" spans="1:12" x14ac:dyDescent="0.2">
      <c r="A385" s="14">
        <v>0.32</v>
      </c>
      <c r="B385" s="10">
        <f t="shared" si="45"/>
        <v>-0.75377180237638008</v>
      </c>
      <c r="C385" s="10">
        <f t="shared" si="46"/>
        <v>0.1356789244277484</v>
      </c>
      <c r="D385" s="10">
        <f t="shared" si="47"/>
        <v>0.69627906577450938</v>
      </c>
      <c r="E385" s="10">
        <f t="shared" si="48"/>
        <v>2.0062735893820607</v>
      </c>
      <c r="F385" s="10">
        <f t="shared" si="52"/>
        <v>2.7514681644520422E-3</v>
      </c>
      <c r="G385" s="10">
        <f t="shared" si="49"/>
        <v>-0.99139993373616042</v>
      </c>
      <c r="H385" s="10">
        <f t="shared" si="50"/>
        <v>0.27063565322232142</v>
      </c>
      <c r="I385" s="10">
        <f t="shared" si="53"/>
        <v>1.6250662080513623E-4</v>
      </c>
      <c r="J385" s="20">
        <f t="shared" si="51"/>
        <v>0</v>
      </c>
      <c r="K385" s="10">
        <f t="shared" si="54"/>
        <v>1.3723734548489741E-3</v>
      </c>
      <c r="L385" s="10">
        <f t="shared" si="55"/>
        <v>8.2342407290914021E-4</v>
      </c>
    </row>
    <row r="386" spans="1:12" x14ac:dyDescent="0.2">
      <c r="A386" s="14">
        <v>0.32100000000000001</v>
      </c>
      <c r="B386" s="10">
        <f t="shared" ref="B386:B449" si="56">LN(A386/(1-A386))</f>
        <v>-0.74918000442868027</v>
      </c>
      <c r="C386" s="10">
        <f t="shared" ref="C386:C449" si="57">(A386-0.5)*B386</f>
        <v>0.13410322079273376</v>
      </c>
      <c r="D386" s="10">
        <f t="shared" ref="D386:D449" si="58">$B$45+$B$46*B386+$B$47*C386</f>
        <v>0.697657840735871</v>
      </c>
      <c r="E386" s="10">
        <f t="shared" ref="E386:E449" si="59">$B$14+EXP(D386)</f>
        <v>2.0090416970329823</v>
      </c>
      <c r="F386" s="10">
        <f t="shared" si="52"/>
        <v>2.768107650921614E-3</v>
      </c>
      <c r="G386" s="10">
        <f t="shared" ref="G386:G449" si="60">$C$45+$C$46*B386+$C$47*C386</f>
        <v>-0.99057266875934336</v>
      </c>
      <c r="H386" s="10">
        <f t="shared" ref="H386:H449" si="61">$C$14+($C$15-$C$14)/(1+EXP(-G386))</f>
        <v>0.27079897968875033</v>
      </c>
      <c r="I386" s="10">
        <f t="shared" si="53"/>
        <v>1.6332646642891469E-4</v>
      </c>
      <c r="J386" s="20">
        <f t="shared" ref="J386:J449" si="62">G386-($B$22+$B$21*D386)</f>
        <v>0</v>
      </c>
      <c r="K386" s="10">
        <f t="shared" si="54"/>
        <v>1.3787749613616285E-3</v>
      </c>
      <c r="L386" s="10">
        <f t="shared" si="55"/>
        <v>8.272649768170659E-4</v>
      </c>
    </row>
    <row r="387" spans="1:12" x14ac:dyDescent="0.2">
      <c r="A387" s="14">
        <v>0.32200000000000001</v>
      </c>
      <c r="B387" s="10">
        <f t="shared" si="56"/>
        <v>-0.74459574239598714</v>
      </c>
      <c r="C387" s="10">
        <f t="shared" si="57"/>
        <v>0.13253804214648571</v>
      </c>
      <c r="D387" s="10">
        <f t="shared" si="58"/>
        <v>0.69904302455468781</v>
      </c>
      <c r="E387" s="10">
        <f t="shared" si="59"/>
        <v>2.011826517381806</v>
      </c>
      <c r="F387" s="10">
        <f t="shared" ref="F387:F450" si="63">E387-E386</f>
        <v>2.7848203488236578E-3</v>
      </c>
      <c r="G387" s="10">
        <f t="shared" si="60"/>
        <v>-0.98974155846805323</v>
      </c>
      <c r="H387" s="10">
        <f t="shared" si="61"/>
        <v>0.27096312771444669</v>
      </c>
      <c r="I387" s="10">
        <f t="shared" ref="I387:I450" si="64">H387-H386</f>
        <v>1.6414802569636455E-4</v>
      </c>
      <c r="J387" s="20">
        <f t="shared" si="62"/>
        <v>0</v>
      </c>
      <c r="K387" s="10">
        <f t="shared" ref="K387:K450" si="65">D387-D386</f>
        <v>1.3851838188168042E-3</v>
      </c>
      <c r="L387" s="10">
        <f t="shared" ref="L387:L450" si="66">G387-G386</f>
        <v>8.3111029129012692E-4</v>
      </c>
    </row>
    <row r="388" spans="1:12" x14ac:dyDescent="0.2">
      <c r="A388" s="14">
        <v>0.32300000000000001</v>
      </c>
      <c r="B388" s="10">
        <f t="shared" si="56"/>
        <v>-0.74001894968961845</v>
      </c>
      <c r="C388" s="10">
        <f t="shared" si="57"/>
        <v>0.13098335409506245</v>
      </c>
      <c r="D388" s="10">
        <f t="shared" si="58"/>
        <v>0.70043462461652806</v>
      </c>
      <c r="E388" s="10">
        <f t="shared" si="59"/>
        <v>2.0146281241937918</v>
      </c>
      <c r="F388" s="10">
        <f t="shared" si="63"/>
        <v>2.801606811985824E-3</v>
      </c>
      <c r="G388" s="10">
        <f t="shared" si="60"/>
        <v>-0.98890659843094908</v>
      </c>
      <c r="H388" s="10">
        <f t="shared" si="61"/>
        <v>0.27112809902186197</v>
      </c>
      <c r="I388" s="10">
        <f t="shared" si="64"/>
        <v>1.6497130741527366E-4</v>
      </c>
      <c r="J388" s="20">
        <f t="shared" si="62"/>
        <v>0</v>
      </c>
      <c r="K388" s="10">
        <f t="shared" si="65"/>
        <v>1.391600061840248E-3</v>
      </c>
      <c r="L388" s="10">
        <f t="shared" si="66"/>
        <v>8.3496003710414879E-4</v>
      </c>
    </row>
    <row r="389" spans="1:12" x14ac:dyDescent="0.2">
      <c r="A389" s="14">
        <v>0.32400000000000001</v>
      </c>
      <c r="B389" s="10">
        <f t="shared" si="56"/>
        <v>-0.73544956025063457</v>
      </c>
      <c r="C389" s="10">
        <f t="shared" si="57"/>
        <v>0.12943912260411167</v>
      </c>
      <c r="D389" s="10">
        <f t="shared" si="58"/>
        <v>0.70183264834210835</v>
      </c>
      <c r="E389" s="10">
        <f t="shared" si="59"/>
        <v>2.0174465917928717</v>
      </c>
      <c r="F389" s="10">
        <f t="shared" si="63"/>
        <v>2.818467599079888E-3</v>
      </c>
      <c r="G389" s="10">
        <f t="shared" si="60"/>
        <v>-0.98806778419560093</v>
      </c>
      <c r="H389" s="10">
        <f t="shared" si="61"/>
        <v>0.27129389534232989</v>
      </c>
      <c r="I389" s="10">
        <f t="shared" si="64"/>
        <v>1.6579632046792581E-4</v>
      </c>
      <c r="J389" s="20">
        <f t="shared" si="62"/>
        <v>0</v>
      </c>
      <c r="K389" s="10">
        <f t="shared" si="65"/>
        <v>1.3980237255802885E-3</v>
      </c>
      <c r="L389" s="10">
        <f t="shared" si="66"/>
        <v>8.3881423534815092E-4</v>
      </c>
    </row>
    <row r="390" spans="1:12" x14ac:dyDescent="0.2">
      <c r="A390" s="14">
        <v>0.32500000000000001</v>
      </c>
      <c r="B390" s="10">
        <f t="shared" si="56"/>
        <v>-0.73088750854279239</v>
      </c>
      <c r="C390" s="10">
        <f t="shared" si="57"/>
        <v>0.12790531399498867</v>
      </c>
      <c r="D390" s="10">
        <f t="shared" si="58"/>
        <v>0.70323710318781107</v>
      </c>
      <c r="E390" s="10">
        <f t="shared" si="59"/>
        <v>2.0202819950665272</v>
      </c>
      <c r="F390" s="10">
        <f t="shared" si="63"/>
        <v>2.8354032736555013E-3</v>
      </c>
      <c r="G390" s="10">
        <f t="shared" si="60"/>
        <v>-0.98722511128817925</v>
      </c>
      <c r="H390" s="10">
        <f t="shared" si="61"/>
        <v>0.27146051841614044</v>
      </c>
      <c r="I390" s="10">
        <f t="shared" si="64"/>
        <v>1.6662307381054564E-4</v>
      </c>
      <c r="J390" s="20">
        <f t="shared" si="62"/>
        <v>0</v>
      </c>
      <c r="K390" s="10">
        <f t="shared" si="65"/>
        <v>1.4044548457027295E-3</v>
      </c>
      <c r="L390" s="10">
        <f t="shared" si="66"/>
        <v>8.426729074216821E-4</v>
      </c>
    </row>
    <row r="391" spans="1:12" x14ac:dyDescent="0.2">
      <c r="A391" s="14">
        <v>0.32600000000000001</v>
      </c>
      <c r="B391" s="10">
        <f t="shared" si="56"/>
        <v>-0.72633272954559924</v>
      </c>
      <c r="C391" s="10">
        <f t="shared" si="57"/>
        <v>0.12638189494093427</v>
      </c>
      <c r="D391" s="10">
        <f t="shared" si="58"/>
        <v>0.70464799664619904</v>
      </c>
      <c r="E391" s="10">
        <f t="shared" si="59"/>
        <v>2.0231344094707047</v>
      </c>
      <c r="F391" s="10">
        <f t="shared" si="63"/>
        <v>2.8524144041774946E-3</v>
      </c>
      <c r="G391" s="10">
        <f t="shared" si="60"/>
        <v>-0.98637857521314631</v>
      </c>
      <c r="H391" s="10">
        <f t="shared" si="61"/>
        <v>0.27162796999261418</v>
      </c>
      <c r="I391" s="10">
        <f t="shared" si="64"/>
        <v>1.6745157647374276E-4</v>
      </c>
      <c r="J391" s="20">
        <f t="shared" si="62"/>
        <v>0</v>
      </c>
      <c r="K391" s="10">
        <f t="shared" si="65"/>
        <v>1.4108934583879629E-3</v>
      </c>
      <c r="L391" s="10">
        <f t="shared" si="66"/>
        <v>8.4653607503293316E-4</v>
      </c>
    </row>
    <row r="392" spans="1:12" x14ac:dyDescent="0.2">
      <c r="A392" s="14">
        <v>0.32700000000000001</v>
      </c>
      <c r="B392" s="10">
        <f t="shared" si="56"/>
        <v>-0.7217851587474744</v>
      </c>
      <c r="C392" s="10">
        <f t="shared" si="57"/>
        <v>0.12486883246331307</v>
      </c>
      <c r="D392" s="10">
        <f t="shared" si="58"/>
        <v>0.70606533624652168</v>
      </c>
      <c r="E392" s="10">
        <f t="shared" si="59"/>
        <v>2.0260039110347559</v>
      </c>
      <c r="F392" s="10">
        <f t="shared" si="63"/>
        <v>2.8695015640511912E-3</v>
      </c>
      <c r="G392" s="10">
        <f t="shared" si="60"/>
        <v>-0.98552817145295279</v>
      </c>
      <c r="H392" s="10">
        <f t="shared" si="61"/>
        <v>0.27179625183017475</v>
      </c>
      <c r="I392" s="10">
        <f t="shared" si="64"/>
        <v>1.682818375605688E-4</v>
      </c>
      <c r="J392" s="20">
        <f t="shared" si="62"/>
        <v>0</v>
      </c>
      <c r="K392" s="10">
        <f t="shared" si="65"/>
        <v>1.4173396003226424E-3</v>
      </c>
      <c r="L392" s="10">
        <f t="shared" si="66"/>
        <v>8.5040376019351882E-4</v>
      </c>
    </row>
    <row r="393" spans="1:12" x14ac:dyDescent="0.2">
      <c r="A393" s="14">
        <v>0.32800000000000001</v>
      </c>
      <c r="B393" s="10">
        <f t="shared" si="56"/>
        <v>-0.71724473213900564</v>
      </c>
      <c r="C393" s="10">
        <f t="shared" si="57"/>
        <v>0.12336609392790895</v>
      </c>
      <c r="D393" s="10">
        <f t="shared" si="58"/>
        <v>0.70748912955522303</v>
      </c>
      <c r="E393" s="10">
        <f t="shared" si="59"/>
        <v>2.0288905763664307</v>
      </c>
      <c r="F393" s="10">
        <f t="shared" si="63"/>
        <v>2.8866653316748092E-3</v>
      </c>
      <c r="G393" s="10">
        <f t="shared" si="60"/>
        <v>-0.98467389546773199</v>
      </c>
      <c r="H393" s="10">
        <f t="shared" si="61"/>
        <v>0.27196536569642282</v>
      </c>
      <c r="I393" s="10">
        <f t="shared" si="64"/>
        <v>1.6911386624807179E-4</v>
      </c>
      <c r="J393" s="20">
        <f t="shared" si="62"/>
        <v>0</v>
      </c>
      <c r="K393" s="10">
        <f t="shared" si="65"/>
        <v>1.4237933087013488E-3</v>
      </c>
      <c r="L393" s="10">
        <f t="shared" si="66"/>
        <v>8.5427598522080928E-4</v>
      </c>
    </row>
    <row r="394" spans="1:12" x14ac:dyDescent="0.2">
      <c r="A394" s="14">
        <v>0.32900000000000001</v>
      </c>
      <c r="B394" s="10">
        <f t="shared" si="56"/>
        <v>-0.71271138620630992</v>
      </c>
      <c r="C394" s="10">
        <f t="shared" si="57"/>
        <v>0.12187364704127898</v>
      </c>
      <c r="D394" s="10">
        <f t="shared" si="58"/>
        <v>0.70891938417644007</v>
      </c>
      <c r="E394" s="10">
        <f t="shared" si="59"/>
        <v>2.0317944826568923</v>
      </c>
      <c r="F394" s="10">
        <f t="shared" si="63"/>
        <v>2.9039062904616664E-3</v>
      </c>
      <c r="G394" s="10">
        <f t="shared" si="60"/>
        <v>-0.98381574269500183</v>
      </c>
      <c r="H394" s="10">
        <f t="shared" si="61"/>
        <v>0.27213531336820823</v>
      </c>
      <c r="I394" s="10">
        <f t="shared" si="64"/>
        <v>1.699476717854087E-4</v>
      </c>
      <c r="J394" s="20">
        <f t="shared" si="62"/>
        <v>0</v>
      </c>
      <c r="K394" s="10">
        <f t="shared" si="65"/>
        <v>1.4302546212170419E-3</v>
      </c>
      <c r="L394" s="10">
        <f t="shared" si="66"/>
        <v>8.5815277273015855E-4</v>
      </c>
    </row>
    <row r="395" spans="1:12" x14ac:dyDescent="0.2">
      <c r="A395" s="14">
        <v>0.33</v>
      </c>
      <c r="B395" s="10">
        <f t="shared" si="56"/>
        <v>-0.70818505792448561</v>
      </c>
      <c r="C395" s="10">
        <f t="shared" si="57"/>
        <v>0.12039145984716254</v>
      </c>
      <c r="D395" s="10">
        <f t="shared" si="58"/>
        <v>0.71035610775250124</v>
      </c>
      <c r="E395" s="10">
        <f t="shared" si="59"/>
        <v>2.0347157076857783</v>
      </c>
      <c r="F395" s="10">
        <f t="shared" si="63"/>
        <v>2.9212250288859209E-3</v>
      </c>
      <c r="G395" s="10">
        <f t="shared" si="60"/>
        <v>-0.98295370854936526</v>
      </c>
      <c r="H395" s="10">
        <f t="shared" si="61"/>
        <v>0.27230609663170241</v>
      </c>
      <c r="I395" s="10">
        <f t="shared" si="64"/>
        <v>1.7078326349417861E-4</v>
      </c>
      <c r="J395" s="20">
        <f t="shared" si="62"/>
        <v>0</v>
      </c>
      <c r="K395" s="10">
        <f t="shared" si="65"/>
        <v>1.4367235760611718E-3</v>
      </c>
      <c r="L395" s="10">
        <f t="shared" si="66"/>
        <v>8.6203414563656988E-4</v>
      </c>
    </row>
    <row r="396" spans="1:12" x14ac:dyDescent="0.2">
      <c r="A396" s="14">
        <v>0.33100000000000002</v>
      </c>
      <c r="B396" s="10">
        <f t="shared" si="56"/>
        <v>-0.70366568475116553</v>
      </c>
      <c r="C396" s="10">
        <f t="shared" si="57"/>
        <v>0.11891950072294696</v>
      </c>
      <c r="D396" s="10">
        <f t="shared" si="58"/>
        <v>0.71179930796441826</v>
      </c>
      <c r="E396" s="10">
        <f t="shared" si="59"/>
        <v>2.0376543298262959</v>
      </c>
      <c r="F396" s="10">
        <f t="shared" si="63"/>
        <v>2.9386221405176549E-3</v>
      </c>
      <c r="G396" s="10">
        <f t="shared" si="60"/>
        <v>-0.98208778842221511</v>
      </c>
      <c r="H396" s="10">
        <f t="shared" si="61"/>
        <v>0.27247771728247072</v>
      </c>
      <c r="I396" s="10">
        <f t="shared" si="64"/>
        <v>1.7162065076831157E-4</v>
      </c>
      <c r="J396" s="20">
        <f t="shared" si="62"/>
        <v>0</v>
      </c>
      <c r="K396" s="10">
        <f t="shared" si="65"/>
        <v>1.4432002119170173E-3</v>
      </c>
      <c r="L396" s="10">
        <f t="shared" si="66"/>
        <v>8.6592012715014377E-4</v>
      </c>
    </row>
    <row r="397" spans="1:12" x14ac:dyDescent="0.2">
      <c r="A397" s="14">
        <v>0.33200000000000002</v>
      </c>
      <c r="B397" s="10">
        <f t="shared" si="56"/>
        <v>-0.69915320462015695</v>
      </c>
      <c r="C397" s="10">
        <f t="shared" si="57"/>
        <v>0.11745773837618635</v>
      </c>
      <c r="D397" s="10">
        <f t="shared" si="58"/>
        <v>0.71324899253237684</v>
      </c>
      <c r="E397" s="10">
        <f t="shared" si="59"/>
        <v>2.0406104280503596</v>
      </c>
      <c r="F397" s="10">
        <f t="shared" si="63"/>
        <v>2.9560982240637301E-3</v>
      </c>
      <c r="G397" s="10">
        <f t="shared" si="60"/>
        <v>-0.98121797768143981</v>
      </c>
      <c r="H397" s="10">
        <f t="shared" si="61"/>
        <v>0.27265017712554385</v>
      </c>
      <c r="I397" s="10">
        <f t="shared" si="64"/>
        <v>1.7245984307312501E-4</v>
      </c>
      <c r="J397" s="20">
        <f t="shared" si="62"/>
        <v>0</v>
      </c>
      <c r="K397" s="10">
        <f t="shared" si="65"/>
        <v>1.4496845679585757E-3</v>
      </c>
      <c r="L397" s="10">
        <f t="shared" si="66"/>
        <v>8.6981074077530085E-4</v>
      </c>
    </row>
    <row r="398" spans="1:12" x14ac:dyDescent="0.2">
      <c r="A398" s="14">
        <v>0.33300000000000002</v>
      </c>
      <c r="B398" s="10">
        <f t="shared" si="56"/>
        <v>-0.69464755593517991</v>
      </c>
      <c r="C398" s="10">
        <f t="shared" si="57"/>
        <v>0.11600614184117503</v>
      </c>
      <c r="D398" s="10">
        <f t="shared" si="58"/>
        <v>0.71470516921622207</v>
      </c>
      <c r="E398" s="10">
        <f t="shared" si="59"/>
        <v>2.0435840819337665</v>
      </c>
      <c r="F398" s="10">
        <f t="shared" si="63"/>
        <v>2.9736538834068682E-3</v>
      </c>
      <c r="G398" s="10">
        <f t="shared" si="60"/>
        <v>-0.98034427167113258</v>
      </c>
      <c r="H398" s="10">
        <f t="shared" si="61"/>
        <v>0.27282347797548939</v>
      </c>
      <c r="I398" s="10">
        <f t="shared" si="64"/>
        <v>1.7330084994554573E-4</v>
      </c>
      <c r="J398" s="20">
        <f t="shared" si="62"/>
        <v>0</v>
      </c>
      <c r="K398" s="10">
        <f t="shared" si="65"/>
        <v>1.4561766838452339E-3</v>
      </c>
      <c r="L398" s="10">
        <f t="shared" si="66"/>
        <v>8.7370601030722916E-4</v>
      </c>
    </row>
    <row r="399" spans="1:12" x14ac:dyDescent="0.2">
      <c r="A399" s="14">
        <v>0.33400000000000002</v>
      </c>
      <c r="B399" s="10">
        <f t="shared" si="56"/>
        <v>-0.69014867756368847</v>
      </c>
      <c r="C399" s="10">
        <f t="shared" si="57"/>
        <v>0.11456468047557228</v>
      </c>
      <c r="D399" s="10">
        <f t="shared" si="58"/>
        <v>0.71616784581594195</v>
      </c>
      <c r="E399" s="10">
        <f t="shared" si="59"/>
        <v>2.0465753716614117</v>
      </c>
      <c r="F399" s="10">
        <f t="shared" si="63"/>
        <v>2.9912897276451744E-3</v>
      </c>
      <c r="G399" s="10">
        <f t="shared" si="60"/>
        <v>-0.97946666571130081</v>
      </c>
      <c r="H399" s="10">
        <f t="shared" si="61"/>
        <v>0.27299762165648306</v>
      </c>
      <c r="I399" s="10">
        <f t="shared" si="64"/>
        <v>1.7414368099366584E-4</v>
      </c>
      <c r="J399" s="20">
        <f t="shared" si="62"/>
        <v>0</v>
      </c>
      <c r="K399" s="10">
        <f t="shared" si="65"/>
        <v>1.462676599719881E-3</v>
      </c>
      <c r="L399" s="10">
        <f t="shared" si="66"/>
        <v>8.7760595983177314E-4</v>
      </c>
    </row>
    <row r="400" spans="1:12" x14ac:dyDescent="0.2">
      <c r="A400" s="14">
        <v>0.33500000000000002</v>
      </c>
      <c r="B400" s="10">
        <f t="shared" si="56"/>
        <v>-0.68565650883078766</v>
      </c>
      <c r="C400" s="10">
        <f t="shared" si="57"/>
        <v>0.11313332395707995</v>
      </c>
      <c r="D400" s="10">
        <f t="shared" si="58"/>
        <v>0.71763703017214531</v>
      </c>
      <c r="E400" s="10">
        <f t="shared" si="59"/>
        <v>2.0495843780325465</v>
      </c>
      <c r="F400" s="10">
        <f t="shared" si="63"/>
        <v>3.0090063711347703E-3</v>
      </c>
      <c r="G400" s="10">
        <f t="shared" si="60"/>
        <v>-0.97858515509757871</v>
      </c>
      <c r="H400" s="10">
        <f t="shared" si="61"/>
        <v>0.2731726100023798</v>
      </c>
      <c r="I400" s="10">
        <f t="shared" si="64"/>
        <v>1.7498834589674273E-4</v>
      </c>
      <c r="J400" s="20">
        <f t="shared" si="62"/>
        <v>0</v>
      </c>
      <c r="K400" s="10">
        <f t="shared" si="65"/>
        <v>1.4691843562033569E-3</v>
      </c>
      <c r="L400" s="10">
        <f t="shared" si="66"/>
        <v>8.8151061372210293E-4</v>
      </c>
    </row>
    <row r="401" spans="1:12" x14ac:dyDescent="0.2">
      <c r="A401" s="14">
        <v>0.33600000000000002</v>
      </c>
      <c r="B401" s="10">
        <f t="shared" si="56"/>
        <v>-0.68117098951322952</v>
      </c>
      <c r="C401" s="10">
        <f t="shared" si="57"/>
        <v>0.11171204228016962</v>
      </c>
      <c r="D401" s="10">
        <f t="shared" si="58"/>
        <v>0.71911273016654043</v>
      </c>
      <c r="E401" s="10">
        <f t="shared" si="59"/>
        <v>2.0526111824660771</v>
      </c>
      <c r="F401" s="10">
        <f t="shared" si="63"/>
        <v>3.0268044335306499E-3</v>
      </c>
      <c r="G401" s="10">
        <f t="shared" si="60"/>
        <v>-0.97769973510094166</v>
      </c>
      <c r="H401" s="10">
        <f t="shared" si="61"/>
        <v>0.27334844485678417</v>
      </c>
      <c r="I401" s="10">
        <f t="shared" si="64"/>
        <v>1.7583485440436641E-4</v>
      </c>
      <c r="J401" s="20">
        <f t="shared" si="62"/>
        <v>0</v>
      </c>
      <c r="K401" s="10">
        <f t="shared" si="65"/>
        <v>1.4756999943951188E-3</v>
      </c>
      <c r="L401" s="10">
        <f t="shared" si="66"/>
        <v>8.8541999663704907E-4</v>
      </c>
    </row>
    <row r="402" spans="1:12" x14ac:dyDescent="0.2">
      <c r="A402" s="14">
        <v>0.33700000000000002</v>
      </c>
      <c r="B402" s="10">
        <f t="shared" si="56"/>
        <v>-0.67669205983350089</v>
      </c>
      <c r="C402" s="10">
        <f t="shared" si="57"/>
        <v>0.11030080575286064</v>
      </c>
      <c r="D402" s="10">
        <f t="shared" si="58"/>
        <v>0.72059495372240656</v>
      </c>
      <c r="E402" s="10">
        <f t="shared" si="59"/>
        <v>2.0556558670059077</v>
      </c>
      <c r="F402" s="10">
        <f t="shared" si="63"/>
        <v>3.0446845398306444E-3</v>
      </c>
      <c r="G402" s="10">
        <f t="shared" si="60"/>
        <v>-0.97681040096742178</v>
      </c>
      <c r="H402" s="10">
        <f t="shared" si="61"/>
        <v>0.27352512807312113</v>
      </c>
      <c r="I402" s="10">
        <f t="shared" si="64"/>
        <v>1.7668321633695916E-4</v>
      </c>
      <c r="J402" s="20">
        <f t="shared" si="62"/>
        <v>0</v>
      </c>
      <c r="K402" s="10">
        <f t="shared" si="65"/>
        <v>1.4822235558661356E-3</v>
      </c>
      <c r="L402" s="10">
        <f t="shared" si="66"/>
        <v>8.8933413351988122E-4</v>
      </c>
    </row>
    <row r="403" spans="1:12" x14ac:dyDescent="0.2">
      <c r="A403" s="14">
        <v>0.33800000000000002</v>
      </c>
      <c r="B403" s="10">
        <f t="shared" si="56"/>
        <v>-0.67221966045398929</v>
      </c>
      <c r="C403" s="10">
        <f t="shared" si="57"/>
        <v>0.10889958499354625</v>
      </c>
      <c r="D403" s="10">
        <f t="shared" si="58"/>
        <v>0.72208370880506634</v>
      </c>
      <c r="E403" s="10">
        <f t="shared" si="59"/>
        <v>2.0587185143263254</v>
      </c>
      <c r="F403" s="10">
        <f t="shared" si="63"/>
        <v>3.0626473204176108E-3</v>
      </c>
      <c r="G403" s="10">
        <f t="shared" si="60"/>
        <v>-0.97591714791782602</v>
      </c>
      <c r="H403" s="10">
        <f t="shared" si="61"/>
        <v>0.27370266151470607</v>
      </c>
      <c r="I403" s="10">
        <f t="shared" si="64"/>
        <v>1.7753344158494277E-4</v>
      </c>
      <c r="J403" s="20">
        <f t="shared" si="62"/>
        <v>0</v>
      </c>
      <c r="K403" s="10">
        <f t="shared" si="65"/>
        <v>1.4887550826597762E-3</v>
      </c>
      <c r="L403" s="10">
        <f t="shared" si="66"/>
        <v>8.9325304959575469E-4</v>
      </c>
    </row>
    <row r="404" spans="1:12" x14ac:dyDescent="0.2">
      <c r="A404" s="14">
        <v>0.33900000000000002</v>
      </c>
      <c r="B404" s="10">
        <f t="shared" si="56"/>
        <v>-0.66775373247123604</v>
      </c>
      <c r="C404" s="10">
        <f t="shared" si="57"/>
        <v>0.10750835092786899</v>
      </c>
      <c r="D404" s="10">
        <f t="shared" si="58"/>
        <v>0.72357900342235204</v>
      </c>
      <c r="E404" s="10">
        <f t="shared" si="59"/>
        <v>2.0617992077374301</v>
      </c>
      <c r="F404" s="10">
        <f t="shared" si="63"/>
        <v>3.0806934111047291E-3</v>
      </c>
      <c r="G404" s="10">
        <f t="shared" si="60"/>
        <v>-0.97501997114745476</v>
      </c>
      <c r="H404" s="10">
        <f t="shared" si="61"/>
        <v>0.27388104705481503</v>
      </c>
      <c r="I404" s="10">
        <f t="shared" si="64"/>
        <v>1.7838554010896068E-4</v>
      </c>
      <c r="J404" s="20">
        <f t="shared" si="62"/>
        <v>0</v>
      </c>
      <c r="K404" s="10">
        <f t="shared" si="65"/>
        <v>1.4952946172857029E-3</v>
      </c>
      <c r="L404" s="10">
        <f t="shared" si="66"/>
        <v>8.9717677037126631E-4</v>
      </c>
    </row>
    <row r="405" spans="1:12" x14ac:dyDescent="0.2">
      <c r="A405" s="14">
        <v>0.34</v>
      </c>
      <c r="B405" s="10">
        <f t="shared" si="56"/>
        <v>-0.66329421741026395</v>
      </c>
      <c r="C405" s="10">
        <f t="shared" si="57"/>
        <v>0.10612707478564222</v>
      </c>
      <c r="D405" s="10">
        <f t="shared" si="58"/>
        <v>0.72508084562507225</v>
      </c>
      <c r="E405" s="10">
        <f t="shared" si="59"/>
        <v>2.0648980311906082</v>
      </c>
      <c r="F405" s="10">
        <f t="shared" si="63"/>
        <v>3.0988234531781345E-3</v>
      </c>
      <c r="G405" s="10">
        <f t="shared" si="60"/>
        <v>-0.97411886582582252</v>
      </c>
      <c r="H405" s="10">
        <f t="shared" si="61"/>
        <v>0.27406028657675474</v>
      </c>
      <c r="I405" s="10">
        <f t="shared" si="64"/>
        <v>1.7923952193971138E-4</v>
      </c>
      <c r="J405" s="20">
        <f t="shared" si="62"/>
        <v>0</v>
      </c>
      <c r="K405" s="10">
        <f t="shared" si="65"/>
        <v>1.501842202720205E-3</v>
      </c>
      <c r="L405" s="10">
        <f t="shared" si="66"/>
        <v>9.01105321632234E-4</v>
      </c>
    </row>
    <row r="406" spans="1:12" x14ac:dyDescent="0.2">
      <c r="A406" s="14">
        <v>0.34100000000000003</v>
      </c>
      <c r="B406" s="10">
        <f t="shared" si="56"/>
        <v>-0.65884105721899044</v>
      </c>
      <c r="C406" s="10">
        <f t="shared" si="57"/>
        <v>0.10475572809781947</v>
      </c>
      <c r="D406" s="10">
        <f t="shared" si="58"/>
        <v>0.72658924350747367</v>
      </c>
      <c r="E406" s="10">
        <f t="shared" si="59"/>
        <v>2.0680150692840535</v>
      </c>
      <c r="F406" s="10">
        <f t="shared" si="63"/>
        <v>3.1170380934453235E-3</v>
      </c>
      <c r="G406" s="10">
        <f t="shared" si="60"/>
        <v>-0.97321382709638149</v>
      </c>
      <c r="H406" s="10">
        <f t="shared" si="61"/>
        <v>0.27424038197393186</v>
      </c>
      <c r="I406" s="10">
        <f t="shared" si="64"/>
        <v>1.8009539717711576E-4</v>
      </c>
      <c r="J406" s="20">
        <f t="shared" si="62"/>
        <v>0</v>
      </c>
      <c r="K406" s="10">
        <f t="shared" si="65"/>
        <v>1.5083978824014244E-3</v>
      </c>
      <c r="L406" s="10">
        <f t="shared" si="66"/>
        <v>9.0503872944103225E-4</v>
      </c>
    </row>
    <row r="407" spans="1:12" x14ac:dyDescent="0.2">
      <c r="A407" s="14">
        <v>0.34200000000000003</v>
      </c>
      <c r="B407" s="10">
        <f t="shared" si="56"/>
        <v>-0.65439419426271184</v>
      </c>
      <c r="C407" s="10">
        <f t="shared" si="57"/>
        <v>0.10339428269350845</v>
      </c>
      <c r="D407" s="10">
        <f t="shared" si="58"/>
        <v>0.72810420520770303</v>
      </c>
      <c r="E407" s="10">
        <f t="shared" si="59"/>
        <v>2.0711504072683358</v>
      </c>
      <c r="F407" s="10">
        <f t="shared" si="63"/>
        <v>3.1353379842822271E-3</v>
      </c>
      <c r="G407" s="10">
        <f t="shared" si="60"/>
        <v>-0.97230485007624412</v>
      </c>
      <c r="H407" s="10">
        <f t="shared" si="61"/>
        <v>0.27442133514992301</v>
      </c>
      <c r="I407" s="10">
        <f t="shared" si="64"/>
        <v>1.809531759911498E-4</v>
      </c>
      <c r="J407" s="20">
        <f t="shared" si="62"/>
        <v>0</v>
      </c>
      <c r="K407" s="10">
        <f t="shared" si="65"/>
        <v>1.5149617002293558E-3</v>
      </c>
      <c r="L407" s="10">
        <f t="shared" si="66"/>
        <v>9.0897702013736925E-4</v>
      </c>
    </row>
    <row r="408" spans="1:12" x14ac:dyDescent="0.2">
      <c r="A408" s="14">
        <v>0.34300000000000003</v>
      </c>
      <c r="B408" s="10">
        <f t="shared" si="56"/>
        <v>-0.6499535713186706</v>
      </c>
      <c r="C408" s="10">
        <f t="shared" si="57"/>
        <v>0.10204271069703126</v>
      </c>
      <c r="D408" s="10">
        <f t="shared" si="58"/>
        <v>0.7296257389082631</v>
      </c>
      <c r="E408" s="10">
        <f t="shared" si="59"/>
        <v>2.0743041310520103</v>
      </c>
      <c r="F408" s="10">
        <f t="shared" si="63"/>
        <v>3.1537237836745113E-3</v>
      </c>
      <c r="G408" s="10">
        <f t="shared" si="60"/>
        <v>-0.97139192985590783</v>
      </c>
      <c r="H408" s="10">
        <f t="shared" si="61"/>
        <v>0.27460314801854424</v>
      </c>
      <c r="I408" s="10">
        <f t="shared" si="64"/>
        <v>1.8181286862123391E-4</v>
      </c>
      <c r="J408" s="20">
        <f t="shared" si="62"/>
        <v>0</v>
      </c>
      <c r="K408" s="10">
        <f t="shared" si="65"/>
        <v>1.5215337005600738E-3</v>
      </c>
      <c r="L408" s="10">
        <f t="shared" si="66"/>
        <v>9.129202203362885E-4</v>
      </c>
    </row>
    <row r="409" spans="1:12" x14ac:dyDescent="0.2">
      <c r="A409" s="14">
        <v>0.34399999999999997</v>
      </c>
      <c r="B409" s="10">
        <f t="shared" si="56"/>
        <v>-0.64551913157069085</v>
      </c>
      <c r="C409" s="10">
        <f t="shared" si="57"/>
        <v>0.10070098452502779</v>
      </c>
      <c r="D409" s="10">
        <f t="shared" si="58"/>
        <v>0.73115385283647094</v>
      </c>
      <c r="E409" s="10">
        <f t="shared" si="59"/>
        <v>2.0774763272072825</v>
      </c>
      <c r="F409" s="10">
        <f t="shared" si="63"/>
        <v>3.1721961552722E-3</v>
      </c>
      <c r="G409" s="10">
        <f t="shared" si="60"/>
        <v>-0.97047506149898333</v>
      </c>
      <c r="H409" s="10">
        <f t="shared" si="61"/>
        <v>0.2747858225039197</v>
      </c>
      <c r="I409" s="10">
        <f t="shared" si="64"/>
        <v>1.8267448537545583E-4</v>
      </c>
      <c r="J409" s="20">
        <f t="shared" si="62"/>
        <v>0</v>
      </c>
      <c r="K409" s="10">
        <f t="shared" si="65"/>
        <v>1.5281139282078415E-3</v>
      </c>
      <c r="L409" s="10">
        <f t="shared" si="66"/>
        <v>9.1686835692450508E-4</v>
      </c>
    </row>
    <row r="410" spans="1:12" x14ac:dyDescent="0.2">
      <c r="A410" s="14">
        <v>0.34499999999999997</v>
      </c>
      <c r="B410" s="10">
        <f t="shared" si="56"/>
        <v>-0.64109081860389217</v>
      </c>
      <c r="C410" s="10">
        <f t="shared" si="57"/>
        <v>9.9369076883603302E-2</v>
      </c>
      <c r="D410" s="10">
        <f t="shared" si="58"/>
        <v>0.73268855526491117</v>
      </c>
      <c r="E410" s="10">
        <f t="shared" si="59"/>
        <v>2.0806670829757188</v>
      </c>
      <c r="F410" s="10">
        <f t="shared" si="63"/>
        <v>3.1907557684363042E-3</v>
      </c>
      <c r="G410" s="10">
        <f t="shared" si="60"/>
        <v>-0.96955424004191926</v>
      </c>
      <c r="H410" s="10">
        <f t="shared" si="61"/>
        <v>0.27496936054055165</v>
      </c>
      <c r="I410" s="10">
        <f t="shared" si="64"/>
        <v>1.8353803663195833E-4</v>
      </c>
      <c r="J410" s="20">
        <f t="shared" si="62"/>
        <v>0</v>
      </c>
      <c r="K410" s="10">
        <f t="shared" si="65"/>
        <v>1.5347024284402266E-3</v>
      </c>
      <c r="L410" s="10">
        <f t="shared" si="66"/>
        <v>9.2082145706406937E-4</v>
      </c>
    </row>
    <row r="411" spans="1:12" x14ac:dyDescent="0.2">
      <c r="A411" s="14">
        <v>0.34599999999999997</v>
      </c>
      <c r="B411" s="10">
        <f t="shared" si="56"/>
        <v>-0.63666857639947461</v>
      </c>
      <c r="C411" s="10">
        <f t="shared" si="57"/>
        <v>9.8046960765519109E-2</v>
      </c>
      <c r="D411" s="10">
        <f t="shared" si="58"/>
        <v>0.73422985451188627</v>
      </c>
      <c r="E411" s="10">
        <f t="shared" si="59"/>
        <v>2.0838764862740029</v>
      </c>
      <c r="F411" s="10">
        <f t="shared" si="63"/>
        <v>3.2094032982841192E-3</v>
      </c>
      <c r="G411" s="10">
        <f t="shared" si="60"/>
        <v>-0.96862946049373388</v>
      </c>
      <c r="H411" s="10">
        <f t="shared" si="61"/>
        <v>0.27515376407338904</v>
      </c>
      <c r="I411" s="10">
        <f t="shared" si="64"/>
        <v>1.8440353283738498E-4</v>
      </c>
      <c r="J411" s="20">
        <f t="shared" si="62"/>
        <v>0</v>
      </c>
      <c r="K411" s="10">
        <f t="shared" si="65"/>
        <v>1.541299246975103E-3</v>
      </c>
      <c r="L411" s="10">
        <f t="shared" si="66"/>
        <v>9.2477954818537267E-4</v>
      </c>
    </row>
    <row r="412" spans="1:12" x14ac:dyDescent="0.2">
      <c r="A412" s="14">
        <v>0.34699999999999998</v>
      </c>
      <c r="B412" s="10">
        <f t="shared" si="56"/>
        <v>-0.63225234932957186</v>
      </c>
      <c r="C412" s="10">
        <f t="shared" si="57"/>
        <v>9.6734609447424513E-2</v>
      </c>
      <c r="D412" s="10">
        <f t="shared" si="58"/>
        <v>0.73577775894187047</v>
      </c>
      <c r="E412" s="10">
        <f t="shared" si="59"/>
        <v>2.0871046256997512</v>
      </c>
      <c r="F412" s="10">
        <f t="shared" si="63"/>
        <v>3.2281394257482887E-3</v>
      </c>
      <c r="G412" s="10">
        <f t="shared" si="60"/>
        <v>-0.96770071783574352</v>
      </c>
      <c r="H412" s="10">
        <f t="shared" si="61"/>
        <v>0.27533903505789625</v>
      </c>
      <c r="I412" s="10">
        <f t="shared" si="64"/>
        <v>1.8527098450721313E-4</v>
      </c>
      <c r="J412" s="20">
        <f t="shared" si="62"/>
        <v>0</v>
      </c>
      <c r="K412" s="10">
        <f t="shared" si="65"/>
        <v>1.5479044299842037E-3</v>
      </c>
      <c r="L412" s="10">
        <f t="shared" si="66"/>
        <v>9.2874265799036682E-4</v>
      </c>
    </row>
    <row r="413" spans="1:12" x14ac:dyDescent="0.2">
      <c r="A413" s="14">
        <v>0.34799999999999998</v>
      </c>
      <c r="B413" s="10">
        <f t="shared" si="56"/>
        <v>-0.62784208215217874</v>
      </c>
      <c r="C413" s="10">
        <f t="shared" si="57"/>
        <v>9.5431996487131188E-2</v>
      </c>
      <c r="D413" s="10">
        <f t="shared" si="58"/>
        <v>0.73733227696595427</v>
      </c>
      <c r="E413" s="10">
        <f t="shared" si="59"/>
        <v>2.0903515905373675</v>
      </c>
      <c r="F413" s="10">
        <f t="shared" si="63"/>
        <v>3.2469648376163285E-3</v>
      </c>
      <c r="G413" s="10">
        <f t="shared" si="60"/>
        <v>-0.96676800702129317</v>
      </c>
      <c r="H413" s="10">
        <f t="shared" si="61"/>
        <v>0.27552517546012262</v>
      </c>
      <c r="I413" s="10">
        <f t="shared" si="64"/>
        <v>1.8614040222636463E-4</v>
      </c>
      <c r="J413" s="20">
        <f t="shared" si="62"/>
        <v>0</v>
      </c>
      <c r="K413" s="10">
        <f t="shared" si="65"/>
        <v>1.5545180240837952E-3</v>
      </c>
      <c r="L413" s="10">
        <f t="shared" si="66"/>
        <v>9.3271081445034376E-4</v>
      </c>
    </row>
    <row r="414" spans="1:12" x14ac:dyDescent="0.2">
      <c r="A414" s="14">
        <v>0.34899999999999998</v>
      </c>
      <c r="B414" s="10">
        <f t="shared" si="56"/>
        <v>-0.62343772000614217</v>
      </c>
      <c r="C414" s="10">
        <f t="shared" si="57"/>
        <v>9.4139095720927476E-2</v>
      </c>
      <c r="D414" s="10">
        <f t="shared" si="58"/>
        <v>0.73889341704229416</v>
      </c>
      <c r="E414" s="10">
        <f t="shared" si="59"/>
        <v>2.0936174707639603</v>
      </c>
      <c r="F414" s="10">
        <f t="shared" si="63"/>
        <v>3.2658802265927989E-3</v>
      </c>
      <c r="G414" s="10">
        <f t="shared" si="60"/>
        <v>-0.96583132297548924</v>
      </c>
      <c r="H414" s="10">
        <f t="shared" si="61"/>
        <v>0.27571218725677088</v>
      </c>
      <c r="I414" s="10">
        <f t="shared" si="64"/>
        <v>1.8701179664826206E-4</v>
      </c>
      <c r="J414" s="20">
        <f t="shared" si="62"/>
        <v>0</v>
      </c>
      <c r="K414" s="10">
        <f t="shared" si="65"/>
        <v>1.5611400763398953E-3</v>
      </c>
      <c r="L414" s="10">
        <f t="shared" si="66"/>
        <v>9.3668404580393716E-4</v>
      </c>
    </row>
    <row r="415" spans="1:12" x14ac:dyDescent="0.2">
      <c r="A415" s="14">
        <v>0.35</v>
      </c>
      <c r="B415" s="10">
        <f t="shared" si="56"/>
        <v>-0.61903920840622351</v>
      </c>
      <c r="C415" s="10">
        <f t="shared" si="57"/>
        <v>9.285588126093354E-2</v>
      </c>
      <c r="D415" s="10">
        <f t="shared" si="58"/>
        <v>0.74046118767655655</v>
      </c>
      <c r="E415" s="10">
        <f t="shared" si="59"/>
        <v>2.0969023570553067</v>
      </c>
      <c r="F415" s="10">
        <f t="shared" si="63"/>
        <v>3.2848862913463783E-3</v>
      </c>
      <c r="G415" s="10">
        <f t="shared" si="60"/>
        <v>-0.96489066059493189</v>
      </c>
      <c r="H415" s="10">
        <f t="shared" si="61"/>
        <v>0.27590007243526588</v>
      </c>
      <c r="I415" s="10">
        <f t="shared" si="64"/>
        <v>1.8788517849499531E-4</v>
      </c>
      <c r="J415" s="20">
        <f t="shared" si="62"/>
        <v>0</v>
      </c>
      <c r="K415" s="10">
        <f t="shared" si="65"/>
        <v>1.5677706342623887E-3</v>
      </c>
      <c r="L415" s="10">
        <f t="shared" si="66"/>
        <v>9.4066238055734441E-4</v>
      </c>
    </row>
    <row r="416" spans="1:12" x14ac:dyDescent="0.2">
      <c r="A416" s="14">
        <v>0.35099999999999998</v>
      </c>
      <c r="B416" s="10">
        <f t="shared" si="56"/>
        <v>-0.61464649323822429</v>
      </c>
      <c r="C416" s="10">
        <f t="shared" si="57"/>
        <v>9.1582327492495438E-2</v>
      </c>
      <c r="D416" s="10">
        <f t="shared" si="58"/>
        <v>0.74203559742236169</v>
      </c>
      <c r="E416" s="10">
        <f t="shared" si="59"/>
        <v>2.1002063407918703</v>
      </c>
      <c r="F416" s="10">
        <f t="shared" si="63"/>
        <v>3.3039837365635982E-3</v>
      </c>
      <c r="G416" s="10">
        <f t="shared" si="60"/>
        <v>-0.96394601474744868</v>
      </c>
      <c r="H416" s="10">
        <f t="shared" si="61"/>
        <v>0.27608883299382342</v>
      </c>
      <c r="I416" s="10">
        <f t="shared" si="64"/>
        <v>1.8876055855754359E-4</v>
      </c>
      <c r="J416" s="20">
        <f t="shared" si="62"/>
        <v>0</v>
      </c>
      <c r="K416" s="10">
        <f t="shared" si="65"/>
        <v>1.5744097458051387E-3</v>
      </c>
      <c r="L416" s="10">
        <f t="shared" si="66"/>
        <v>9.4464584748321645E-4</v>
      </c>
    </row>
    <row r="417" spans="1:12" x14ac:dyDescent="0.2">
      <c r="A417" s="14">
        <v>0.35199999999999998</v>
      </c>
      <c r="B417" s="10">
        <f t="shared" si="56"/>
        <v>-0.61025952075417766</v>
      </c>
      <c r="C417" s="10">
        <f t="shared" si="57"/>
        <v>9.0318409071618311E-2</v>
      </c>
      <c r="D417" s="10">
        <f t="shared" si="58"/>
        <v>0.74361665488172668</v>
      </c>
      <c r="E417" s="10">
        <f t="shared" si="59"/>
        <v>2.1035295140648747</v>
      </c>
      <c r="F417" s="10">
        <f t="shared" si="63"/>
        <v>3.3231732730043539E-3</v>
      </c>
      <c r="G417" s="10">
        <f t="shared" si="60"/>
        <v>-0.96299738027182968</v>
      </c>
      <c r="H417" s="10">
        <f t="shared" si="61"/>
        <v>0.27627847094151886</v>
      </c>
      <c r="I417" s="10">
        <f t="shared" si="64"/>
        <v>1.896379476954424E-4</v>
      </c>
      <c r="J417" s="20">
        <f t="shared" si="62"/>
        <v>0</v>
      </c>
      <c r="K417" s="10">
        <f t="shared" si="65"/>
        <v>1.5810574593649873E-3</v>
      </c>
      <c r="L417" s="10">
        <f t="shared" si="66"/>
        <v>9.4863447561899239E-4</v>
      </c>
    </row>
    <row r="418" spans="1:12" x14ac:dyDescent="0.2">
      <c r="A418" s="14">
        <v>0.35299999999999998</v>
      </c>
      <c r="B418" s="10">
        <f t="shared" si="56"/>
        <v>-0.60587823756760384</v>
      </c>
      <c r="C418" s="10">
        <f t="shared" si="57"/>
        <v>8.9064100922437772E-2</v>
      </c>
      <c r="D418" s="10">
        <f t="shared" si="58"/>
        <v>0.7452043687055061</v>
      </c>
      <c r="E418" s="10">
        <f t="shared" si="59"/>
        <v>2.1068719696824298</v>
      </c>
      <c r="F418" s="10">
        <f t="shared" si="63"/>
        <v>3.3424556175551956E-3</v>
      </c>
      <c r="G418" s="10">
        <f t="shared" si="60"/>
        <v>-0.96204475197756212</v>
      </c>
      <c r="H418" s="10">
        <f t="shared" si="61"/>
        <v>0.27646898829835564</v>
      </c>
      <c r="I418" s="10">
        <f t="shared" si="64"/>
        <v>1.905173568367835E-4</v>
      </c>
      <c r="J418" s="20">
        <f t="shared" si="62"/>
        <v>0</v>
      </c>
      <c r="K418" s="10">
        <f t="shared" si="65"/>
        <v>1.5877138237794242E-3</v>
      </c>
      <c r="L418" s="10">
        <f t="shared" si="66"/>
        <v>9.5262829426756568E-4</v>
      </c>
    </row>
    <row r="419" spans="1:12" x14ac:dyDescent="0.2">
      <c r="A419" s="14">
        <v>0.35399999999999998</v>
      </c>
      <c r="B419" s="10">
        <f t="shared" si="56"/>
        <v>-0.60150259064882738</v>
      </c>
      <c r="C419" s="10">
        <f t="shared" si="57"/>
        <v>8.7819378234728809E-2</v>
      </c>
      <c r="D419" s="10">
        <f t="shared" si="58"/>
        <v>0.74679874759383247</v>
      </c>
      <c r="E419" s="10">
        <f t="shared" si="59"/>
        <v>2.1102338011757173</v>
      </c>
      <c r="F419" s="10">
        <f t="shared" si="63"/>
        <v>3.3618314932875037E-3</v>
      </c>
      <c r="G419" s="10">
        <f t="shared" si="60"/>
        <v>-0.96108812464456617</v>
      </c>
      <c r="H419" s="10">
        <f t="shared" si="61"/>
        <v>0.27666038709533425</v>
      </c>
      <c r="I419" s="10">
        <f t="shared" si="64"/>
        <v>1.9139879697860351E-4</v>
      </c>
      <c r="J419" s="20">
        <f t="shared" si="62"/>
        <v>0</v>
      </c>
      <c r="K419" s="10">
        <f t="shared" si="65"/>
        <v>1.5943788883263643E-3</v>
      </c>
      <c r="L419" s="10">
        <f t="shared" si="66"/>
        <v>9.5662733299595182E-4</v>
      </c>
    </row>
    <row r="420" spans="1:12" x14ac:dyDescent="0.2">
      <c r="A420" s="14">
        <v>0.35499999999999998</v>
      </c>
      <c r="B420" s="10">
        <f t="shared" si="56"/>
        <v>-0.59713252732035671</v>
      </c>
      <c r="C420" s="10">
        <f t="shared" si="57"/>
        <v>8.658421646145173E-2</v>
      </c>
      <c r="D420" s="10">
        <f t="shared" si="58"/>
        <v>0.74839980029655528</v>
      </c>
      <c r="E420" s="10">
        <f t="shared" si="59"/>
        <v>2.113615102805229</v>
      </c>
      <c r="F420" s="10">
        <f t="shared" si="63"/>
        <v>3.3813016295116682E-3</v>
      </c>
      <c r="G420" s="10">
        <f t="shared" si="60"/>
        <v>-0.96012749302293254</v>
      </c>
      <c r="H420" s="10">
        <f t="shared" si="61"/>
        <v>0.27685266937452041</v>
      </c>
      <c r="I420" s="10">
        <f t="shared" si="64"/>
        <v>1.9228227918616225E-4</v>
      </c>
      <c r="J420" s="20">
        <f t="shared" si="62"/>
        <v>0</v>
      </c>
      <c r="K420" s="10">
        <f t="shared" si="65"/>
        <v>1.6010527027228161E-3</v>
      </c>
      <c r="L420" s="10">
        <f t="shared" si="66"/>
        <v>9.6063162163362303E-4</v>
      </c>
    </row>
    <row r="421" spans="1:12" x14ac:dyDescent="0.2">
      <c r="A421" s="14">
        <v>0.35599999999999998</v>
      </c>
      <c r="B421" s="10">
        <f t="shared" si="56"/>
        <v>-0.59276799525232327</v>
      </c>
      <c r="C421" s="10">
        <f t="shared" si="57"/>
        <v>8.5358591316334553E-2</v>
      </c>
      <c r="D421" s="10">
        <f t="shared" si="58"/>
        <v>0.75000753561367883</v>
      </c>
      <c r="E421" s="10">
        <f t="shared" si="59"/>
        <v>2.1170159695670656</v>
      </c>
      <c r="F421" s="10">
        <f t="shared" si="63"/>
        <v>3.4008667618365962E-3</v>
      </c>
      <c r="G421" s="10">
        <f t="shared" si="60"/>
        <v>-0.95916285183265859</v>
      </c>
      <c r="H421" s="10">
        <f t="shared" si="61"/>
        <v>0.27704583718911402</v>
      </c>
      <c r="I421" s="10">
        <f t="shared" si="64"/>
        <v>1.9316781459360888E-4</v>
      </c>
      <c r="J421" s="20">
        <f t="shared" si="62"/>
        <v>0</v>
      </c>
      <c r="K421" s="10">
        <f t="shared" si="65"/>
        <v>1.6077353171235487E-3</v>
      </c>
      <c r="L421" s="10">
        <f t="shared" si="66"/>
        <v>9.6464119027395157E-4</v>
      </c>
    </row>
    <row r="422" spans="1:12" x14ac:dyDescent="0.2">
      <c r="A422" s="14">
        <v>0.35699999999999998</v>
      </c>
      <c r="B422" s="10">
        <f t="shared" si="56"/>
        <v>-0.58840894245798037</v>
      </c>
      <c r="C422" s="10">
        <f t="shared" si="57"/>
        <v>8.4142478771491197E-2</v>
      </c>
      <c r="D422" s="10">
        <f t="shared" si="58"/>
        <v>0.75162196239579915</v>
      </c>
      <c r="E422" s="10">
        <f t="shared" si="59"/>
        <v>2.1204364971992891</v>
      </c>
      <c r="F422" s="10">
        <f t="shared" si="63"/>
        <v>3.4205276322234468E-3</v>
      </c>
      <c r="G422" s="10">
        <f t="shared" si="60"/>
        <v>-0.95819419576338638</v>
      </c>
      <c r="H422" s="10">
        <f t="shared" si="61"/>
        <v>0.27723989260351772</v>
      </c>
      <c r="I422" s="10">
        <f t="shared" si="64"/>
        <v>1.9405541440370433E-4</v>
      </c>
      <c r="J422" s="20">
        <f t="shared" si="62"/>
        <v>0</v>
      </c>
      <c r="K422" s="10">
        <f t="shared" si="65"/>
        <v>1.6144267821203151E-3</v>
      </c>
      <c r="L422" s="10">
        <f t="shared" si="66"/>
        <v>9.6865606927221126E-4</v>
      </c>
    </row>
    <row r="423" spans="1:12" x14ac:dyDescent="0.2">
      <c r="A423" s="14">
        <v>0.35799999999999998</v>
      </c>
      <c r="B423" s="10">
        <f t="shared" si="56"/>
        <v>-0.58405531728926097</v>
      </c>
      <c r="C423" s="10">
        <f t="shared" si="57"/>
        <v>8.2935855055075072E-2</v>
      </c>
      <c r="D423" s="10">
        <f t="shared" si="58"/>
        <v>0.75324308954454045</v>
      </c>
      <c r="E423" s="10">
        <f t="shared" si="59"/>
        <v>2.1238767821883409</v>
      </c>
      <c r="F423" s="10">
        <f t="shared" si="63"/>
        <v>3.4402849890518006E-3</v>
      </c>
      <c r="G423" s="10">
        <f t="shared" si="60"/>
        <v>-0.95722151947414147</v>
      </c>
      <c r="H423" s="10">
        <f t="shared" si="61"/>
        <v>0.27743483769340521</v>
      </c>
      <c r="I423" s="10">
        <f t="shared" si="64"/>
        <v>1.9494508988748827E-4</v>
      </c>
      <c r="J423" s="20">
        <f t="shared" si="62"/>
        <v>0</v>
      </c>
      <c r="K423" s="10">
        <f t="shared" si="65"/>
        <v>1.621127148741297E-3</v>
      </c>
      <c r="L423" s="10">
        <f t="shared" si="66"/>
        <v>9.7267628924491145E-4</v>
      </c>
    </row>
    <row r="424" spans="1:12" x14ac:dyDescent="0.2">
      <c r="A424" s="14">
        <v>0.35899999999999999</v>
      </c>
      <c r="B424" s="10">
        <f t="shared" si="56"/>
        <v>-0.57970706843239117</v>
      </c>
      <c r="C424" s="10">
        <f t="shared" si="57"/>
        <v>8.1738696648967157E-2</v>
      </c>
      <c r="D424" s="10">
        <f t="shared" si="58"/>
        <v>0.75487092601299144</v>
      </c>
      <c r="E424" s="10">
        <f t="shared" si="59"/>
        <v>2.1273369217755147</v>
      </c>
      <c r="F424" s="10">
        <f t="shared" si="63"/>
        <v>3.4601395871738383E-3</v>
      </c>
      <c r="G424" s="10">
        <f t="shared" si="60"/>
        <v>-0.95624481759307089</v>
      </c>
      <c r="H424" s="10">
        <f t="shared" si="61"/>
        <v>0.27763067454579043</v>
      </c>
      <c r="I424" s="10">
        <f t="shared" si="64"/>
        <v>1.9583685238522275E-4</v>
      </c>
      <c r="J424" s="20">
        <f t="shared" si="62"/>
        <v>0</v>
      </c>
      <c r="K424" s="10">
        <f t="shared" si="65"/>
        <v>1.6278364684509938E-3</v>
      </c>
      <c r="L424" s="10">
        <f t="shared" si="66"/>
        <v>9.767018810705741E-4</v>
      </c>
    </row>
    <row r="425" spans="1:12" x14ac:dyDescent="0.2">
      <c r="A425" s="14">
        <v>0.36</v>
      </c>
      <c r="B425" s="10">
        <f t="shared" si="56"/>
        <v>-0.5753641449035618</v>
      </c>
      <c r="C425" s="10">
        <f t="shared" si="57"/>
        <v>8.0550980286498666E-2</v>
      </c>
      <c r="D425" s="10">
        <f t="shared" si="58"/>
        <v>0.75650548080613877</v>
      </c>
      <c r="E425" s="10">
        <f t="shared" si="59"/>
        <v>2.1308170139634921</v>
      </c>
      <c r="F425" s="10">
        <f t="shared" si="63"/>
        <v>3.4800921879774016E-3</v>
      </c>
      <c r="G425" s="10">
        <f t="shared" si="60"/>
        <v>-0.95526408471718272</v>
      </c>
      <c r="H425" s="10">
        <f t="shared" si="61"/>
        <v>0.27782740525909594</v>
      </c>
      <c r="I425" s="10">
        <f t="shared" si="64"/>
        <v>1.9673071330550407E-4</v>
      </c>
      <c r="J425" s="20">
        <f t="shared" si="62"/>
        <v>0</v>
      </c>
      <c r="K425" s="10">
        <f t="shared" si="65"/>
        <v>1.6345547931473359E-3</v>
      </c>
      <c r="L425" s="10">
        <f t="shared" si="66"/>
        <v>9.8073287588817948E-4</v>
      </c>
    </row>
    <row r="426" spans="1:12" x14ac:dyDescent="0.2">
      <c r="A426" s="14">
        <v>0.36099999999999999</v>
      </c>
      <c r="B426" s="10">
        <f t="shared" si="56"/>
        <v>-0.57102649604465394</v>
      </c>
      <c r="C426" s="10">
        <f t="shared" si="57"/>
        <v>7.9372682950206899E-2</v>
      </c>
      <c r="D426" s="10">
        <f t="shared" si="58"/>
        <v>0.75814676298130212</v>
      </c>
      <c r="E426" s="10">
        <f t="shared" si="59"/>
        <v>2.1343171575229363</v>
      </c>
      <c r="F426" s="10">
        <f t="shared" si="63"/>
        <v>3.5001435594441688E-3</v>
      </c>
      <c r="G426" s="10">
        <f t="shared" si="60"/>
        <v>-0.95427931541208444</v>
      </c>
      <c r="H426" s="10">
        <f t="shared" si="61"/>
        <v>0.27802503194322192</v>
      </c>
      <c r="I426" s="10">
        <f t="shared" si="64"/>
        <v>1.9762668412598439E-4</v>
      </c>
      <c r="J426" s="20">
        <f t="shared" si="62"/>
        <v>0</v>
      </c>
      <c r="K426" s="10">
        <f t="shared" si="65"/>
        <v>1.64128217516335E-3</v>
      </c>
      <c r="L426" s="10">
        <f t="shared" si="66"/>
        <v>9.8476930509827643E-4</v>
      </c>
    </row>
    <row r="427" spans="1:12" x14ac:dyDescent="0.2">
      <c r="A427" s="14">
        <v>0.36199999999999999</v>
      </c>
      <c r="B427" s="10">
        <f t="shared" si="56"/>
        <v>-0.56669407151901885</v>
      </c>
      <c r="C427" s="10">
        <f t="shared" si="57"/>
        <v>7.8203781869624608E-2</v>
      </c>
      <c r="D427" s="10">
        <f t="shared" si="58"/>
        <v>0.75979478164856917</v>
      </c>
      <c r="E427" s="10">
        <f t="shared" si="59"/>
        <v>2.1378374519991583</v>
      </c>
      <c r="F427" s="10">
        <f t="shared" si="63"/>
        <v>3.5202944762220412E-3</v>
      </c>
      <c r="G427" s="10">
        <f t="shared" si="60"/>
        <v>-0.95329050421172434</v>
      </c>
      <c r="H427" s="10">
        <f t="shared" si="61"/>
        <v>0.27822355671961474</v>
      </c>
      <c r="I427" s="10">
        <f t="shared" si="64"/>
        <v>1.9852477639281663E-4</v>
      </c>
      <c r="J427" s="20">
        <f t="shared" si="62"/>
        <v>0</v>
      </c>
      <c r="K427" s="10">
        <f t="shared" si="65"/>
        <v>1.6480186672670483E-3</v>
      </c>
      <c r="L427" s="10">
        <f t="shared" si="66"/>
        <v>9.8881120036009573E-4</v>
      </c>
    </row>
    <row r="428" spans="1:12" x14ac:dyDescent="0.2">
      <c r="A428" s="14">
        <v>0.36299999999999999</v>
      </c>
      <c r="B428" s="10">
        <f t="shared" si="56"/>
        <v>-0.56236682130731264</v>
      </c>
      <c r="C428" s="10">
        <f t="shared" si="57"/>
        <v>7.7044254519101837E-2</v>
      </c>
      <c r="D428" s="10">
        <f t="shared" si="58"/>
        <v>0.76144954597122705</v>
      </c>
      <c r="E428" s="10">
        <f t="shared" si="59"/>
        <v>2.1413779977188314</v>
      </c>
      <c r="F428" s="10">
        <f t="shared" si="63"/>
        <v>3.5405457196731049E-3</v>
      </c>
      <c r="G428" s="10">
        <f t="shared" si="60"/>
        <v>-0.95229764561812957</v>
      </c>
      <c r="H428" s="10">
        <f t="shared" si="61"/>
        <v>0.27842298172133628</v>
      </c>
      <c r="I428" s="10">
        <f t="shared" si="64"/>
        <v>1.9942500172154265E-4</v>
      </c>
      <c r="J428" s="20">
        <f t="shared" si="62"/>
        <v>0</v>
      </c>
      <c r="K428" s="10">
        <f t="shared" si="65"/>
        <v>1.6547643226578757E-3</v>
      </c>
      <c r="L428" s="10">
        <f t="shared" si="66"/>
        <v>9.928585935947698E-4</v>
      </c>
    </row>
    <row r="429" spans="1:12" x14ac:dyDescent="0.2">
      <c r="A429" s="14">
        <v>0.36399999999999999</v>
      </c>
      <c r="B429" s="10">
        <f t="shared" si="56"/>
        <v>-0.55804469570338155</v>
      </c>
      <c r="C429" s="10">
        <f t="shared" si="57"/>
        <v>7.5894078615659902E-2</v>
      </c>
      <c r="D429" s="10">
        <f t="shared" si="58"/>
        <v>0.76311106516619687</v>
      </c>
      <c r="E429" s="10">
        <f t="shared" si="59"/>
        <v>2.1449388957967828</v>
      </c>
      <c r="F429" s="10">
        <f t="shared" si="63"/>
        <v>3.5608980779513466E-3</v>
      </c>
      <c r="G429" s="10">
        <f t="shared" si="60"/>
        <v>-0.95130073410114768</v>
      </c>
      <c r="H429" s="10">
        <f t="shared" si="61"/>
        <v>0.27862330909313232</v>
      </c>
      <c r="I429" s="10">
        <f t="shared" si="64"/>
        <v>2.0032737179603854E-4</v>
      </c>
      <c r="J429" s="20">
        <f t="shared" si="62"/>
        <v>0</v>
      </c>
      <c r="K429" s="10">
        <f t="shared" si="65"/>
        <v>1.6615191949698183E-3</v>
      </c>
      <c r="L429" s="10">
        <f t="shared" si="66"/>
        <v>9.9691151698189095E-4</v>
      </c>
    </row>
    <row r="430" spans="1:12" x14ac:dyDescent="0.2">
      <c r="A430" s="14">
        <v>0.36499999999999999</v>
      </c>
      <c r="B430" s="10">
        <f t="shared" si="56"/>
        <v>-0.55372764531020013</v>
      </c>
      <c r="C430" s="10">
        <f t="shared" si="57"/>
        <v>7.4753232116877025E-2</v>
      </c>
      <c r="D430" s="10">
        <f t="shared" si="58"/>
        <v>0.76477934850446661</v>
      </c>
      <c r="E430" s="10">
        <f t="shared" si="59"/>
        <v>2.1485202481428454</v>
      </c>
      <c r="F430" s="10">
        <f t="shared" si="63"/>
        <v>3.5813523460626051E-3</v>
      </c>
      <c r="G430" s="10">
        <f t="shared" si="60"/>
        <v>-0.95029976409818573</v>
      </c>
      <c r="H430" s="10">
        <f t="shared" si="61"/>
        <v>0.27882454099150233</v>
      </c>
      <c r="I430" s="10">
        <f t="shared" si="64"/>
        <v>2.0123189837001343E-4</v>
      </c>
      <c r="J430" s="20">
        <f t="shared" si="62"/>
        <v>0</v>
      </c>
      <c r="K430" s="10">
        <f t="shared" si="65"/>
        <v>1.6682833382697382E-3</v>
      </c>
      <c r="L430" s="10">
        <f t="shared" si="66"/>
        <v>1.0009700029619539E-3</v>
      </c>
    </row>
    <row r="431" spans="1:12" x14ac:dyDescent="0.2">
      <c r="A431" s="14">
        <v>0.36599999999999999</v>
      </c>
      <c r="B431" s="10">
        <f t="shared" si="56"/>
        <v>-0.54941562103585972</v>
      </c>
      <c r="C431" s="10">
        <f t="shared" si="57"/>
        <v>7.3621693218805212E-2</v>
      </c>
      <c r="D431" s="10">
        <f t="shared" si="58"/>
        <v>0.76645440531152331</v>
      </c>
      <c r="E431" s="10">
        <f t="shared" si="59"/>
        <v>2.1521221574687726</v>
      </c>
      <c r="F431" s="10">
        <f t="shared" si="63"/>
        <v>3.6019093259271884E-3</v>
      </c>
      <c r="G431" s="10">
        <f t="shared" si="60"/>
        <v>-0.94929473001395182</v>
      </c>
      <c r="H431" s="10">
        <f t="shared" si="61"/>
        <v>0.27902667958476796</v>
      </c>
      <c r="I431" s="10">
        <f t="shared" si="64"/>
        <v>2.0213859326562167E-4</v>
      </c>
      <c r="J431" s="20">
        <f t="shared" si="62"/>
        <v>0</v>
      </c>
      <c r="K431" s="10">
        <f t="shared" si="65"/>
        <v>1.6750568070567073E-3</v>
      </c>
      <c r="L431" s="10">
        <f t="shared" si="66"/>
        <v>1.0050340842339134E-3</v>
      </c>
    </row>
    <row r="432" spans="1:12" x14ac:dyDescent="0.2">
      <c r="A432" s="14">
        <v>0.36699999999999999</v>
      </c>
      <c r="B432" s="10">
        <f t="shared" si="56"/>
        <v>-0.54510857408960589</v>
      </c>
      <c r="C432" s="10">
        <f t="shared" si="57"/>
        <v>7.2499440353917588E-2</v>
      </c>
      <c r="D432" s="10">
        <f t="shared" si="58"/>
        <v>0.76813624496778621</v>
      </c>
      <c r="E432" s="10">
        <f t="shared" si="59"/>
        <v>2.1557447272952261</v>
      </c>
      <c r="F432" s="10">
        <f t="shared" si="63"/>
        <v>3.6225698264535922E-3</v>
      </c>
      <c r="G432" s="10">
        <f t="shared" si="60"/>
        <v>-0.94828562622019408</v>
      </c>
      <c r="H432" s="10">
        <f t="shared" si="61"/>
        <v>0.27922972705314286</v>
      </c>
      <c r="I432" s="10">
        <f t="shared" si="64"/>
        <v>2.0304746837490617E-4</v>
      </c>
      <c r="J432" s="20">
        <f t="shared" si="62"/>
        <v>0</v>
      </c>
      <c r="K432" s="10">
        <f t="shared" si="65"/>
        <v>1.6818396562628957E-3</v>
      </c>
      <c r="L432" s="10">
        <f t="shared" si="66"/>
        <v>1.0091037937577374E-3</v>
      </c>
    </row>
    <row r="433" spans="1:12" x14ac:dyDescent="0.2">
      <c r="A433" s="14">
        <v>0.36799999999999999</v>
      </c>
      <c r="B433" s="10">
        <f t="shared" si="56"/>
        <v>-0.54080645597792654</v>
      </c>
      <c r="C433" s="10">
        <f t="shared" si="57"/>
        <v>7.1386452189086305E-2</v>
      </c>
      <c r="D433" s="10">
        <f t="shared" si="58"/>
        <v>0.76982487690903922</v>
      </c>
      <c r="E433" s="10">
        <f t="shared" si="59"/>
        <v>2.1593880619588268</v>
      </c>
      <c r="F433" s="10">
        <f t="shared" si="63"/>
        <v>3.6433346636006725E-3</v>
      </c>
      <c r="G433" s="10">
        <f t="shared" si="60"/>
        <v>-0.94727244705544222</v>
      </c>
      <c r="H433" s="10">
        <f t="shared" si="61"/>
        <v>0.27943368558880188</v>
      </c>
      <c r="I433" s="10">
        <f t="shared" si="64"/>
        <v>2.0395853565902122E-4</v>
      </c>
      <c r="J433" s="20">
        <f t="shared" si="62"/>
        <v>0</v>
      </c>
      <c r="K433" s="10">
        <f t="shared" si="65"/>
        <v>1.688631941253016E-3</v>
      </c>
      <c r="L433" s="10">
        <f t="shared" si="66"/>
        <v>1.013179164751854E-3</v>
      </c>
    </row>
    <row r="434" spans="1:12" x14ac:dyDescent="0.2">
      <c r="A434" s="14">
        <v>0.36899999999999999</v>
      </c>
      <c r="B434" s="10">
        <f t="shared" si="56"/>
        <v>-0.53650921850068589</v>
      </c>
      <c r="C434" s="10">
        <f t="shared" si="57"/>
        <v>7.028270762358986E-2</v>
      </c>
      <c r="D434" s="10">
        <f t="shared" si="58"/>
        <v>0.77152031062686399</v>
      </c>
      <c r="E434" s="10">
        <f t="shared" si="59"/>
        <v>2.1630522666192769</v>
      </c>
      <c r="F434" s="10">
        <f t="shared" si="63"/>
        <v>3.6642046604500322E-3</v>
      </c>
      <c r="G434" s="10">
        <f t="shared" si="60"/>
        <v>-0.94625518682474752</v>
      </c>
      <c r="H434" s="10">
        <f t="shared" si="61"/>
        <v>0.27963855739595028</v>
      </c>
      <c r="I434" s="10">
        <f t="shared" si="64"/>
        <v>2.0487180714839903E-4</v>
      </c>
      <c r="J434" s="20">
        <f t="shared" si="62"/>
        <v>0</v>
      </c>
      <c r="K434" s="10">
        <f t="shared" si="65"/>
        <v>1.695433717824768E-3</v>
      </c>
      <c r="L434" s="10">
        <f t="shared" si="66"/>
        <v>1.0172602306947054E-3</v>
      </c>
    </row>
    <row r="435" spans="1:12" x14ac:dyDescent="0.2">
      <c r="A435" s="14">
        <v>0.37</v>
      </c>
      <c r="B435" s="10">
        <f t="shared" si="56"/>
        <v>-0.53221681374730823</v>
      </c>
      <c r="C435" s="10">
        <f t="shared" si="57"/>
        <v>6.9188185787150067E-2</v>
      </c>
      <c r="D435" s="10">
        <f t="shared" si="58"/>
        <v>0.77322255566907183</v>
      </c>
      <c r="E435" s="10">
        <f t="shared" si="59"/>
        <v>2.166737447266549</v>
      </c>
      <c r="F435" s="10">
        <f t="shared" si="63"/>
        <v>3.6851806472721904E-3</v>
      </c>
      <c r="G435" s="10">
        <f t="shared" si="60"/>
        <v>-0.94523383979942266</v>
      </c>
      <c r="H435" s="10">
        <f t="shared" si="61"/>
        <v>0.27984434469089398</v>
      </c>
      <c r="I435" s="10">
        <f t="shared" si="64"/>
        <v>2.0578729494369341E-4</v>
      </c>
      <c r="J435" s="20">
        <f t="shared" si="62"/>
        <v>0</v>
      </c>
      <c r="K435" s="10">
        <f t="shared" si="65"/>
        <v>1.7022450422078395E-3</v>
      </c>
      <c r="L435" s="10">
        <f t="shared" si="66"/>
        <v>1.0213470253248591E-3</v>
      </c>
    </row>
    <row r="436" spans="1:12" x14ac:dyDescent="0.2">
      <c r="A436" s="14">
        <v>0.371</v>
      </c>
      <c r="B436" s="10">
        <f t="shared" si="56"/>
        <v>-0.52792919409300532</v>
      </c>
      <c r="C436" s="10">
        <f t="shared" si="57"/>
        <v>6.8102866037997686E-2</v>
      </c>
      <c r="D436" s="10">
        <f t="shared" si="58"/>
        <v>0.77493162164013862</v>
      </c>
      <c r="E436" s="10">
        <f t="shared" si="59"/>
        <v>2.1704437107281525</v>
      </c>
      <c r="F436" s="10">
        <f t="shared" si="63"/>
        <v>3.7062634616034096E-3</v>
      </c>
      <c r="G436" s="10">
        <f t="shared" si="60"/>
        <v>-0.94420840021678265</v>
      </c>
      <c r="H436" s="10">
        <f t="shared" si="61"/>
        <v>0.28005104970210898</v>
      </c>
      <c r="I436" s="10">
        <f t="shared" si="64"/>
        <v>2.0670501121500262E-4</v>
      </c>
      <c r="J436" s="20">
        <f t="shared" si="62"/>
        <v>0</v>
      </c>
      <c r="K436" s="10">
        <f t="shared" si="65"/>
        <v>1.7090659710667921E-3</v>
      </c>
      <c r="L436" s="10">
        <f t="shared" si="66"/>
        <v>1.0254395826400087E-3</v>
      </c>
    </row>
    <row r="437" spans="1:12" x14ac:dyDescent="0.2">
      <c r="A437" s="14">
        <v>0.372</v>
      </c>
      <c r="B437" s="10">
        <f t="shared" si="56"/>
        <v>-0.5236463121950522</v>
      </c>
      <c r="C437" s="10">
        <f t="shared" si="57"/>
        <v>6.7026727960966689E-2</v>
      </c>
      <c r="D437" s="10">
        <f t="shared" si="58"/>
        <v>0.77664751820163624</v>
      </c>
      <c r="E437" s="10">
        <f t="shared" si="59"/>
        <v>2.1741711646764594</v>
      </c>
      <c r="F437" s="10">
        <f t="shared" si="63"/>
        <v>3.7274539483069802E-3</v>
      </c>
      <c r="G437" s="10">
        <f t="shared" si="60"/>
        <v>-0.94317886227988401</v>
      </c>
      <c r="H437" s="10">
        <f t="shared" si="61"/>
        <v>0.28025867467031118</v>
      </c>
      <c r="I437" s="10">
        <f t="shared" si="64"/>
        <v>2.0762496820220244E-4</v>
      </c>
      <c r="J437" s="20">
        <f t="shared" si="62"/>
        <v>0</v>
      </c>
      <c r="K437" s="10">
        <f t="shared" si="65"/>
        <v>1.7158965614976207E-3</v>
      </c>
      <c r="L437" s="10">
        <f t="shared" si="66"/>
        <v>1.029537936898639E-3</v>
      </c>
    </row>
    <row r="438" spans="1:12" x14ac:dyDescent="0.2">
      <c r="A438" s="14">
        <v>0.373</v>
      </c>
      <c r="B438" s="10">
        <f t="shared" si="56"/>
        <v>-0.51936812098910512</v>
      </c>
      <c r="C438" s="10">
        <f t="shared" si="57"/>
        <v>6.5959751365616354E-2</v>
      </c>
      <c r="D438" s="10">
        <f t="shared" si="58"/>
        <v>0.77837025507266788</v>
      </c>
      <c r="E438" s="10">
        <f t="shared" si="59"/>
        <v>2.177919917636117</v>
      </c>
      <c r="F438" s="10">
        <f t="shared" si="63"/>
        <v>3.7487529596575975E-3</v>
      </c>
      <c r="G438" s="10">
        <f t="shared" si="60"/>
        <v>-0.94214522015726498</v>
      </c>
      <c r="H438" s="10">
        <f t="shared" si="61"/>
        <v>0.28046722184852696</v>
      </c>
      <c r="I438" s="10">
        <f t="shared" si="64"/>
        <v>2.0854717821577884E-4</v>
      </c>
      <c r="J438" s="20">
        <f t="shared" si="62"/>
        <v>0</v>
      </c>
      <c r="K438" s="10">
        <f t="shared" si="65"/>
        <v>1.7227368710316382E-3</v>
      </c>
      <c r="L438" s="10">
        <f t="shared" si="66"/>
        <v>1.0336421226190273E-3</v>
      </c>
    </row>
    <row r="439" spans="1:12" x14ac:dyDescent="0.2">
      <c r="A439" s="14">
        <v>0.374</v>
      </c>
      <c r="B439" s="10">
        <f t="shared" si="56"/>
        <v>-0.51509457368556666</v>
      </c>
      <c r="C439" s="10">
        <f t="shared" si="57"/>
        <v>6.4901916284381397E-2</v>
      </c>
      <c r="D439" s="10">
        <f t="shared" si="58"/>
        <v>0.78009984203030092</v>
      </c>
      <c r="E439" s="10">
        <f t="shared" si="59"/>
        <v>2.1816900789915232</v>
      </c>
      <c r="F439" s="10">
        <f t="shared" si="63"/>
        <v>3.7701613554061986E-3</v>
      </c>
      <c r="G439" s="10">
        <f t="shared" si="60"/>
        <v>-0.94110746798268519</v>
      </c>
      <c r="H439" s="10">
        <f t="shared" si="61"/>
        <v>0.28067669350216284</v>
      </c>
      <c r="I439" s="10">
        <f t="shared" si="64"/>
        <v>2.0947165363588427E-4</v>
      </c>
      <c r="J439" s="20">
        <f t="shared" si="62"/>
        <v>0</v>
      </c>
      <c r="K439" s="10">
        <f t="shared" si="65"/>
        <v>1.7295869576330336E-3</v>
      </c>
      <c r="L439" s="10">
        <f t="shared" si="66"/>
        <v>1.037752174579798E-3</v>
      </c>
    </row>
    <row r="440" spans="1:12" x14ac:dyDescent="0.2">
      <c r="A440" s="14">
        <v>0.375</v>
      </c>
      <c r="B440" s="10">
        <f t="shared" si="56"/>
        <v>-0.51082562376599072</v>
      </c>
      <c r="C440" s="10">
        <f t="shared" si="57"/>
        <v>6.385320297074884E-2</v>
      </c>
      <c r="D440" s="10">
        <f t="shared" si="58"/>
        <v>0.78183628891000279</v>
      </c>
      <c r="E440" s="10">
        <f t="shared" si="59"/>
        <v>2.1854817589943818</v>
      </c>
      <c r="F440" s="10">
        <f t="shared" si="63"/>
        <v>3.7916800028585662E-3</v>
      </c>
      <c r="G440" s="10">
        <f t="shared" si="60"/>
        <v>-0.94006559985486415</v>
      </c>
      <c r="H440" s="10">
        <f t="shared" si="61"/>
        <v>0.28088709190907646</v>
      </c>
      <c r="I440" s="10">
        <f t="shared" si="64"/>
        <v>2.1039840691361444E-4</v>
      </c>
      <c r="J440" s="20">
        <f t="shared" si="62"/>
        <v>0</v>
      </c>
      <c r="K440" s="10">
        <f t="shared" si="65"/>
        <v>1.7364468797018695E-3</v>
      </c>
      <c r="L440" s="10">
        <f t="shared" si="66"/>
        <v>1.0418681278210329E-3</v>
      </c>
    </row>
    <row r="441" spans="1:12" x14ac:dyDescent="0.2">
      <c r="A441" s="14">
        <v>0.376</v>
      </c>
      <c r="B441" s="10">
        <f t="shared" si="56"/>
        <v>-0.50656122497953315</v>
      </c>
      <c r="C441" s="10">
        <f t="shared" si="57"/>
        <v>6.2813591897462107E-2</v>
      </c>
      <c r="D441" s="10">
        <f t="shared" si="58"/>
        <v>0.78357960560607498</v>
      </c>
      <c r="E441" s="10">
        <f t="shared" si="59"/>
        <v>2.1892950687713295</v>
      </c>
      <c r="F441" s="10">
        <f t="shared" si="63"/>
        <v>3.8133097769477153E-3</v>
      </c>
      <c r="G441" s="10">
        <f t="shared" si="60"/>
        <v>-0.93901960983722088</v>
      </c>
      <c r="H441" s="10">
        <f t="shared" si="61"/>
        <v>0.28109841935964686</v>
      </c>
      <c r="I441" s="10">
        <f t="shared" si="64"/>
        <v>2.113274505703977E-4</v>
      </c>
      <c r="J441" s="20">
        <f t="shared" si="62"/>
        <v>0</v>
      </c>
      <c r="K441" s="10">
        <f t="shared" si="65"/>
        <v>1.7433166960721946E-3</v>
      </c>
      <c r="L441" s="10">
        <f t="shared" si="66"/>
        <v>1.0459900176432724E-3</v>
      </c>
    </row>
    <row r="442" spans="1:12" x14ac:dyDescent="0.2">
      <c r="A442" s="14">
        <v>0.377</v>
      </c>
      <c r="B442" s="10">
        <f t="shared" si="56"/>
        <v>-0.50230133133944233</v>
      </c>
      <c r="C442" s="10">
        <f t="shared" si="57"/>
        <v>6.1783063754751406E-2</v>
      </c>
      <c r="D442" s="10">
        <f t="shared" si="58"/>
        <v>0.78532980207209024</v>
      </c>
      <c r="E442" s="10">
        <f t="shared" si="59"/>
        <v>2.1931301203316447</v>
      </c>
      <c r="F442" s="10">
        <f t="shared" si="63"/>
        <v>3.8350515603151614E-3</v>
      </c>
      <c r="G442" s="10">
        <f t="shared" si="60"/>
        <v>-0.93796949195761159</v>
      </c>
      <c r="H442" s="10">
        <f t="shared" si="61"/>
        <v>0.28131067815684541</v>
      </c>
      <c r="I442" s="10">
        <f t="shared" si="64"/>
        <v>2.1225879719855012E-4</v>
      </c>
      <c r="J442" s="20">
        <f t="shared" si="62"/>
        <v>0</v>
      </c>
      <c r="K442" s="10">
        <f t="shared" si="65"/>
        <v>1.7501964660152636E-3</v>
      </c>
      <c r="L442" s="10">
        <f t="shared" si="66"/>
        <v>1.0501178796092914E-3</v>
      </c>
    </row>
    <row r="443" spans="1:12" x14ac:dyDescent="0.2">
      <c r="A443" s="14">
        <v>0.378</v>
      </c>
      <c r="B443" s="10">
        <f t="shared" si="56"/>
        <v>-0.49804589711959169</v>
      </c>
      <c r="C443" s="10">
        <f t="shared" si="57"/>
        <v>6.0761599448590185E-2</v>
      </c>
      <c r="D443" s="10">
        <f t="shared" si="58"/>
        <v>0.78708688832132812</v>
      </c>
      <c r="E443" s="10">
        <f t="shared" si="59"/>
        <v>2.1969870265750289</v>
      </c>
      <c r="F443" s="10">
        <f t="shared" si="63"/>
        <v>3.856906243384195E-3</v>
      </c>
      <c r="G443" s="10">
        <f t="shared" si="60"/>
        <v>-0.93691524020806904</v>
      </c>
      <c r="H443" s="10">
        <f t="shared" si="61"/>
        <v>0.28152387061630674</v>
      </c>
      <c r="I443" s="10">
        <f t="shared" si="64"/>
        <v>2.1319245946133103E-4</v>
      </c>
      <c r="J443" s="20">
        <f t="shared" si="62"/>
        <v>0</v>
      </c>
      <c r="K443" s="10">
        <f t="shared" si="65"/>
        <v>1.7570862492378714E-3</v>
      </c>
      <c r="L443" s="10">
        <f t="shared" si="66"/>
        <v>1.0542517495425452E-3</v>
      </c>
    </row>
    <row r="444" spans="1:12" x14ac:dyDescent="0.2">
      <c r="A444" s="14">
        <v>0.379</v>
      </c>
      <c r="B444" s="10">
        <f t="shared" si="56"/>
        <v>-0.49379487685105233</v>
      </c>
      <c r="C444" s="10">
        <f t="shared" si="57"/>
        <v>5.9749180098977332E-2</v>
      </c>
      <c r="D444" s="10">
        <f t="shared" si="58"/>
        <v>0.78885087442721269</v>
      </c>
      <c r="E444" s="10">
        <f t="shared" si="59"/>
        <v>2.2008659012994687</v>
      </c>
      <c r="F444" s="10">
        <f t="shared" si="63"/>
        <v>3.8788747244398181E-3</v>
      </c>
      <c r="G444" s="10">
        <f t="shared" si="60"/>
        <v>-0.9358568485445381</v>
      </c>
      <c r="H444" s="10">
        <f t="shared" si="61"/>
        <v>0.28173799906640012</v>
      </c>
      <c r="I444" s="10">
        <f t="shared" si="64"/>
        <v>2.141284500933871E-4</v>
      </c>
      <c r="J444" s="20">
        <f t="shared" si="62"/>
        <v>0</v>
      </c>
      <c r="K444" s="10">
        <f t="shared" si="65"/>
        <v>1.7639861058845741E-3</v>
      </c>
      <c r="L444" s="10">
        <f t="shared" si="66"/>
        <v>1.0583916635309443E-3</v>
      </c>
    </row>
    <row r="445" spans="1:12" x14ac:dyDescent="0.2">
      <c r="A445" s="14">
        <v>0.38</v>
      </c>
      <c r="B445" s="10">
        <f t="shared" si="56"/>
        <v>-0.48954822531870579</v>
      </c>
      <c r="C445" s="10">
        <f t="shared" si="57"/>
        <v>5.8745787038244693E-2</v>
      </c>
      <c r="D445" s="10">
        <f t="shared" si="58"/>
        <v>0.79062177052375071</v>
      </c>
      <c r="E445" s="10">
        <f t="shared" si="59"/>
        <v>2.2047668592091774</v>
      </c>
      <c r="F445" s="10">
        <f t="shared" si="63"/>
        <v>3.9009579097086799E-3</v>
      </c>
      <c r="G445" s="10">
        <f t="shared" si="60"/>
        <v>-0.93479431088661535</v>
      </c>
      <c r="H445" s="10">
        <f t="shared" si="61"/>
        <v>0.28195306584830065</v>
      </c>
      <c r="I445" s="10">
        <f t="shared" si="64"/>
        <v>2.150667819005303E-4</v>
      </c>
      <c r="J445" s="20">
        <f t="shared" si="62"/>
        <v>0</v>
      </c>
      <c r="K445" s="10">
        <f t="shared" si="65"/>
        <v>1.7708960965380216E-3</v>
      </c>
      <c r="L445" s="10">
        <f t="shared" si="66"/>
        <v>1.0625376579227463E-3</v>
      </c>
    </row>
    <row r="446" spans="1:12" x14ac:dyDescent="0.2">
      <c r="A446" s="14">
        <v>0.38100000000000001</v>
      </c>
      <c r="B446" s="10">
        <f t="shared" si="56"/>
        <v>-0.48530589755789511</v>
      </c>
      <c r="C446" s="10">
        <f t="shared" si="57"/>
        <v>5.7751401809389515E-2</v>
      </c>
      <c r="D446" s="10">
        <f t="shared" si="58"/>
        <v>0.79239958680597133</v>
      </c>
      <c r="E446" s="10">
        <f t="shared" si="59"/>
        <v>2.2086900159226168</v>
      </c>
      <c r="F446" s="10">
        <f t="shared" si="63"/>
        <v>3.9231567134394574E-3</v>
      </c>
      <c r="G446" s="10">
        <f t="shared" si="60"/>
        <v>-0.93372762111728291</v>
      </c>
      <c r="H446" s="10">
        <f t="shared" si="61"/>
        <v>0.28216907331606111</v>
      </c>
      <c r="I446" s="10">
        <f t="shared" si="64"/>
        <v>2.1600746776045954E-4</v>
      </c>
      <c r="J446" s="20">
        <f t="shared" si="62"/>
        <v>0</v>
      </c>
      <c r="K446" s="10">
        <f t="shared" si="65"/>
        <v>1.7778162822206234E-3</v>
      </c>
      <c r="L446" s="10">
        <f t="shared" si="66"/>
        <v>1.0666897693324406E-3</v>
      </c>
    </row>
    <row r="447" spans="1:12" x14ac:dyDescent="0.2">
      <c r="A447" s="14">
        <v>0.38200000000000001</v>
      </c>
      <c r="B447" s="10">
        <f t="shared" si="56"/>
        <v>-0.48106784885111559</v>
      </c>
      <c r="C447" s="10">
        <f t="shared" si="57"/>
        <v>5.6766006164431636E-2</v>
      </c>
      <c r="D447" s="10">
        <f t="shared" si="58"/>
        <v>0.79418433353036466</v>
      </c>
      <c r="E447" s="10">
        <f t="shared" si="59"/>
        <v>2.2126354879806014</v>
      </c>
      <c r="F447" s="10">
        <f t="shared" si="63"/>
        <v>3.945472057984567E-3</v>
      </c>
      <c r="G447" s="10">
        <f t="shared" si="60"/>
        <v>-0.93265677308264705</v>
      </c>
      <c r="H447" s="10">
        <f t="shared" si="61"/>
        <v>0.28238602383668349</v>
      </c>
      <c r="I447" s="10">
        <f t="shared" si="64"/>
        <v>2.1695052062237208E-4</v>
      </c>
      <c r="J447" s="20">
        <f t="shared" si="62"/>
        <v>0</v>
      </c>
      <c r="K447" s="10">
        <f t="shared" si="65"/>
        <v>1.7847467243933268E-3</v>
      </c>
      <c r="L447" s="10">
        <f t="shared" si="66"/>
        <v>1.0708480346358629E-3</v>
      </c>
    </row>
    <row r="448" spans="1:12" x14ac:dyDescent="0.2">
      <c r="A448" s="14">
        <v>0.38300000000000001</v>
      </c>
      <c r="B448" s="10">
        <f t="shared" si="56"/>
        <v>-0.47683403472474178</v>
      </c>
      <c r="C448" s="10">
        <f t="shared" si="57"/>
        <v>5.5789582062794787E-2</v>
      </c>
      <c r="D448" s="10">
        <f t="shared" si="58"/>
        <v>0.79597602101532439</v>
      </c>
      <c r="E448" s="10">
        <f t="shared" si="59"/>
        <v>2.2166033928544842</v>
      </c>
      <c r="F448" s="10">
        <f t="shared" si="63"/>
        <v>3.967904873882766E-3</v>
      </c>
      <c r="G448" s="10">
        <f t="shared" si="60"/>
        <v>-0.93158176059167108</v>
      </c>
      <c r="H448" s="10">
        <f t="shared" si="61"/>
        <v>0.28260391979019173</v>
      </c>
      <c r="I448" s="10">
        <f t="shared" si="64"/>
        <v>2.1789595350824031E-4</v>
      </c>
      <c r="J448" s="20">
        <f t="shared" si="62"/>
        <v>0</v>
      </c>
      <c r="K448" s="10">
        <f t="shared" si="65"/>
        <v>1.7916874849597253E-3</v>
      </c>
      <c r="L448" s="10">
        <f t="shared" si="66"/>
        <v>1.0750124909759684E-3</v>
      </c>
    </row>
    <row r="449" spans="1:12" x14ac:dyDescent="0.2">
      <c r="A449" s="14">
        <v>0.38400000000000001</v>
      </c>
      <c r="B449" s="10">
        <f t="shared" si="56"/>
        <v>-0.47260441094579292</v>
      </c>
      <c r="C449" s="10">
        <f t="shared" si="57"/>
        <v>5.4822111669711973E-2</v>
      </c>
      <c r="D449" s="10">
        <f t="shared" si="58"/>
        <v>0.79777465964158933</v>
      </c>
      <c r="E449" s="10">
        <f t="shared" si="59"/>
        <v>2.2205938489544268</v>
      </c>
      <c r="F449" s="10">
        <f t="shared" si="63"/>
        <v>3.9904560999426408E-3</v>
      </c>
      <c r="G449" s="10">
        <f t="shared" si="60"/>
        <v>-0.93050257741591225</v>
      </c>
      <c r="H449" s="10">
        <f t="shared" si="61"/>
        <v>0.28282276356970332</v>
      </c>
      <c r="I449" s="10">
        <f t="shared" si="64"/>
        <v>2.1884377951159051E-4</v>
      </c>
      <c r="J449" s="20">
        <f t="shared" si="62"/>
        <v>0</v>
      </c>
      <c r="K449" s="10">
        <f t="shared" si="65"/>
        <v>1.7986386262649479E-3</v>
      </c>
      <c r="L449" s="10">
        <f t="shared" si="66"/>
        <v>1.0791831757588355E-3</v>
      </c>
    </row>
    <row r="450" spans="1:12" x14ac:dyDescent="0.2">
      <c r="A450" s="14">
        <v>0.38500000000000001</v>
      </c>
      <c r="B450" s="10">
        <f t="shared" ref="B450:B513" si="67">LN(A450/(1-A450))</f>
        <v>-0.46837893351873355</v>
      </c>
      <c r="C450" s="10">
        <f t="shared" ref="C450:C513" si="68">(A450-0.5)*B450</f>
        <v>5.3863577354654357E-2</v>
      </c>
      <c r="D450" s="10">
        <f t="shared" ref="D450:D513" si="69">$B$45+$B$46*B450+$B$47*C450</f>
        <v>0.79958025985268666</v>
      </c>
      <c r="E450" s="10">
        <f t="shared" ref="E450:E513" si="70">$B$14+EXP(D450)</f>
        <v>2.2246069756377569</v>
      </c>
      <c r="F450" s="10">
        <f t="shared" si="63"/>
        <v>4.0131266833300927E-3</v>
      </c>
      <c r="G450" s="10">
        <f t="shared" ref="G450:G513" si="71">$C$45+$C$46*B450+$C$47*C450</f>
        <v>-0.92941921728925392</v>
      </c>
      <c r="H450" s="10">
        <f t="shared" ref="H450:H513" si="72">$C$14+($C$15-$C$14)/(1+EXP(-G450))</f>
        <v>0.28304255758150232</v>
      </c>
      <c r="I450" s="10">
        <f t="shared" si="64"/>
        <v>2.197940117990016E-4</v>
      </c>
      <c r="J450" s="20">
        <f t="shared" ref="J450:J513" si="73">G450-($B$22+$B$21*D450)</f>
        <v>0</v>
      </c>
      <c r="K450" s="10">
        <f t="shared" si="65"/>
        <v>1.8056002110973246E-3</v>
      </c>
      <c r="L450" s="10">
        <f t="shared" si="66"/>
        <v>1.0833601266583281E-3</v>
      </c>
    </row>
    <row r="451" spans="1:12" x14ac:dyDescent="0.2">
      <c r="A451" s="14">
        <v>0.38600000000000001</v>
      </c>
      <c r="B451" s="10">
        <f t="shared" si="67"/>
        <v>-0.46415755868231151</v>
      </c>
      <c r="C451" s="10">
        <f t="shared" si="68"/>
        <v>5.2913961689783511E-2</v>
      </c>
      <c r="D451" s="10">
        <f t="shared" si="69"/>
        <v>0.8013928321553766</v>
      </c>
      <c r="E451" s="10">
        <f t="shared" si="70"/>
        <v>2.2286428932174061</v>
      </c>
      <c r="F451" s="10">
        <f t="shared" ref="F451:F514" si="74">E451-E450</f>
        <v>4.035917579649162E-3</v>
      </c>
      <c r="G451" s="10">
        <f t="shared" si="71"/>
        <v>-0.92833167390763993</v>
      </c>
      <c r="H451" s="10">
        <f t="shared" si="72"/>
        <v>0.2832633042451122</v>
      </c>
      <c r="I451" s="10">
        <f t="shared" ref="I451:I514" si="75">H451-H450</f>
        <v>2.2074666360988315E-4</v>
      </c>
      <c r="J451" s="20">
        <f t="shared" si="73"/>
        <v>0</v>
      </c>
      <c r="K451" s="10">
        <f t="shared" ref="K451:K514" si="76">D451-D450</f>
        <v>1.812572302689941E-3</v>
      </c>
      <c r="L451" s="10">
        <f t="shared" ref="L451:L514" si="77">G451-G450</f>
        <v>1.0875433816139868E-3</v>
      </c>
    </row>
    <row r="452" spans="1:12" x14ac:dyDescent="0.2">
      <c r="A452" s="14">
        <v>0.38700000000000001</v>
      </c>
      <c r="B452" s="10">
        <f t="shared" si="67"/>
        <v>-0.4599402429064296</v>
      </c>
      <c r="C452" s="10">
        <f t="shared" si="68"/>
        <v>5.1973247448426539E-2</v>
      </c>
      <c r="D452" s="10">
        <f t="shared" si="69"/>
        <v>0.80321238712009857</v>
      </c>
      <c r="E452" s="10">
        <f t="shared" si="70"/>
        <v>2.2327017229704418</v>
      </c>
      <c r="F452" s="10">
        <f t="shared" si="74"/>
        <v>4.0588297530357309E-3</v>
      </c>
      <c r="G452" s="10">
        <f t="shared" si="71"/>
        <v>-0.92723994092880657</v>
      </c>
      <c r="H452" s="10">
        <f t="shared" si="72"/>
        <v>0.28348500599336884</v>
      </c>
      <c r="I452" s="10">
        <f t="shared" si="75"/>
        <v>2.2170174825664191E-4</v>
      </c>
      <c r="J452" s="20">
        <f t="shared" si="73"/>
        <v>0</v>
      </c>
      <c r="K452" s="10">
        <f t="shared" si="76"/>
        <v>1.81955496472197E-3</v>
      </c>
      <c r="L452" s="10">
        <f t="shared" si="77"/>
        <v>1.0917329788333596E-3</v>
      </c>
    </row>
    <row r="453" spans="1:12" x14ac:dyDescent="0.2">
      <c r="A453" s="14">
        <v>0.38800000000000001</v>
      </c>
      <c r="B453" s="10">
        <f t="shared" si="67"/>
        <v>-0.45572694288905252</v>
      </c>
      <c r="C453" s="10">
        <f t="shared" si="68"/>
        <v>5.1041417603573877E-2</v>
      </c>
      <c r="D453" s="10">
        <f t="shared" si="69"/>
        <v>0.80503893538141846</v>
      </c>
      <c r="E453" s="10">
        <f t="shared" si="70"/>
        <v>2.2367835871466832</v>
      </c>
      <c r="F453" s="10">
        <f t="shared" si="74"/>
        <v>4.0818641762414565E-3</v>
      </c>
      <c r="G453" s="10">
        <f t="shared" si="71"/>
        <v>-0.92614401197201457</v>
      </c>
      <c r="H453" s="10">
        <f t="shared" si="72"/>
        <v>0.28370766527249386</v>
      </c>
      <c r="I453" s="10">
        <f t="shared" si="75"/>
        <v>2.2265927912501482E-4</v>
      </c>
      <c r="J453" s="20">
        <f t="shared" si="73"/>
        <v>0</v>
      </c>
      <c r="K453" s="10">
        <f t="shared" si="76"/>
        <v>1.8265482613198936E-3</v>
      </c>
      <c r="L453" s="10">
        <f t="shared" si="77"/>
        <v>1.0959289567920028E-3</v>
      </c>
    </row>
    <row r="454" spans="1:12" x14ac:dyDescent="0.2">
      <c r="A454" s="14">
        <v>0.38900000000000001</v>
      </c>
      <c r="B454" s="10">
        <f t="shared" si="67"/>
        <v>-0.45151761555314895</v>
      </c>
      <c r="C454" s="10">
        <f t="shared" si="68"/>
        <v>5.0118455326399532E-2</v>
      </c>
      <c r="D454" s="10">
        <f t="shared" si="69"/>
        <v>0.80687248763847674</v>
      </c>
      <c r="E454" s="10">
        <f t="shared" si="70"/>
        <v>2.240888608977408</v>
      </c>
      <c r="F454" s="10">
        <f t="shared" si="74"/>
        <v>4.1050218307248088E-3</v>
      </c>
      <c r="G454" s="10">
        <f t="shared" si="71"/>
        <v>-0.92504388061777976</v>
      </c>
      <c r="H454" s="10">
        <f t="shared" si="72"/>
        <v>0.28393128454216848</v>
      </c>
      <c r="I454" s="10">
        <f t="shared" si="75"/>
        <v>2.236192696746242E-4</v>
      </c>
      <c r="J454" s="20">
        <f t="shared" si="73"/>
        <v>0</v>
      </c>
      <c r="K454" s="10">
        <f t="shared" si="76"/>
        <v>1.8335522570582796E-3</v>
      </c>
      <c r="L454" s="10">
        <f t="shared" si="77"/>
        <v>1.1001313542348123E-3</v>
      </c>
    </row>
    <row r="455" spans="1:12" x14ac:dyDescent="0.2">
      <c r="A455" s="14">
        <v>0.39</v>
      </c>
      <c r="B455" s="10">
        <f t="shared" si="67"/>
        <v>-0.44731221804366478</v>
      </c>
      <c r="C455" s="10">
        <f t="shared" si="68"/>
        <v>4.9204343984803119E-2</v>
      </c>
      <c r="D455" s="10">
        <f t="shared" si="69"/>
        <v>0.80871305465543875</v>
      </c>
      <c r="E455" s="10">
        <f t="shared" si="70"/>
        <v>2.245016912684147</v>
      </c>
      <c r="F455" s="10">
        <f t="shared" si="74"/>
        <v>4.1283037067390005E-3</v>
      </c>
      <c r="G455" s="10">
        <f t="shared" si="71"/>
        <v>-0.9239395404076024</v>
      </c>
      <c r="H455" s="10">
        <f t="shared" si="72"/>
        <v>0.28415586627560724</v>
      </c>
      <c r="I455" s="10">
        <f t="shared" si="75"/>
        <v>2.2458173343875565E-4</v>
      </c>
      <c r="J455" s="20">
        <f t="shared" si="73"/>
        <v>0</v>
      </c>
      <c r="K455" s="10">
        <f t="shared" si="76"/>
        <v>1.8405670169620025E-3</v>
      </c>
      <c r="L455" s="10">
        <f t="shared" si="77"/>
        <v>1.104340210177357E-3</v>
      </c>
    </row>
    <row r="456" spans="1:12" x14ac:dyDescent="0.2">
      <c r="A456" s="14">
        <v>0.39100000000000001</v>
      </c>
      <c r="B456" s="10">
        <f t="shared" si="67"/>
        <v>-0.44311070772453126</v>
      </c>
      <c r="C456" s="10">
        <f t="shared" si="68"/>
        <v>4.8299067141973899E-2</v>
      </c>
      <c r="D456" s="10">
        <f t="shared" si="69"/>
        <v>0.81056064726194699</v>
      </c>
      <c r="E456" s="10">
        <f t="shared" si="70"/>
        <v>2.2491686234875776</v>
      </c>
      <c r="F456" s="10">
        <f t="shared" si="74"/>
        <v>4.151710803430575E-3</v>
      </c>
      <c r="G456" s="10">
        <f t="shared" si="71"/>
        <v>-0.92283098484369752</v>
      </c>
      <c r="H456" s="10">
        <f t="shared" si="72"/>
        <v>0.28438141295963243</v>
      </c>
      <c r="I456" s="10">
        <f t="shared" si="75"/>
        <v>2.2554668402519074E-4</v>
      </c>
      <c r="J456" s="20">
        <f t="shared" si="73"/>
        <v>0</v>
      </c>
      <c r="K456" s="10">
        <f t="shared" si="76"/>
        <v>1.8475926065082415E-3</v>
      </c>
      <c r="L456" s="10">
        <f t="shared" si="77"/>
        <v>1.1085555639048783E-3</v>
      </c>
    </row>
    <row r="457" spans="1:12" x14ac:dyDescent="0.2">
      <c r="A457" s="14">
        <v>0.39200000000000002</v>
      </c>
      <c r="B457" s="10">
        <f t="shared" si="67"/>
        <v>-0.43891304217570448</v>
      </c>
      <c r="C457" s="10">
        <f t="shared" si="68"/>
        <v>4.7402608554976078E-2</v>
      </c>
      <c r="D457" s="10">
        <f t="shared" si="69"/>
        <v>0.81241527635357369</v>
      </c>
      <c r="E457" s="10">
        <f t="shared" si="70"/>
        <v>2.2533438676165036</v>
      </c>
      <c r="F457" s="10">
        <f t="shared" si="74"/>
        <v>4.1752441289260034E-3</v>
      </c>
      <c r="G457" s="10">
        <f t="shared" si="71"/>
        <v>-0.92171820738872157</v>
      </c>
      <c r="H457" s="10">
        <f t="shared" si="72"/>
        <v>0.28460792709474858</v>
      </c>
      <c r="I457" s="10">
        <f t="shared" si="75"/>
        <v>2.2651413511615148E-4</v>
      </c>
      <c r="J457" s="20">
        <f t="shared" si="73"/>
        <v>0</v>
      </c>
      <c r="K457" s="10">
        <f t="shared" si="76"/>
        <v>1.8546290916267028E-3</v>
      </c>
      <c r="L457" s="10">
        <f t="shared" si="77"/>
        <v>1.112777454975955E-3</v>
      </c>
    </row>
    <row r="458" spans="1:12" x14ac:dyDescent="0.2">
      <c r="A458" s="14">
        <v>0.39300000000000002</v>
      </c>
      <c r="B458" s="10">
        <f t="shared" si="67"/>
        <v>-0.43471917919023695</v>
      </c>
      <c r="C458" s="10">
        <f t="shared" si="68"/>
        <v>4.6514952173355349E-2</v>
      </c>
      <c r="D458" s="10">
        <f t="shared" si="69"/>
        <v>0.81427695289227608</v>
      </c>
      <c r="E458" s="10">
        <f t="shared" si="70"/>
        <v>2.2575427723169312</v>
      </c>
      <c r="F458" s="10">
        <f t="shared" si="74"/>
        <v>4.1989047004276081E-3</v>
      </c>
      <c r="G458" s="10">
        <f t="shared" si="71"/>
        <v>-0.92060120146550017</v>
      </c>
      <c r="H458" s="10">
        <f t="shared" si="72"/>
        <v>0.28483541119521716</v>
      </c>
      <c r="I458" s="10">
        <f t="shared" si="75"/>
        <v>2.2748410046857792E-4</v>
      </c>
      <c r="J458" s="20">
        <f t="shared" si="73"/>
        <v>0</v>
      </c>
      <c r="K458" s="10">
        <f t="shared" si="76"/>
        <v>1.8616765387023948E-3</v>
      </c>
      <c r="L458" s="10">
        <f t="shared" si="77"/>
        <v>1.1170059232213925E-3</v>
      </c>
    </row>
    <row r="459" spans="1:12" x14ac:dyDescent="0.2">
      <c r="A459" s="14">
        <v>0.39400000000000002</v>
      </c>
      <c r="B459" s="10">
        <f t="shared" si="67"/>
        <v>-0.43052907677138047</v>
      </c>
      <c r="C459" s="10">
        <f t="shared" si="68"/>
        <v>4.5636082137766321E-2</v>
      </c>
      <c r="D459" s="10">
        <f t="shared" si="69"/>
        <v>0.81614568790685282</v>
      </c>
      <c r="E459" s="10">
        <f t="shared" si="70"/>
        <v>2.2617654658612421</v>
      </c>
      <c r="F459" s="10">
        <f t="shared" si="74"/>
        <v>4.2226935443108182E-3</v>
      </c>
      <c r="G459" s="10">
        <f t="shared" si="71"/>
        <v>-0.91947996045675418</v>
      </c>
      <c r="H459" s="10">
        <f t="shared" si="72"/>
        <v>0.28506386778913184</v>
      </c>
      <c r="I459" s="10">
        <f t="shared" si="75"/>
        <v>2.284565939146832E-4</v>
      </c>
      <c r="J459" s="20">
        <f t="shared" si="73"/>
        <v>0</v>
      </c>
      <c r="K459" s="10">
        <f t="shared" si="76"/>
        <v>1.868735014576739E-3</v>
      </c>
      <c r="L459" s="10">
        <f t="shared" si="77"/>
        <v>1.121241008745999E-3</v>
      </c>
    </row>
    <row r="460" spans="1:12" x14ac:dyDescent="0.2">
      <c r="A460" s="14">
        <v>0.39500000000000002</v>
      </c>
      <c r="B460" s="10">
        <f t="shared" si="67"/>
        <v>-0.42634269312971951</v>
      </c>
      <c r="C460" s="10">
        <f t="shared" si="68"/>
        <v>4.4765982778620539E-2</v>
      </c>
      <c r="D460" s="10">
        <f t="shared" si="69"/>
        <v>0.81802149249340272</v>
      </c>
      <c r="E460" s="10">
        <f t="shared" si="70"/>
        <v>2.2660120775574608</v>
      </c>
      <c r="F460" s="10">
        <f t="shared" si="74"/>
        <v>4.2466116962187606E-3</v>
      </c>
      <c r="G460" s="10">
        <f t="shared" si="71"/>
        <v>-0.91835447770482426</v>
      </c>
      <c r="H460" s="10">
        <f t="shared" si="72"/>
        <v>0.28529329941849407</v>
      </c>
      <c r="I460" s="10">
        <f t="shared" si="75"/>
        <v>2.2943162936223116E-4</v>
      </c>
      <c r="J460" s="20">
        <f t="shared" si="73"/>
        <v>0</v>
      </c>
      <c r="K460" s="10">
        <f t="shared" si="76"/>
        <v>1.8758045865499007E-3</v>
      </c>
      <c r="L460" s="10">
        <f t="shared" si="77"/>
        <v>1.1254827519299182E-3</v>
      </c>
    </row>
    <row r="461" spans="1:12" x14ac:dyDescent="0.2">
      <c r="A461" s="14">
        <v>0.39600000000000002</v>
      </c>
      <c r="B461" s="10">
        <f t="shared" si="67"/>
        <v>-0.42215998668033439</v>
      </c>
      <c r="C461" s="10">
        <f t="shared" si="68"/>
        <v>4.3904638614754771E-2</v>
      </c>
      <c r="D461" s="10">
        <f t="shared" si="69"/>
        <v>0.81990437781578462</v>
      </c>
      <c r="E461" s="10">
        <f t="shared" si="70"/>
        <v>2.270282737758623</v>
      </c>
      <c r="F461" s="10">
        <f t="shared" si="74"/>
        <v>4.2706602011621797E-3</v>
      </c>
      <c r="G461" s="10">
        <f t="shared" si="71"/>
        <v>-0.91722474651139507</v>
      </c>
      <c r="H461" s="10">
        <f t="shared" si="72"/>
        <v>0.28552370863928866</v>
      </c>
      <c r="I461" s="10">
        <f t="shared" si="75"/>
        <v>2.3040922079459181E-4</v>
      </c>
      <c r="J461" s="20">
        <f t="shared" si="73"/>
        <v>0</v>
      </c>
      <c r="K461" s="10">
        <f t="shared" si="76"/>
        <v>1.8828853223818998E-3</v>
      </c>
      <c r="L461" s="10">
        <f t="shared" si="77"/>
        <v>1.1297311934291843E-3</v>
      </c>
    </row>
    <row r="462" spans="1:12" x14ac:dyDescent="0.2">
      <c r="A462" s="14">
        <v>0.39700000000000002</v>
      </c>
      <c r="B462" s="10">
        <f t="shared" si="67"/>
        <v>-0.41798091603999504</v>
      </c>
      <c r="C462" s="10">
        <f t="shared" si="68"/>
        <v>4.3052034352119482E-2</v>
      </c>
      <c r="D462" s="10">
        <f t="shared" si="69"/>
        <v>0.82179435510608057</v>
      </c>
      <c r="E462" s="10">
        <f t="shared" si="70"/>
        <v>2.2745775778722419</v>
      </c>
      <c r="F462" s="10">
        <f t="shared" si="74"/>
        <v>4.294840113618914E-3</v>
      </c>
      <c r="G462" s="10">
        <f t="shared" si="71"/>
        <v>-0.91609076013721746</v>
      </c>
      <c r="H462" s="10">
        <f t="shared" si="72"/>
        <v>0.28575509802156013</v>
      </c>
      <c r="I462" s="10">
        <f t="shared" si="75"/>
        <v>2.31389382271463E-4</v>
      </c>
      <c r="J462" s="20">
        <f t="shared" si="73"/>
        <v>0</v>
      </c>
      <c r="K462" s="10">
        <f t="shared" si="76"/>
        <v>1.8899772902959411E-3</v>
      </c>
      <c r="L462" s="10">
        <f t="shared" si="77"/>
        <v>1.1339863741776091E-3</v>
      </c>
    </row>
    <row r="463" spans="1:12" x14ac:dyDescent="0.2">
      <c r="A463" s="14">
        <v>0.39800000000000002</v>
      </c>
      <c r="B463" s="10">
        <f t="shared" si="67"/>
        <v>-0.41380544002438319</v>
      </c>
      <c r="C463" s="10">
        <f t="shared" si="68"/>
        <v>4.2208154882487074E-2</v>
      </c>
      <c r="D463" s="10">
        <f t="shared" si="69"/>
        <v>0.82369143566505842</v>
      </c>
      <c r="E463" s="10">
        <f t="shared" si="70"/>
        <v>2.2788967303698726</v>
      </c>
      <c r="F463" s="10">
        <f t="shared" si="74"/>
        <v>4.3191524976307072E-3</v>
      </c>
      <c r="G463" s="10">
        <f t="shared" si="71"/>
        <v>-0.91495251180183068</v>
      </c>
      <c r="H463" s="10">
        <f t="shared" si="72"/>
        <v>0.28598747014948894</v>
      </c>
      <c r="I463" s="10">
        <f t="shared" si="75"/>
        <v>2.323721279288149E-4</v>
      </c>
      <c r="J463" s="20">
        <f t="shared" si="73"/>
        <v>0</v>
      </c>
      <c r="K463" s="10">
        <f t="shared" si="76"/>
        <v>1.8970805589778594E-3</v>
      </c>
      <c r="L463" s="10">
        <f t="shared" si="77"/>
        <v>1.1382483353867823E-3</v>
      </c>
    </row>
    <row r="464" spans="1:12" x14ac:dyDescent="0.2">
      <c r="A464" s="14">
        <v>0.39900000000000002</v>
      </c>
      <c r="B464" s="10">
        <f t="shared" si="67"/>
        <v>-0.409633517645344</v>
      </c>
      <c r="C464" s="10">
        <f t="shared" si="68"/>
        <v>4.1372985282179739E-2</v>
      </c>
      <c r="D464" s="10">
        <f t="shared" si="69"/>
        <v>0.82559563086263954</v>
      </c>
      <c r="E464" s="10">
        <f t="shared" si="70"/>
        <v>2.2832403287967828</v>
      </c>
      <c r="F464" s="10">
        <f t="shared" si="74"/>
        <v>4.3435984269102335E-3</v>
      </c>
      <c r="G464" s="10">
        <f t="shared" si="71"/>
        <v>-0.91380999468328206</v>
      </c>
      <c r="H464" s="10">
        <f t="shared" si="72"/>
        <v>0.28622082762146855</v>
      </c>
      <c r="I464" s="10">
        <f t="shared" si="75"/>
        <v>2.3335747197961165E-4</v>
      </c>
      <c r="J464" s="20">
        <f t="shared" si="73"/>
        <v>0</v>
      </c>
      <c r="K464" s="10">
        <f t="shared" si="76"/>
        <v>1.9041951975811156E-3</v>
      </c>
      <c r="L464" s="10">
        <f t="shared" si="77"/>
        <v>1.1425171185486249E-3</v>
      </c>
    </row>
    <row r="465" spans="1:12" x14ac:dyDescent="0.2">
      <c r="A465" s="14">
        <v>0.4</v>
      </c>
      <c r="B465" s="10">
        <f t="shared" si="67"/>
        <v>-0.40546510810816427</v>
      </c>
      <c r="C465" s="10">
        <f t="shared" si="68"/>
        <v>4.0546510810816422E-2</v>
      </c>
      <c r="D465" s="10">
        <f t="shared" si="69"/>
        <v>0.82750695213836567</v>
      </c>
      <c r="E465" s="10">
        <f t="shared" si="70"/>
        <v>2.2876085077817225</v>
      </c>
      <c r="F465" s="10">
        <f t="shared" si="74"/>
        <v>4.3681789849396857E-3</v>
      </c>
      <c r="G465" s="10">
        <f t="shared" si="71"/>
        <v>-0.91266320191784633</v>
      </c>
      <c r="H465" s="10">
        <f t="shared" si="72"/>
        <v>0.28645517305018248</v>
      </c>
      <c r="I465" s="10">
        <f t="shared" si="75"/>
        <v>2.3434542871392239E-4</v>
      </c>
      <c r="J465" s="20">
        <f t="shared" si="73"/>
        <v>0</v>
      </c>
      <c r="K465" s="10">
        <f t="shared" si="76"/>
        <v>1.91132127572613E-3</v>
      </c>
      <c r="L465" s="10">
        <f t="shared" si="77"/>
        <v>1.1467927654357224E-3</v>
      </c>
    </row>
    <row r="466" spans="1:12" x14ac:dyDescent="0.2">
      <c r="A466" s="14">
        <v>0.40100000000000002</v>
      </c>
      <c r="B466" s="10">
        <f t="shared" si="67"/>
        <v>-0.40130017080888003</v>
      </c>
      <c r="C466" s="10">
        <f t="shared" si="68"/>
        <v>3.9728716910079113E-2</v>
      </c>
      <c r="D466" s="10">
        <f t="shared" si="69"/>
        <v>0.82942541100187095</v>
      </c>
      <c r="E466" s="10">
        <f t="shared" si="70"/>
        <v>2.2920014030468034</v>
      </c>
      <c r="F466" s="10">
        <f t="shared" si="74"/>
        <v>4.3928952650809094E-3</v>
      </c>
      <c r="G466" s="10">
        <f t="shared" si="71"/>
        <v>-0.91151212659974323</v>
      </c>
      <c r="H466" s="10">
        <f t="shared" si="72"/>
        <v>0.28669050906268173</v>
      </c>
      <c r="I466" s="10">
        <f t="shared" si="75"/>
        <v>2.3533601249925429E-4</v>
      </c>
      <c r="J466" s="20">
        <f t="shared" si="73"/>
        <v>0</v>
      </c>
      <c r="K466" s="10">
        <f t="shared" si="76"/>
        <v>1.9184588635052791E-3</v>
      </c>
      <c r="L466" s="10">
        <f t="shared" si="77"/>
        <v>1.1510753181031008E-3</v>
      </c>
    </row>
    <row r="467" spans="1:12" x14ac:dyDescent="0.2">
      <c r="A467" s="14">
        <v>0.40200000000000002</v>
      </c>
      <c r="B467" s="10">
        <f t="shared" si="67"/>
        <v>-0.39713866533161052</v>
      </c>
      <c r="C467" s="10">
        <f t="shared" si="68"/>
        <v>3.8919589202497822E-2</v>
      </c>
      <c r="D467" s="10">
        <f t="shared" si="69"/>
        <v>0.83135101903335284</v>
      </c>
      <c r="E467" s="10">
        <f t="shared" si="70"/>
        <v>2.2964191514174783</v>
      </c>
      <c r="F467" s="10">
        <f t="shared" si="74"/>
        <v>4.4177483706748788E-3</v>
      </c>
      <c r="G467" s="10">
        <f t="shared" si="71"/>
        <v>-0.91035676178085401</v>
      </c>
      <c r="H467" s="10">
        <f t="shared" si="72"/>
        <v>0.28692683830046301</v>
      </c>
      <c r="I467" s="10">
        <f t="shared" si="75"/>
        <v>2.3632923778127424E-4</v>
      </c>
      <c r="J467" s="20">
        <f t="shared" si="73"/>
        <v>0</v>
      </c>
      <c r="K467" s="10">
        <f t="shared" si="76"/>
        <v>1.9256080314818957E-3</v>
      </c>
      <c r="L467" s="10">
        <f t="shared" si="77"/>
        <v>1.1553648188892263E-3</v>
      </c>
    </row>
    <row r="468" spans="1:12" x14ac:dyDescent="0.2">
      <c r="A468" s="14">
        <v>0.40300000000000002</v>
      </c>
      <c r="B468" s="10">
        <f t="shared" si="67"/>
        <v>-0.39298055144591898</v>
      </c>
      <c r="C468" s="10">
        <f t="shared" si="68"/>
        <v>3.8119113490254132E-2</v>
      </c>
      <c r="D468" s="10">
        <f t="shared" si="69"/>
        <v>0.83328378788404811</v>
      </c>
      <c r="E468" s="10">
        <f t="shared" si="70"/>
        <v>2.3008618908326315</v>
      </c>
      <c r="F468" s="10">
        <f t="shared" si="74"/>
        <v>4.442739415153163E-3</v>
      </c>
      <c r="G468" s="10">
        <f t="shared" si="71"/>
        <v>-0.90919710047043689</v>
      </c>
      <c r="H468" s="10">
        <f t="shared" si="72"/>
        <v>0.28716416341954659</v>
      </c>
      <c r="I468" s="10">
        <f t="shared" si="75"/>
        <v>2.3732511908358678E-4</v>
      </c>
      <c r="J468" s="20">
        <f t="shared" si="73"/>
        <v>0</v>
      </c>
      <c r="K468" s="10">
        <f t="shared" si="76"/>
        <v>1.9327688506952656E-3</v>
      </c>
      <c r="L468" s="10">
        <f t="shared" si="77"/>
        <v>1.159661310417115E-3</v>
      </c>
    </row>
    <row r="469" spans="1:12" x14ac:dyDescent="0.2">
      <c r="A469" s="14">
        <v>0.40400000000000003</v>
      </c>
      <c r="B469" s="10">
        <f t="shared" si="67"/>
        <v>-0.38882578910419968</v>
      </c>
      <c r="C469" s="10">
        <f t="shared" si="68"/>
        <v>3.7327275754003159E-2</v>
      </c>
      <c r="D469" s="10">
        <f t="shared" si="69"/>
        <v>0.83522372927670963</v>
      </c>
      <c r="E469" s="10">
        <f t="shared" si="70"/>
        <v>2.3053297603547787</v>
      </c>
      <c r="F469" s="10">
        <f t="shared" si="74"/>
        <v>4.467869522147172E-3</v>
      </c>
      <c r="G469" s="10">
        <f t="shared" si="71"/>
        <v>-0.90803313563484001</v>
      </c>
      <c r="H469" s="10">
        <f t="shared" si="72"/>
        <v>0.28740248709055521</v>
      </c>
      <c r="I469" s="10">
        <f t="shared" si="75"/>
        <v>2.3832367100862228E-4</v>
      </c>
      <c r="J469" s="20">
        <f t="shared" si="73"/>
        <v>0</v>
      </c>
      <c r="K469" s="10">
        <f t="shared" si="76"/>
        <v>1.939941392661515E-3</v>
      </c>
      <c r="L469" s="10">
        <f t="shared" si="77"/>
        <v>1.1639648355968868E-3</v>
      </c>
    </row>
    <row r="470" spans="1:12" x14ac:dyDescent="0.2">
      <c r="A470" s="14">
        <v>0.40500000000000003</v>
      </c>
      <c r="B470" s="10">
        <f t="shared" si="67"/>
        <v>-0.3846743384390906</v>
      </c>
      <c r="C470" s="10">
        <f t="shared" si="68"/>
        <v>3.6544062151713595E-2</v>
      </c>
      <c r="D470" s="10">
        <f t="shared" si="69"/>
        <v>0.83717085500608646</v>
      </c>
      <c r="E470" s="10">
        <f t="shared" si="70"/>
        <v>2.3098229001803743</v>
      </c>
      <c r="F470" s="10">
        <f t="shared" si="74"/>
        <v>4.4931398255956267E-3</v>
      </c>
      <c r="G470" s="10">
        <f t="shared" si="71"/>
        <v>-0.90686486019721391</v>
      </c>
      <c r="H470" s="10">
        <f t="shared" si="72"/>
        <v>0.28764181199879318</v>
      </c>
      <c r="I470" s="10">
        <f t="shared" si="75"/>
        <v>2.3932490823797004E-4</v>
      </c>
      <c r="J470" s="20">
        <f t="shared" si="73"/>
        <v>0</v>
      </c>
      <c r="K470" s="10">
        <f t="shared" si="76"/>
        <v>1.9471257293768307E-3</v>
      </c>
      <c r="L470" s="10">
        <f t="shared" si="77"/>
        <v>1.1682754376260984E-3</v>
      </c>
    </row>
    <row r="471" spans="1:12" x14ac:dyDescent="0.2">
      <c r="A471" s="14">
        <v>0.40600000000000003</v>
      </c>
      <c r="B471" s="10">
        <f t="shared" si="67"/>
        <v>-0.38052615976091214</v>
      </c>
      <c r="C471" s="10">
        <f t="shared" si="68"/>
        <v>3.5769459017525727E-2</v>
      </c>
      <c r="D471" s="10">
        <f t="shared" si="69"/>
        <v>0.83912517693940447</v>
      </c>
      <c r="E471" s="10">
        <f t="shared" si="70"/>
        <v>2.3143414516502294</v>
      </c>
      <c r="F471" s="10">
        <f t="shared" si="74"/>
        <v>4.5185514698551366E-3</v>
      </c>
      <c r="G471" s="10">
        <f t="shared" si="71"/>
        <v>-0.90569226703722305</v>
      </c>
      <c r="H471" s="10">
        <f t="shared" si="72"/>
        <v>0.28788214084432556</v>
      </c>
      <c r="I471" s="10">
        <f t="shared" si="75"/>
        <v>2.4032884553237821E-4</v>
      </c>
      <c r="J471" s="20">
        <f t="shared" si="73"/>
        <v>0</v>
      </c>
      <c r="K471" s="10">
        <f t="shared" si="76"/>
        <v>1.9543219333180151E-3</v>
      </c>
      <c r="L471" s="10">
        <f t="shared" si="77"/>
        <v>1.1725931599908535E-3</v>
      </c>
    </row>
    <row r="472" spans="1:12" x14ac:dyDescent="0.2">
      <c r="A472" s="14">
        <v>0.40699999999999997</v>
      </c>
      <c r="B472" s="10">
        <f t="shared" si="67"/>
        <v>-0.37638121355513054</v>
      </c>
      <c r="C472" s="10">
        <f t="shared" si="68"/>
        <v>3.500345286062715E-2</v>
      </c>
      <c r="D472" s="10">
        <f t="shared" si="69"/>
        <v>0.8410867070168524</v>
      </c>
      <c r="E472" s="10">
        <f t="shared" si="70"/>
        <v>2.3188855572600482</v>
      </c>
      <c r="F472" s="10">
        <f t="shared" si="74"/>
        <v>4.5441056098187715E-3</v>
      </c>
      <c r="G472" s="10">
        <f t="shared" si="71"/>
        <v>-0.90451534899075436</v>
      </c>
      <c r="H472" s="10">
        <f t="shared" si="72"/>
        <v>0.28812347634205809</v>
      </c>
      <c r="I472" s="10">
        <f t="shared" si="75"/>
        <v>2.4133549773253105E-4</v>
      </c>
      <c r="J472" s="20">
        <f t="shared" si="73"/>
        <v>0</v>
      </c>
      <c r="K472" s="10">
        <f t="shared" si="76"/>
        <v>1.9615300774479261E-3</v>
      </c>
      <c r="L472" s="10">
        <f t="shared" si="77"/>
        <v>1.176918046468689E-3</v>
      </c>
    </row>
    <row r="473" spans="1:12" x14ac:dyDescent="0.2">
      <c r="A473" s="14">
        <v>0.40799999999999997</v>
      </c>
      <c r="B473" s="10">
        <f t="shared" si="67"/>
        <v>-0.37223946047984419</v>
      </c>
      <c r="C473" s="10">
        <f t="shared" si="68"/>
        <v>3.4246030364145676E-2</v>
      </c>
      <c r="D473" s="10">
        <f t="shared" si="69"/>
        <v>0.8430554572520681</v>
      </c>
      <c r="E473" s="10">
        <f t="shared" si="70"/>
        <v>2.3234553606710748</v>
      </c>
      <c r="F473" s="10">
        <f t="shared" si="74"/>
        <v>4.5698034110266406E-3</v>
      </c>
      <c r="G473" s="10">
        <f t="shared" si="71"/>
        <v>-0.90333409884962479</v>
      </c>
      <c r="H473" s="10">
        <f t="shared" si="72"/>
        <v>0.28836582122181753</v>
      </c>
      <c r="I473" s="10">
        <f t="shared" si="75"/>
        <v>2.4234487975943741E-4</v>
      </c>
      <c r="J473" s="20">
        <f t="shared" si="73"/>
        <v>0</v>
      </c>
      <c r="K473" s="10">
        <f t="shared" si="76"/>
        <v>1.9687502352156994E-3</v>
      </c>
      <c r="L473" s="10">
        <f t="shared" si="77"/>
        <v>1.181250141129575E-3</v>
      </c>
    </row>
    <row r="474" spans="1:12" x14ac:dyDescent="0.2">
      <c r="A474" s="14">
        <v>0.40899999999999997</v>
      </c>
      <c r="B474" s="10">
        <f t="shared" si="67"/>
        <v>-0.36810086136329639</v>
      </c>
      <c r="C474" s="10">
        <f t="shared" si="68"/>
        <v>3.3497178384059981E-2</v>
      </c>
      <c r="D474" s="10">
        <f t="shared" si="69"/>
        <v>0.84503143973262884</v>
      </c>
      <c r="E474" s="10">
        <f t="shared" si="70"/>
        <v>2.3280510067208553</v>
      </c>
      <c r="F474" s="10">
        <f t="shared" si="74"/>
        <v>4.5956460497804663E-3</v>
      </c>
      <c r="G474" s="10">
        <f t="shared" si="71"/>
        <v>-0.90214850936128843</v>
      </c>
      <c r="H474" s="10">
        <f t="shared" si="72"/>
        <v>0.28860917822843218</v>
      </c>
      <c r="I474" s="10">
        <f t="shared" si="75"/>
        <v>2.4335700661465287E-4</v>
      </c>
      <c r="J474" s="20">
        <f t="shared" si="73"/>
        <v>0</v>
      </c>
      <c r="K474" s="10">
        <f t="shared" si="76"/>
        <v>1.9759824805607451E-3</v>
      </c>
      <c r="L474" s="10">
        <f t="shared" si="77"/>
        <v>1.1855894883363582E-3</v>
      </c>
    </row>
    <row r="475" spans="1:12" x14ac:dyDescent="0.2">
      <c r="A475" s="14">
        <v>0.41</v>
      </c>
      <c r="B475" s="10">
        <f t="shared" si="67"/>
        <v>-0.36396537720141192</v>
      </c>
      <c r="C475" s="10">
        <f t="shared" si="68"/>
        <v>3.2756883948127084E-2</v>
      </c>
      <c r="D475" s="10">
        <f t="shared" si="69"/>
        <v>0.84701466662054181</v>
      </c>
      <c r="E475" s="10">
        <f t="shared" si="70"/>
        <v>2.3326726414341183</v>
      </c>
      <c r="F475" s="10">
        <f t="shared" si="74"/>
        <v>4.6216347132630453E-3</v>
      </c>
      <c r="G475" s="10">
        <f t="shared" si="71"/>
        <v>-0.90095857322854067</v>
      </c>
      <c r="H475" s="10">
        <f t="shared" si="72"/>
        <v>0.28885355012181307</v>
      </c>
      <c r="I475" s="10">
        <f t="shared" si="75"/>
        <v>2.4437189338089027E-4</v>
      </c>
      <c r="J475" s="20">
        <f t="shared" si="73"/>
        <v>0</v>
      </c>
      <c r="K475" s="10">
        <f t="shared" si="76"/>
        <v>1.98322688791297E-3</v>
      </c>
      <c r="L475" s="10">
        <f t="shared" si="77"/>
        <v>1.1899361327477598E-3</v>
      </c>
    </row>
    <row r="476" spans="1:12" x14ac:dyDescent="0.2">
      <c r="A476" s="14">
        <v>0.41099999999999998</v>
      </c>
      <c r="B476" s="10">
        <f t="shared" si="67"/>
        <v>-0.35983296915535207</v>
      </c>
      <c r="C476" s="10">
        <f t="shared" si="68"/>
        <v>3.2025134254826344E-2</v>
      </c>
      <c r="D476" s="10">
        <f t="shared" si="69"/>
        <v>0.84900515015274214</v>
      </c>
      <c r="E476" s="10">
        <f t="shared" si="70"/>
        <v>2.3373204120337792</v>
      </c>
      <c r="F476" s="10">
        <f t="shared" si="74"/>
        <v>4.6477705996608165E-3</v>
      </c>
      <c r="G476" s="10">
        <f t="shared" si="71"/>
        <v>-0.89976428310922052</v>
      </c>
      <c r="H476" s="10">
        <f t="shared" si="72"/>
        <v>0.2890989396770352</v>
      </c>
      <c r="I476" s="10">
        <f t="shared" si="75"/>
        <v>2.453895552221308E-4</v>
      </c>
      <c r="J476" s="20">
        <f t="shared" si="73"/>
        <v>0</v>
      </c>
      <c r="K476" s="10">
        <f t="shared" si="76"/>
        <v>1.9904835322003267E-3</v>
      </c>
      <c r="L476" s="10">
        <f t="shared" si="77"/>
        <v>1.1942901193201516E-3</v>
      </c>
    </row>
    <row r="477" spans="1:12" x14ac:dyDescent="0.2">
      <c r="A477" s="14">
        <v>0.41199999999999998</v>
      </c>
      <c r="B477" s="10">
        <f t="shared" si="67"/>
        <v>-0.35570359854910066</v>
      </c>
      <c r="C477" s="10">
        <f t="shared" si="68"/>
        <v>3.1301916672320865E-2</v>
      </c>
      <c r="D477" s="10">
        <f t="shared" si="69"/>
        <v>0.85100290264158784</v>
      </c>
      <c r="E477" s="10">
        <f t="shared" si="70"/>
        <v>2.3419944669520536</v>
      </c>
      <c r="F477" s="10">
        <f t="shared" si="74"/>
        <v>4.6740549182744395E-3</v>
      </c>
      <c r="G477" s="10">
        <f t="shared" si="71"/>
        <v>-0.89856563161591307</v>
      </c>
      <c r="H477" s="10">
        <f t="shared" si="72"/>
        <v>0.28934534968441977</v>
      </c>
      <c r="I477" s="10">
        <f t="shared" si="75"/>
        <v>2.4641000738456764E-4</v>
      </c>
      <c r="J477" s="20">
        <f t="shared" si="73"/>
        <v>0</v>
      </c>
      <c r="K477" s="10">
        <f t="shared" si="76"/>
        <v>1.9977524888457054E-3</v>
      </c>
      <c r="L477" s="10">
        <f t="shared" si="77"/>
        <v>1.1986514933074455E-3</v>
      </c>
    </row>
    <row r="478" spans="1:12" x14ac:dyDescent="0.2">
      <c r="A478" s="14">
        <v>0.41299999999999998</v>
      </c>
      <c r="B478" s="10">
        <f t="shared" si="67"/>
        <v>-0.35157722686706372</v>
      </c>
      <c r="C478" s="10">
        <f t="shared" si="68"/>
        <v>3.058721873743455E-2</v>
      </c>
      <c r="D478" s="10">
        <f t="shared" si="69"/>
        <v>0.85300793647536277</v>
      </c>
      <c r="E478" s="10">
        <f t="shared" si="70"/>
        <v>2.3466949558417092</v>
      </c>
      <c r="F478" s="10">
        <f t="shared" si="74"/>
        <v>4.7004888896555741E-3</v>
      </c>
      <c r="G478" s="10">
        <f t="shared" si="71"/>
        <v>-0.8973626113156481</v>
      </c>
      <c r="H478" s="10">
        <f t="shared" si="72"/>
        <v>0.28959278294961632</v>
      </c>
      <c r="I478" s="10">
        <f t="shared" si="75"/>
        <v>2.4743326519655051E-4</v>
      </c>
      <c r="J478" s="20">
        <f t="shared" si="73"/>
        <v>0</v>
      </c>
      <c r="K478" s="10">
        <f t="shared" si="76"/>
        <v>2.0050338337749274E-3</v>
      </c>
      <c r="L478" s="10">
        <f t="shared" si="77"/>
        <v>1.2030203002649786E-3</v>
      </c>
    </row>
    <row r="479" spans="1:12" x14ac:dyDescent="0.2">
      <c r="A479" s="14">
        <v>0.41399999999999998</v>
      </c>
      <c r="B479" s="10">
        <f t="shared" si="67"/>
        <v>-0.34745381575169842</v>
      </c>
      <c r="C479" s="10">
        <f t="shared" si="68"/>
        <v>2.9881028154646071E-2</v>
      </c>
      <c r="D479" s="10">
        <f t="shared" si="69"/>
        <v>0.85502026411877852</v>
      </c>
      <c r="E479" s="10">
        <f t="shared" si="70"/>
        <v>2.3514220295874235</v>
      </c>
      <c r="F479" s="10">
        <f t="shared" si="74"/>
        <v>4.7270737457143497E-3</v>
      </c>
      <c r="G479" s="10">
        <f t="shared" si="71"/>
        <v>-0.89615521472959858</v>
      </c>
      <c r="H479" s="10">
        <f t="shared" si="72"/>
        <v>0.28984124229368557</v>
      </c>
      <c r="I479" s="10">
        <f t="shared" si="75"/>
        <v>2.4845934406925174E-4</v>
      </c>
      <c r="J479" s="20">
        <f t="shared" si="73"/>
        <v>0</v>
      </c>
      <c r="K479" s="10">
        <f t="shared" si="76"/>
        <v>2.0123276434157455E-3</v>
      </c>
      <c r="L479" s="10">
        <f t="shared" si="77"/>
        <v>1.2073965860495139E-3</v>
      </c>
    </row>
    <row r="480" spans="1:12" x14ac:dyDescent="0.2">
      <c r="A480" s="14">
        <v>0.41499999999999998</v>
      </c>
      <c r="B480" s="10">
        <f t="shared" si="67"/>
        <v>-0.34333332700115815</v>
      </c>
      <c r="C480" s="10">
        <f t="shared" si="68"/>
        <v>2.9183332795098448E-2</v>
      </c>
      <c r="D480" s="10">
        <f t="shared" si="69"/>
        <v>0.85703989811348236</v>
      </c>
      <c r="E480" s="10">
        <f t="shared" si="70"/>
        <v>2.3561758403172828</v>
      </c>
      <c r="F480" s="10">
        <f t="shared" si="74"/>
        <v>4.7538107298592536E-3</v>
      </c>
      <c r="G480" s="10">
        <f t="shared" si="71"/>
        <v>-0.89494343433277623</v>
      </c>
      <c r="H480" s="10">
        <f t="shared" si="72"/>
        <v>0.29009073055318291</v>
      </c>
      <c r="I480" s="10">
        <f t="shared" si="75"/>
        <v>2.4948825949733244E-4</v>
      </c>
      <c r="J480" s="20">
        <f t="shared" si="73"/>
        <v>0</v>
      </c>
      <c r="K480" s="10">
        <f t="shared" si="76"/>
        <v>2.01963399470384E-3</v>
      </c>
      <c r="L480" s="10">
        <f t="shared" si="77"/>
        <v>1.2117803968223484E-3</v>
      </c>
    </row>
    <row r="481" spans="1:12" x14ac:dyDescent="0.2">
      <c r="A481" s="14">
        <v>0.41599999999999998</v>
      </c>
      <c r="B481" s="10">
        <f t="shared" si="67"/>
        <v>-0.33921572256696397</v>
      </c>
      <c r="C481" s="10">
        <f t="shared" si="68"/>
        <v>2.8494120695624979E-2</v>
      </c>
      <c r="D481" s="10">
        <f t="shared" si="69"/>
        <v>0.85906685107856551</v>
      </c>
      <c r="E481" s="10">
        <f t="shared" si="70"/>
        <v>2.3609565414143958</v>
      </c>
      <c r="F481" s="10">
        <f t="shared" si="74"/>
        <v>4.7807010971130381E-3</v>
      </c>
      <c r="G481" s="10">
        <f t="shared" si="71"/>
        <v>-0.89372726255372648</v>
      </c>
      <c r="H481" s="10">
        <f t="shared" si="72"/>
        <v>0.29034125058024152</v>
      </c>
      <c r="I481" s="10">
        <f t="shared" si="75"/>
        <v>2.5052002705860943E-4</v>
      </c>
      <c r="J481" s="20">
        <f t="shared" si="73"/>
        <v>0</v>
      </c>
      <c r="K481" s="10">
        <f t="shared" si="76"/>
        <v>2.0269529650831508E-3</v>
      </c>
      <c r="L481" s="10">
        <f t="shared" si="77"/>
        <v>1.2161717790497573E-3</v>
      </c>
    </row>
    <row r="482" spans="1:12" x14ac:dyDescent="0.2">
      <c r="A482" s="14">
        <v>0.41699999999999998</v>
      </c>
      <c r="B482" s="10">
        <f t="shared" si="67"/>
        <v>-0.33510096455169086</v>
      </c>
      <c r="C482" s="10">
        <f t="shared" si="68"/>
        <v>2.7813380057790348E-2</v>
      </c>
      <c r="D482" s="10">
        <f t="shared" si="69"/>
        <v>0.86110113571107716</v>
      </c>
      <c r="E482" s="10">
        <f t="shared" si="70"/>
        <v>2.3657642875286444</v>
      </c>
      <c r="F482" s="10">
        <f t="shared" si="74"/>
        <v>4.8077461142486122E-3</v>
      </c>
      <c r="G482" s="10">
        <f t="shared" si="71"/>
        <v>-0.89250669177421948</v>
      </c>
      <c r="H482" s="10">
        <f t="shared" si="72"/>
        <v>0.29059280524265735</v>
      </c>
      <c r="I482" s="10">
        <f t="shared" si="75"/>
        <v>2.5155466241583158E-4</v>
      </c>
      <c r="J482" s="20">
        <f t="shared" si="73"/>
        <v>0</v>
      </c>
      <c r="K482" s="10">
        <f t="shared" si="76"/>
        <v>2.0342846325116515E-3</v>
      </c>
      <c r="L482" s="10">
        <f t="shared" si="77"/>
        <v>1.2205707795069909E-3</v>
      </c>
    </row>
    <row r="483" spans="1:12" x14ac:dyDescent="0.2">
      <c r="A483" s="14">
        <v>0.41799999999999998</v>
      </c>
      <c r="B483" s="10">
        <f t="shared" si="67"/>
        <v>-0.33098901520668167</v>
      </c>
      <c r="C483" s="10">
        <f t="shared" si="68"/>
        <v>2.7141099246947901E-2</v>
      </c>
      <c r="D483" s="10">
        <f t="shared" si="69"/>
        <v>0.86314276478653873</v>
      </c>
      <c r="E483" s="10">
        <f t="shared" si="70"/>
        <v>2.3705992345885609</v>
      </c>
      <c r="F483" s="10">
        <f t="shared" si="74"/>
        <v>4.8349470599164945E-3</v>
      </c>
      <c r="G483" s="10">
        <f t="shared" si="71"/>
        <v>-0.89128171432894254</v>
      </c>
      <c r="H483" s="10">
        <f t="shared" si="72"/>
        <v>0.29084539742397297</v>
      </c>
      <c r="I483" s="10">
        <f t="shared" si="75"/>
        <v>2.5259218131562511E-4</v>
      </c>
      <c r="J483" s="20">
        <f t="shared" si="73"/>
        <v>0</v>
      </c>
      <c r="K483" s="10">
        <f t="shared" si="76"/>
        <v>2.0416290754615707E-3</v>
      </c>
      <c r="L483" s="10">
        <f t="shared" si="77"/>
        <v>1.2249774452769424E-3</v>
      </c>
    </row>
    <row r="484" spans="1:12" x14ac:dyDescent="0.2">
      <c r="A484" s="14">
        <v>0.41899999999999998</v>
      </c>
      <c r="B484" s="10">
        <f t="shared" si="67"/>
        <v>-0.32687983692977346</v>
      </c>
      <c r="C484" s="10">
        <f t="shared" si="68"/>
        <v>2.6477266791311654E-2</v>
      </c>
      <c r="D484" s="10">
        <f t="shared" si="69"/>
        <v>0.86519175115946478</v>
      </c>
      <c r="E484" s="10">
        <f t="shared" si="70"/>
        <v>2.375461539813339</v>
      </c>
      <c r="F484" s="10">
        <f t="shared" si="74"/>
        <v>4.8623052247780407E-3</v>
      </c>
      <c r="G484" s="10">
        <f t="shared" si="71"/>
        <v>-0.89005232250518695</v>
      </c>
      <c r="H484" s="10">
        <f t="shared" si="72"/>
        <v>0.29109903002356335</v>
      </c>
      <c r="I484" s="10">
        <f t="shared" si="75"/>
        <v>2.5363259959038098E-4</v>
      </c>
      <c r="J484" s="20">
        <f t="shared" si="73"/>
        <v>0</v>
      </c>
      <c r="K484" s="10">
        <f t="shared" si="76"/>
        <v>2.0489863729260538E-3</v>
      </c>
      <c r="L484" s="10">
        <f t="shared" si="77"/>
        <v>1.2293918237555879E-3</v>
      </c>
    </row>
    <row r="485" spans="1:12" x14ac:dyDescent="0.2">
      <c r="A485" s="14">
        <v>0.42</v>
      </c>
      <c r="B485" s="10">
        <f t="shared" si="67"/>
        <v>-0.32277339226305118</v>
      </c>
      <c r="C485" s="10">
        <f t="shared" si="68"/>
        <v>2.5821871381044099E-2</v>
      </c>
      <c r="D485" s="10">
        <f t="shared" si="69"/>
        <v>0.86724810776388339</v>
      </c>
      <c r="E485" s="10">
        <f t="shared" si="70"/>
        <v>2.380351361724975</v>
      </c>
      <c r="F485" s="10">
        <f t="shared" si="74"/>
        <v>4.8898219116360053E-3</v>
      </c>
      <c r="G485" s="10">
        <f t="shared" si="71"/>
        <v>-0.88881850854253575</v>
      </c>
      <c r="H485" s="10">
        <f t="shared" si="72"/>
        <v>0.291353705956721</v>
      </c>
      <c r="I485" s="10">
        <f t="shared" si="75"/>
        <v>2.5467593315764425E-4</v>
      </c>
      <c r="J485" s="20">
        <f t="shared" si="73"/>
        <v>0</v>
      </c>
      <c r="K485" s="10">
        <f t="shared" si="76"/>
        <v>2.0563566044186077E-3</v>
      </c>
      <c r="L485" s="10">
        <f t="shared" si="77"/>
        <v>1.233813962651209E-3</v>
      </c>
    </row>
    <row r="486" spans="1:12" x14ac:dyDescent="0.2">
      <c r="A486" s="14">
        <v>0.42099999999999999</v>
      </c>
      <c r="B486" s="10">
        <f t="shared" si="67"/>
        <v>-0.31866964389061386</v>
      </c>
      <c r="C486" s="10">
        <f t="shared" si="68"/>
        <v>2.5174901867358501E-2</v>
      </c>
      <c r="D486" s="10">
        <f t="shared" si="69"/>
        <v>0.86931184761386282</v>
      </c>
      <c r="E486" s="10">
        <f t="shared" si="70"/>
        <v>2.3852688601605507</v>
      </c>
      <c r="F486" s="10">
        <f t="shared" si="74"/>
        <v>4.9174984355757623E-3</v>
      </c>
      <c r="G486" s="10">
        <f t="shared" si="71"/>
        <v>-0.88758026463254802</v>
      </c>
      <c r="H486" s="10">
        <f t="shared" si="72"/>
        <v>0.29160942815474222</v>
      </c>
      <c r="I486" s="10">
        <f t="shared" si="75"/>
        <v>2.5572219802122431E-4</v>
      </c>
      <c r="J486" s="20">
        <f t="shared" si="73"/>
        <v>0</v>
      </c>
      <c r="K486" s="10">
        <f t="shared" si="76"/>
        <v>2.0637398499794291E-3</v>
      </c>
      <c r="L486" s="10">
        <f t="shared" si="77"/>
        <v>1.238243909987724E-3</v>
      </c>
    </row>
    <row r="487" spans="1:12" x14ac:dyDescent="0.2">
      <c r="A487" s="14">
        <v>0.42199999999999999</v>
      </c>
      <c r="B487" s="10">
        <f t="shared" si="67"/>
        <v>-0.31456855463636585</v>
      </c>
      <c r="C487" s="10">
        <f t="shared" si="68"/>
        <v>2.4536347261636539E-2</v>
      </c>
      <c r="D487" s="10">
        <f t="shared" si="69"/>
        <v>0.87138298380404022</v>
      </c>
      <c r="E487" s="10">
        <f t="shared" si="70"/>
        <v>2.390214196284647</v>
      </c>
      <c r="F487" s="10">
        <f t="shared" si="74"/>
        <v>4.9453361240963112E-3</v>
      </c>
      <c r="G487" s="10">
        <f t="shared" si="71"/>
        <v>-0.88633758291844156</v>
      </c>
      <c r="H487" s="10">
        <f t="shared" si="72"/>
        <v>0.29186619956501386</v>
      </c>
      <c r="I487" s="10">
        <f t="shared" si="75"/>
        <v>2.5677141027163897E-4</v>
      </c>
      <c r="J487" s="20">
        <f t="shared" si="73"/>
        <v>0</v>
      </c>
      <c r="K487" s="10">
        <f t="shared" si="76"/>
        <v>2.0711361901774028E-3</v>
      </c>
      <c r="L487" s="10">
        <f t="shared" si="77"/>
        <v>1.2426817141064639E-3</v>
      </c>
    </row>
    <row r="488" spans="1:12" x14ac:dyDescent="0.2">
      <c r="A488" s="14">
        <v>0.42299999999999999</v>
      </c>
      <c r="B488" s="10">
        <f t="shared" si="67"/>
        <v>-0.31047008746182153</v>
      </c>
      <c r="C488" s="10">
        <f t="shared" si="68"/>
        <v>2.3906196734560261E-2</v>
      </c>
      <c r="D488" s="10">
        <f t="shared" si="69"/>
        <v>0.87346152951015466</v>
      </c>
      <c r="E488" s="10">
        <f t="shared" si="70"/>
        <v>2.3951875326019048</v>
      </c>
      <c r="F488" s="10">
        <f t="shared" si="74"/>
        <v>4.973336317257715E-3</v>
      </c>
      <c r="G488" s="10">
        <f t="shared" si="71"/>
        <v>-0.88509045549477294</v>
      </c>
      <c r="H488" s="10">
        <f t="shared" si="72"/>
        <v>0.29212402315110009</v>
      </c>
      <c r="I488" s="10">
        <f t="shared" si="75"/>
        <v>2.5782358608622546E-4</v>
      </c>
      <c r="J488" s="20">
        <f t="shared" si="73"/>
        <v>0</v>
      </c>
      <c r="K488" s="10">
        <f t="shared" si="76"/>
        <v>2.0785457061144319E-3</v>
      </c>
      <c r="L488" s="10">
        <f t="shared" si="77"/>
        <v>1.2471274236686147E-3</v>
      </c>
    </row>
    <row r="489" spans="1:12" x14ac:dyDescent="0.2">
      <c r="A489" s="14">
        <v>0.42399999999999999</v>
      </c>
      <c r="B489" s="10">
        <f t="shared" si="67"/>
        <v>-0.30637420546393357</v>
      </c>
      <c r="C489" s="10">
        <f t="shared" si="68"/>
        <v>2.3284439615258955E-2</v>
      </c>
      <c r="D489" s="10">
        <f t="shared" si="69"/>
        <v>0.87554749798958087</v>
      </c>
      <c r="E489" s="10">
        <f t="shared" si="70"/>
        <v>2.4001890329697151</v>
      </c>
      <c r="F489" s="10">
        <f t="shared" si="74"/>
        <v>5.0015003678103298E-3</v>
      </c>
      <c r="G489" s="10">
        <f t="shared" si="71"/>
        <v>-0.88383887440711717</v>
      </c>
      <c r="H489" s="10">
        <f t="shared" si="72"/>
        <v>0.29238290189283023</v>
      </c>
      <c r="I489" s="10">
        <f t="shared" si="75"/>
        <v>2.5887874173013969E-4</v>
      </c>
      <c r="J489" s="20">
        <f t="shared" si="73"/>
        <v>0</v>
      </c>
      <c r="K489" s="10">
        <f t="shared" si="76"/>
        <v>2.0859684794262146E-3</v>
      </c>
      <c r="L489" s="10">
        <f t="shared" si="77"/>
        <v>1.2515810876557731E-3</v>
      </c>
    </row>
    <row r="490" spans="1:12" x14ac:dyDescent="0.2">
      <c r="A490" s="14">
        <v>0.42499999999999999</v>
      </c>
      <c r="B490" s="10">
        <f t="shared" si="67"/>
        <v>-0.30228087187293351</v>
      </c>
      <c r="C490" s="10">
        <f t="shared" si="68"/>
        <v>2.2671065390470018E-2</v>
      </c>
      <c r="D490" s="10">
        <f t="shared" si="69"/>
        <v>0.87764090258187177</v>
      </c>
      <c r="E490" s="10">
        <f t="shared" si="70"/>
        <v>2.4052188626110653</v>
      </c>
      <c r="F490" s="10">
        <f t="shared" si="74"/>
        <v>5.0298296413502364E-3</v>
      </c>
      <c r="G490" s="10">
        <f t="shared" si="71"/>
        <v>-0.88258283165174278</v>
      </c>
      <c r="H490" s="10">
        <f t="shared" si="72"/>
        <v>0.29264283878638669</v>
      </c>
      <c r="I490" s="10">
        <f t="shared" si="75"/>
        <v>2.5993689355646721E-4</v>
      </c>
      <c r="J490" s="20">
        <f t="shared" si="73"/>
        <v>0</v>
      </c>
      <c r="K490" s="10">
        <f t="shared" si="76"/>
        <v>2.0934045922909039E-3</v>
      </c>
      <c r="L490" s="10">
        <f t="shared" si="77"/>
        <v>1.2560427553743869E-3</v>
      </c>
    </row>
    <row r="491" spans="1:12" x14ac:dyDescent="0.2">
      <c r="A491" s="14">
        <v>0.42599999999999999</v>
      </c>
      <c r="B491" s="10">
        <f t="shared" si="67"/>
        <v>-0.29819005005019611</v>
      </c>
      <c r="C491" s="10">
        <f t="shared" si="68"/>
        <v>2.2066063703714514E-2</v>
      </c>
      <c r="D491" s="10">
        <f t="shared" si="69"/>
        <v>0.87974175670929866</v>
      </c>
      <c r="E491" s="10">
        <f t="shared" si="70"/>
        <v>2.4102771881275191</v>
      </c>
      <c r="F491" s="10">
        <f t="shared" si="74"/>
        <v>5.0583255164537988E-3</v>
      </c>
      <c r="G491" s="10">
        <f t="shared" si="71"/>
        <v>-0.88132231917528658</v>
      </c>
      <c r="H491" s="10">
        <f t="shared" si="72"/>
        <v>0.29290383684439386</v>
      </c>
      <c r="I491" s="10">
        <f t="shared" si="75"/>
        <v>2.6099805800716691E-4</v>
      </c>
      <c r="J491" s="20">
        <f t="shared" si="73"/>
        <v>0</v>
      </c>
      <c r="K491" s="10">
        <f t="shared" si="76"/>
        <v>2.1008541274268877E-3</v>
      </c>
      <c r="L491" s="10">
        <f t="shared" si="77"/>
        <v>1.2605124764561992E-3</v>
      </c>
    </row>
    <row r="492" spans="1:12" x14ac:dyDescent="0.2">
      <c r="A492" s="14">
        <v>0.42699999999999999</v>
      </c>
      <c r="B492" s="10">
        <f t="shared" si="67"/>
        <v>-0.29410170348611503</v>
      </c>
      <c r="C492" s="10">
        <f t="shared" si="68"/>
        <v>2.1469424354486399E-2</v>
      </c>
      <c r="D492" s="10">
        <f t="shared" si="69"/>
        <v>0.88185007387740022</v>
      </c>
      <c r="E492" s="10">
        <f t="shared" si="70"/>
        <v>2.4153641775123531</v>
      </c>
      <c r="F492" s="10">
        <f t="shared" si="74"/>
        <v>5.0869893848339842E-3</v>
      </c>
      <c r="G492" s="10">
        <f t="shared" si="71"/>
        <v>-0.88005732887442556</v>
      </c>
      <c r="H492" s="10">
        <f t="shared" si="72"/>
        <v>0.29316589909600704</v>
      </c>
      <c r="I492" s="10">
        <f t="shared" si="75"/>
        <v>2.6206225161318208E-4</v>
      </c>
      <c r="J492" s="20">
        <f t="shared" si="73"/>
        <v>0</v>
      </c>
      <c r="K492" s="10">
        <f t="shared" si="76"/>
        <v>2.1083171681015589E-3</v>
      </c>
      <c r="L492" s="10">
        <f t="shared" si="77"/>
        <v>1.2649903008610242E-3</v>
      </c>
    </row>
    <row r="493" spans="1:12" x14ac:dyDescent="0.2">
      <c r="A493" s="14">
        <v>0.42799999999999999</v>
      </c>
      <c r="B493" s="10">
        <f t="shared" si="67"/>
        <v>-0.2900157957980013</v>
      </c>
      <c r="C493" s="10">
        <f t="shared" si="68"/>
        <v>2.0881137297456095E-2</v>
      </c>
      <c r="D493" s="10">
        <f t="shared" si="69"/>
        <v>0.88396586767553131</v>
      </c>
      <c r="E493" s="10">
        <f t="shared" si="70"/>
        <v>2.4204800001638302</v>
      </c>
      <c r="F493" s="10">
        <f t="shared" si="74"/>
        <v>5.1158226514771421E-3</v>
      </c>
      <c r="G493" s="10">
        <f t="shared" si="71"/>
        <v>-0.87878785259554681</v>
      </c>
      <c r="H493" s="10">
        <f t="shared" si="72"/>
        <v>0.29342902858700221</v>
      </c>
      <c r="I493" s="10">
        <f t="shared" si="75"/>
        <v>2.6312949099516203E-4</v>
      </c>
      <c r="J493" s="20">
        <f t="shared" si="73"/>
        <v>0</v>
      </c>
      <c r="K493" s="10">
        <f t="shared" si="76"/>
        <v>2.1157937981310937E-3</v>
      </c>
      <c r="L493" s="10">
        <f t="shared" si="77"/>
        <v>1.269476278878745E-3</v>
      </c>
    </row>
    <row r="494" spans="1:12" x14ac:dyDescent="0.2">
      <c r="A494" s="14">
        <v>0.42899999999999999</v>
      </c>
      <c r="B494" s="10">
        <f t="shared" si="67"/>
        <v>-0.28593229072799314</v>
      </c>
      <c r="C494" s="10">
        <f t="shared" si="68"/>
        <v>2.0301192641687515E-2</v>
      </c>
      <c r="D494" s="10">
        <f t="shared" si="69"/>
        <v>0.88608915177741876</v>
      </c>
      <c r="E494" s="10">
        <f t="shared" si="70"/>
        <v>2.4256248268986376</v>
      </c>
      <c r="F494" s="10">
        <f t="shared" si="74"/>
        <v>5.1448267348073173E-3</v>
      </c>
      <c r="G494" s="10">
        <f t="shared" si="71"/>
        <v>-0.8775138821344145</v>
      </c>
      <c r="H494" s="10">
        <f t="shared" si="72"/>
        <v>0.29369322837986622</v>
      </c>
      <c r="I494" s="10">
        <f t="shared" si="75"/>
        <v>2.6419979286401718E-4</v>
      </c>
      <c r="J494" s="20">
        <f t="shared" si="73"/>
        <v>0</v>
      </c>
      <c r="K494" s="10">
        <f t="shared" si="76"/>
        <v>2.123284101887446E-3</v>
      </c>
      <c r="L494" s="10">
        <f t="shared" si="77"/>
        <v>1.2739704611323122E-3</v>
      </c>
    </row>
    <row r="495" spans="1:12" x14ac:dyDescent="0.2">
      <c r="A495" s="14">
        <v>0.43</v>
      </c>
      <c r="B495" s="10">
        <f t="shared" si="67"/>
        <v>-0.28185115214098788</v>
      </c>
      <c r="C495" s="10">
        <f t="shared" si="68"/>
        <v>1.9729580649869155E-2</v>
      </c>
      <c r="D495" s="10">
        <f t="shared" si="69"/>
        <v>0.88821993994171722</v>
      </c>
      <c r="E495" s="10">
        <f t="shared" si="70"/>
        <v>2.430798829965461</v>
      </c>
      <c r="F495" s="10">
        <f t="shared" si="74"/>
        <v>5.1740030668234738E-3</v>
      </c>
      <c r="G495" s="10">
        <f t="shared" si="71"/>
        <v>-0.87623540923583543</v>
      </c>
      <c r="H495" s="10">
        <f t="shared" si="72"/>
        <v>0.2939585015538877</v>
      </c>
      <c r="I495" s="10">
        <f t="shared" si="75"/>
        <v>2.6527317402147421E-4</v>
      </c>
      <c r="J495" s="20">
        <f t="shared" si="73"/>
        <v>0</v>
      </c>
      <c r="K495" s="10">
        <f t="shared" si="76"/>
        <v>2.1307881642984583E-3</v>
      </c>
      <c r="L495" s="10">
        <f t="shared" si="77"/>
        <v>1.278472898579075E-3</v>
      </c>
    </row>
    <row r="496" spans="1:12" x14ac:dyDescent="0.2">
      <c r="A496" s="14">
        <v>0.43099999999999999</v>
      </c>
      <c r="B496" s="10">
        <f t="shared" si="67"/>
        <v>-0.277772344022583</v>
      </c>
      <c r="C496" s="10">
        <f t="shared" si="68"/>
        <v>1.9166291737558228E-2</v>
      </c>
      <c r="D496" s="10">
        <f t="shared" si="69"/>
        <v>0.89035824601257429</v>
      </c>
      <c r="E496" s="10">
        <f t="shared" si="70"/>
        <v>2.4360021830587324</v>
      </c>
      <c r="F496" s="10">
        <f t="shared" si="74"/>
        <v>5.2033530932713568E-3</v>
      </c>
      <c r="G496" s="10">
        <f t="shared" si="71"/>
        <v>-0.8749524255933212</v>
      </c>
      <c r="H496" s="10">
        <f t="shared" si="72"/>
        <v>0.29422485120524838</v>
      </c>
      <c r="I496" s="10">
        <f t="shared" si="75"/>
        <v>2.6634965136068667E-4</v>
      </c>
      <c r="J496" s="20">
        <f t="shared" si="73"/>
        <v>0</v>
      </c>
      <c r="K496" s="10">
        <f t="shared" si="76"/>
        <v>2.1383060708570767E-3</v>
      </c>
      <c r="L496" s="10">
        <f t="shared" si="77"/>
        <v>1.2829836425142238E-3</v>
      </c>
    </row>
    <row r="497" spans="1:12" x14ac:dyDescent="0.2">
      <c r="A497" s="14">
        <v>0.432</v>
      </c>
      <c r="B497" s="10">
        <f t="shared" si="67"/>
        <v>-0.27369583047704121</v>
      </c>
      <c r="C497" s="10">
        <f t="shared" si="68"/>
        <v>1.8611316472438803E-2</v>
      </c>
      <c r="D497" s="10">
        <f t="shared" si="69"/>
        <v>0.89250408392019331</v>
      </c>
      <c r="E497" s="10">
        <f t="shared" si="70"/>
        <v>2.441235061332514</v>
      </c>
      <c r="F497" s="10">
        <f t="shared" si="74"/>
        <v>5.2328782737816049E-3</v>
      </c>
      <c r="G497" s="10">
        <f t="shared" si="71"/>
        <v>-0.87366492284874975</v>
      </c>
      <c r="H497" s="10">
        <f t="shared" si="72"/>
        <v>0.29449228044711473</v>
      </c>
      <c r="I497" s="10">
        <f t="shared" si="75"/>
        <v>2.6742924186634598E-4</v>
      </c>
      <c r="J497" s="20">
        <f t="shared" si="73"/>
        <v>0</v>
      </c>
      <c r="K497" s="10">
        <f t="shared" si="76"/>
        <v>2.1458379076190193E-3</v>
      </c>
      <c r="L497" s="10">
        <f t="shared" si="77"/>
        <v>1.287502744571456E-3</v>
      </c>
    </row>
    <row r="498" spans="1:12" x14ac:dyDescent="0.2">
      <c r="A498" s="14">
        <v>0.433</v>
      </c>
      <c r="B498" s="10">
        <f t="shared" si="67"/>
        <v>-0.26962157572526219</v>
      </c>
      <c r="C498" s="10">
        <f t="shared" si="68"/>
        <v>1.8064645573592567E-2</v>
      </c>
      <c r="D498" s="10">
        <f t="shared" si="69"/>
        <v>0.89465746768140664</v>
      </c>
      <c r="E498" s="10">
        <f t="shared" si="70"/>
        <v>2.4464976414145618</v>
      </c>
      <c r="F498" s="10">
        <f t="shared" si="74"/>
        <v>5.2625800820478297E-3</v>
      </c>
      <c r="G498" s="10">
        <f t="shared" si="71"/>
        <v>-0.87237289259202166</v>
      </c>
      <c r="H498" s="10">
        <f t="shared" si="72"/>
        <v>0.29476079240973097</v>
      </c>
      <c r="I498" s="10">
        <f t="shared" si="75"/>
        <v>2.6851196261623578E-4</v>
      </c>
      <c r="J498" s="20">
        <f t="shared" si="73"/>
        <v>0</v>
      </c>
      <c r="K498" s="10">
        <f t="shared" si="76"/>
        <v>2.1533837612133233E-3</v>
      </c>
      <c r="L498" s="10">
        <f t="shared" si="77"/>
        <v>1.2920302567280828E-3</v>
      </c>
    </row>
    <row r="499" spans="1:12" x14ac:dyDescent="0.2">
      <c r="A499" s="14">
        <v>0.434</v>
      </c>
      <c r="B499" s="10">
        <f t="shared" si="67"/>
        <v>-0.2655495441027782</v>
      </c>
      <c r="C499" s="10">
        <f t="shared" si="68"/>
        <v>1.7526269910783362E-2</v>
      </c>
      <c r="D499" s="10">
        <f t="shared" si="69"/>
        <v>0.89681841140024676</v>
      </c>
      <c r="E499" s="10">
        <f t="shared" si="70"/>
        <v>2.4517901014205306</v>
      </c>
      <c r="F499" s="10">
        <f t="shared" si="74"/>
        <v>5.2924600059687243E-3</v>
      </c>
      <c r="G499" s="10">
        <f t="shared" si="71"/>
        <v>-0.87107632636071775</v>
      </c>
      <c r="H499" s="10">
        <f t="shared" si="72"/>
        <v>0.29503039024051142</v>
      </c>
      <c r="I499" s="10">
        <f t="shared" si="75"/>
        <v>2.6959783078045474E-4</v>
      </c>
      <c r="J499" s="20">
        <f t="shared" si="73"/>
        <v>0</v>
      </c>
      <c r="K499" s="10">
        <f t="shared" si="76"/>
        <v>2.1609437188401248E-3</v>
      </c>
      <c r="L499" s="10">
        <f t="shared" si="77"/>
        <v>1.2965662313039195E-3</v>
      </c>
    </row>
    <row r="500" spans="1:12" x14ac:dyDescent="0.2">
      <c r="A500" s="14">
        <v>0.435</v>
      </c>
      <c r="B500" s="10">
        <f t="shared" si="67"/>
        <v>-0.26147970005775673</v>
      </c>
      <c r="C500" s="10">
        <f t="shared" si="68"/>
        <v>1.6996180503754187E-2</v>
      </c>
      <c r="D500" s="10">
        <f t="shared" si="69"/>
        <v>0.89898692926852708</v>
      </c>
      <c r="E500" s="10">
        <f t="shared" si="70"/>
        <v>2.4571126209683571</v>
      </c>
      <c r="F500" s="10">
        <f t="shared" si="74"/>
        <v>5.3225195478265874E-3</v>
      </c>
      <c r="G500" s="10">
        <f t="shared" si="71"/>
        <v>-0.86977521563974947</v>
      </c>
      <c r="H500" s="10">
        <f t="shared" si="72"/>
        <v>0.29530107710413467</v>
      </c>
      <c r="I500" s="10">
        <f t="shared" si="75"/>
        <v>2.7068686362324845E-4</v>
      </c>
      <c r="J500" s="20">
        <f t="shared" si="73"/>
        <v>0</v>
      </c>
      <c r="K500" s="10">
        <f t="shared" si="76"/>
        <v>2.1685178682803175E-3</v>
      </c>
      <c r="L500" s="10">
        <f t="shared" si="77"/>
        <v>1.3011107209682793E-3</v>
      </c>
    </row>
    <row r="501" spans="1:12" x14ac:dyDescent="0.2">
      <c r="A501" s="14">
        <v>0.436</v>
      </c>
      <c r="B501" s="10">
        <f t="shared" si="67"/>
        <v>-0.25741200814902471</v>
      </c>
      <c r="C501" s="10">
        <f t="shared" si="68"/>
        <v>1.647436852153758E-2</v>
      </c>
      <c r="D501" s="10">
        <f t="shared" si="69"/>
        <v>0.90116303556642285</v>
      </c>
      <c r="E501" s="10">
        <f t="shared" si="70"/>
        <v>2.4624653811927977</v>
      </c>
      <c r="F501" s="10">
        <f t="shared" si="74"/>
        <v>5.3527602244405337E-3</v>
      </c>
      <c r="G501" s="10">
        <f t="shared" si="71"/>
        <v>-0.86846955186101193</v>
      </c>
      <c r="H501" s="10">
        <f t="shared" si="72"/>
        <v>0.29557285618263762</v>
      </c>
      <c r="I501" s="10">
        <f t="shared" si="75"/>
        <v>2.7177907850295391E-4</v>
      </c>
      <c r="J501" s="20">
        <f t="shared" si="73"/>
        <v>0</v>
      </c>
      <c r="K501" s="10">
        <f t="shared" si="76"/>
        <v>2.1761062978957746E-3</v>
      </c>
      <c r="L501" s="10">
        <f t="shared" si="77"/>
        <v>1.3056637787375314E-3</v>
      </c>
    </row>
    <row r="502" spans="1:12" x14ac:dyDescent="0.2">
      <c r="A502" s="14">
        <v>0.437</v>
      </c>
      <c r="B502" s="10">
        <f t="shared" si="67"/>
        <v>-0.25334643304410021</v>
      </c>
      <c r="C502" s="10">
        <f t="shared" si="68"/>
        <v>1.5960825281778314E-2</v>
      </c>
      <c r="D502" s="10">
        <f t="shared" si="69"/>
        <v>0.90334674466305942</v>
      </c>
      <c r="E502" s="10">
        <f t="shared" si="70"/>
        <v>2.4678485647601427</v>
      </c>
      <c r="F502" s="10">
        <f t="shared" si="74"/>
        <v>5.3831835673450179E-3</v>
      </c>
      <c r="G502" s="10">
        <f t="shared" si="71"/>
        <v>-0.86715932640303006</v>
      </c>
      <c r="H502" s="10">
        <f t="shared" si="72"/>
        <v>0.29584573067551023</v>
      </c>
      <c r="I502" s="10">
        <f t="shared" si="75"/>
        <v>2.7287449287261012E-4</v>
      </c>
      <c r="J502" s="20">
        <f t="shared" si="73"/>
        <v>0</v>
      </c>
      <c r="K502" s="10">
        <f t="shared" si="76"/>
        <v>2.1837090966365658E-3</v>
      </c>
      <c r="L502" s="10">
        <f t="shared" si="77"/>
        <v>1.3102254579818728E-3</v>
      </c>
    </row>
    <row r="503" spans="1:12" x14ac:dyDescent="0.2">
      <c r="A503" s="14">
        <v>0.438</v>
      </c>
      <c r="B503" s="10">
        <f t="shared" si="67"/>
        <v>-0.24928293951724503</v>
      </c>
      <c r="C503" s="10">
        <f t="shared" si="68"/>
        <v>1.5455542250069192E-2</v>
      </c>
      <c r="D503" s="10">
        <f t="shared" si="69"/>
        <v>0.90553807101710193</v>
      </c>
      <c r="E503" s="10">
        <f t="shared" si="70"/>
        <v>2.4732623558830906</v>
      </c>
      <c r="F503" s="10">
        <f t="shared" si="74"/>
        <v>5.4137911229479307E-3</v>
      </c>
      <c r="G503" s="10">
        <f t="shared" si="71"/>
        <v>-0.86584453059060462</v>
      </c>
      <c r="H503" s="10">
        <f t="shared" si="72"/>
        <v>0.29611970379979086</v>
      </c>
      <c r="I503" s="10">
        <f t="shared" si="75"/>
        <v>2.7397312428062426E-4</v>
      </c>
      <c r="J503" s="20">
        <f t="shared" si="73"/>
        <v>0</v>
      </c>
      <c r="K503" s="10">
        <f t="shared" si="76"/>
        <v>2.191326354042511E-3</v>
      </c>
      <c r="L503" s="10">
        <f t="shared" si="77"/>
        <v>1.31479581242544E-3</v>
      </c>
    </row>
    <row r="504" spans="1:12" x14ac:dyDescent="0.2">
      <c r="A504" s="14">
        <v>0.439</v>
      </c>
      <c r="B504" s="10">
        <f t="shared" si="67"/>
        <v>-0.24522149244752489</v>
      </c>
      <c r="C504" s="10">
        <f t="shared" si="68"/>
        <v>1.4958511039299018E-2</v>
      </c>
      <c r="D504" s="10">
        <f t="shared" si="69"/>
        <v>0.90773702917735244</v>
      </c>
      <c r="E504" s="10">
        <f t="shared" si="70"/>
        <v>2.4787069403358033</v>
      </c>
      <c r="F504" s="10">
        <f t="shared" si="74"/>
        <v>5.4445844527126752E-3</v>
      </c>
      <c r="G504" s="10">
        <f t="shared" si="71"/>
        <v>-0.86452515569445432</v>
      </c>
      <c r="H504" s="10">
        <f t="shared" si="72"/>
        <v>0.29639477879016246</v>
      </c>
      <c r="I504" s="10">
        <f t="shared" si="75"/>
        <v>2.7507499037160432E-4</v>
      </c>
      <c r="J504" s="20">
        <f t="shared" si="73"/>
        <v>0</v>
      </c>
      <c r="K504" s="10">
        <f t="shared" si="76"/>
        <v>2.1989581602505082E-3</v>
      </c>
      <c r="L504" s="10">
        <f t="shared" si="77"/>
        <v>1.3193748961503049E-3</v>
      </c>
    </row>
    <row r="505" spans="1:12" x14ac:dyDescent="0.2">
      <c r="A505" s="14">
        <v>0.44</v>
      </c>
      <c r="B505" s="10">
        <f t="shared" si="67"/>
        <v>-0.2411620568168881</v>
      </c>
      <c r="C505" s="10">
        <f t="shared" si="68"/>
        <v>1.4469723409013285E-2</v>
      </c>
      <c r="D505" s="10">
        <f t="shared" si="69"/>
        <v>0.90994363378334886</v>
      </c>
      <c r="E505" s="10">
        <f t="shared" si="70"/>
        <v>2.4841825054691276</v>
      </c>
      <c r="F505" s="10">
        <f t="shared" si="74"/>
        <v>5.4755651333242561E-3</v>
      </c>
      <c r="G505" s="10">
        <f t="shared" si="71"/>
        <v>-0.8632011929308564</v>
      </c>
      <c r="H505" s="10">
        <f t="shared" si="72"/>
        <v>0.29667095889904915</v>
      </c>
      <c r="I505" s="10">
        <f t="shared" si="75"/>
        <v>2.761801088866922E-4</v>
      </c>
      <c r="J505" s="20">
        <f t="shared" si="73"/>
        <v>0</v>
      </c>
      <c r="K505" s="10">
        <f t="shared" si="76"/>
        <v>2.2066046059964206E-3</v>
      </c>
      <c r="L505" s="10">
        <f t="shared" si="77"/>
        <v>1.323962763597919E-3</v>
      </c>
    </row>
    <row r="506" spans="1:12" x14ac:dyDescent="0.2">
      <c r="A506" s="14">
        <v>0.441</v>
      </c>
      <c r="B506" s="10">
        <f t="shared" si="67"/>
        <v>-0.2371045977082531</v>
      </c>
      <c r="C506" s="10">
        <f t="shared" si="68"/>
        <v>1.3989171264786932E-2</v>
      </c>
      <c r="D506" s="10">
        <f t="shared" si="69"/>
        <v>0.91215789956597104</v>
      </c>
      <c r="E506" s="10">
        <f t="shared" si="70"/>
        <v>2.489689240226002</v>
      </c>
      <c r="F506" s="10">
        <f t="shared" si="74"/>
        <v>5.5067347568744651E-3</v>
      </c>
      <c r="G506" s="10">
        <f t="shared" si="71"/>
        <v>-0.86187263346128307</v>
      </c>
      <c r="H506" s="10">
        <f t="shared" si="72"/>
        <v>0.29694824739671344</v>
      </c>
      <c r="I506" s="10">
        <f t="shared" si="75"/>
        <v>2.7728849766428532E-4</v>
      </c>
      <c r="J506" s="20">
        <f t="shared" si="73"/>
        <v>0</v>
      </c>
      <c r="K506" s="10">
        <f t="shared" si="76"/>
        <v>2.2142657826221823E-3</v>
      </c>
      <c r="L506" s="10">
        <f t="shared" si="77"/>
        <v>1.3285594695733316E-3</v>
      </c>
    </row>
    <row r="507" spans="1:12" x14ac:dyDescent="0.2">
      <c r="A507" s="14">
        <v>0.442</v>
      </c>
      <c r="B507" s="10">
        <f t="shared" si="67"/>
        <v>-0.2330490803036129</v>
      </c>
      <c r="C507" s="10">
        <f t="shared" si="68"/>
        <v>1.3516846657609547E-2</v>
      </c>
      <c r="D507" s="10">
        <f t="shared" si="69"/>
        <v>0.91437984134804839</v>
      </c>
      <c r="E507" s="10">
        <f t="shared" si="70"/>
        <v>2.4952273351570327</v>
      </c>
      <c r="F507" s="10">
        <f t="shared" si="74"/>
        <v>5.5380949310306349E-3</v>
      </c>
      <c r="G507" s="10">
        <f t="shared" si="71"/>
        <v>-0.86053946839203677</v>
      </c>
      <c r="H507" s="10">
        <f t="shared" si="72"/>
        <v>0.29722664757135392</v>
      </c>
      <c r="I507" s="10">
        <f t="shared" si="75"/>
        <v>2.7840017464048072E-4</v>
      </c>
      <c r="J507" s="20">
        <f t="shared" si="73"/>
        <v>0</v>
      </c>
      <c r="K507" s="10">
        <f t="shared" si="76"/>
        <v>2.2219417820773524E-3</v>
      </c>
      <c r="L507" s="10">
        <f t="shared" si="77"/>
        <v>1.3331650692463004E-3</v>
      </c>
    </row>
    <row r="508" spans="1:12" x14ac:dyDescent="0.2">
      <c r="A508" s="14">
        <v>0.443</v>
      </c>
      <c r="B508" s="10">
        <f t="shared" si="67"/>
        <v>-0.22899546988214825</v>
      </c>
      <c r="C508" s="10">
        <f t="shared" si="68"/>
        <v>1.3052741783282449E-2</v>
      </c>
      <c r="D508" s="10">
        <f t="shared" si="69"/>
        <v>0.91660947404497561</v>
      </c>
      <c r="E508" s="10">
        <f t="shared" si="70"/>
        <v>2.5007969824362597</v>
      </c>
      <c r="F508" s="10">
        <f t="shared" si="74"/>
        <v>5.5696472792270413E-3</v>
      </c>
      <c r="G508" s="10">
        <f t="shared" si="71"/>
        <v>-0.85920168877388048</v>
      </c>
      <c r="H508" s="10">
        <f t="shared" si="72"/>
        <v>0.29750616272920416</v>
      </c>
      <c r="I508" s="10">
        <f t="shared" si="75"/>
        <v>2.7951515785024084E-4</v>
      </c>
      <c r="J508" s="20">
        <f t="shared" si="73"/>
        <v>0</v>
      </c>
      <c r="K508" s="10">
        <f t="shared" si="76"/>
        <v>2.2296326969272195E-3</v>
      </c>
      <c r="L508" s="10">
        <f t="shared" si="77"/>
        <v>1.3377796181562873E-3</v>
      </c>
    </row>
    <row r="509" spans="1:12" x14ac:dyDescent="0.2">
      <c r="A509" s="14">
        <v>0.44400000000000001</v>
      </c>
      <c r="B509" s="10">
        <f t="shared" si="67"/>
        <v>-0.22494373181835772</v>
      </c>
      <c r="C509" s="10">
        <f t="shared" si="68"/>
        <v>1.2596848981828031E-2</v>
      </c>
      <c r="D509" s="10">
        <f t="shared" si="69"/>
        <v>0.91884681266532964</v>
      </c>
      <c r="E509" s="10">
        <f t="shared" si="70"/>
        <v>2.5063983758770987</v>
      </c>
      <c r="F509" s="10">
        <f t="shared" si="74"/>
        <v>5.6013934408389865E-3</v>
      </c>
      <c r="G509" s="10">
        <f t="shared" si="71"/>
        <v>-0.85785928560166802</v>
      </c>
      <c r="H509" s="10">
        <f t="shared" si="72"/>
        <v>0.29778679619463144</v>
      </c>
      <c r="I509" s="10">
        <f t="shared" si="75"/>
        <v>2.806334654272824E-4</v>
      </c>
      <c r="J509" s="20">
        <f t="shared" si="73"/>
        <v>0</v>
      </c>
      <c r="K509" s="10">
        <f t="shared" si="76"/>
        <v>2.2373386203540235E-3</v>
      </c>
      <c r="L509" s="10">
        <f t="shared" si="77"/>
        <v>1.3424031722124585E-3</v>
      </c>
    </row>
    <row r="510" spans="1:12" x14ac:dyDescent="0.2">
      <c r="A510" s="14">
        <v>0.44500000000000001</v>
      </c>
      <c r="B510" s="10">
        <f t="shared" si="67"/>
        <v>-0.22089383158019413</v>
      </c>
      <c r="C510" s="10">
        <f t="shared" si="68"/>
        <v>1.2149160736910676E-2</v>
      </c>
      <c r="D510" s="10">
        <f t="shared" si="69"/>
        <v>0.92109187231149536</v>
      </c>
      <c r="E510" s="10">
        <f t="shared" si="70"/>
        <v>2.5120317109484787</v>
      </c>
      <c r="F510" s="10">
        <f t="shared" si="74"/>
        <v>5.6333350713799746E-3</v>
      </c>
      <c r="G510" s="10">
        <f t="shared" si="71"/>
        <v>-0.85651224981396856</v>
      </c>
      <c r="H510" s="10">
        <f t="shared" si="72"/>
        <v>0.29806855131023691</v>
      </c>
      <c r="I510" s="10">
        <f t="shared" si="75"/>
        <v>2.8175511560546429E-4</v>
      </c>
      <c r="J510" s="20">
        <f t="shared" si="73"/>
        <v>0</v>
      </c>
      <c r="K510" s="10">
        <f t="shared" si="76"/>
        <v>2.2450596461657257E-3</v>
      </c>
      <c r="L510" s="10">
        <f t="shared" si="77"/>
        <v>1.3470357876994576E-3</v>
      </c>
    </row>
    <row r="511" spans="1:12" x14ac:dyDescent="0.2">
      <c r="A511" s="14">
        <v>0.44600000000000001</v>
      </c>
      <c r="B511" s="10">
        <f t="shared" si="67"/>
        <v>-0.21684573472721988</v>
      </c>
      <c r="C511" s="10">
        <f t="shared" si="68"/>
        <v>1.1709669675269872E-2</v>
      </c>
      <c r="D511" s="10">
        <f t="shared" si="69"/>
        <v>0.92334466818029148</v>
      </c>
      <c r="E511" s="10">
        <f t="shared" si="70"/>
        <v>2.5176971847911567</v>
      </c>
      <c r="F511" s="10">
        <f t="shared" si="74"/>
        <v>5.6654738426780149E-3</v>
      </c>
      <c r="G511" s="10">
        <f t="shared" si="71"/>
        <v>-0.85516057229269082</v>
      </c>
      <c r="H511" s="10">
        <f t="shared" si="72"/>
        <v>0.29835143143695569</v>
      </c>
      <c r="I511" s="10">
        <f t="shared" si="75"/>
        <v>2.8288012671878748E-4</v>
      </c>
      <c r="J511" s="20">
        <f t="shared" si="73"/>
        <v>0</v>
      </c>
      <c r="K511" s="10">
        <f t="shared" si="76"/>
        <v>2.2527958687961203E-3</v>
      </c>
      <c r="L511" s="10">
        <f t="shared" si="77"/>
        <v>1.3516775212777388E-3</v>
      </c>
    </row>
    <row r="512" spans="1:12" x14ac:dyDescent="0.2">
      <c r="A512" s="14">
        <v>0.44700000000000001</v>
      </c>
      <c r="B512" s="10">
        <f t="shared" si="67"/>
        <v>-0.21279940690876589</v>
      </c>
      <c r="C512" s="10">
        <f t="shared" si="68"/>
        <v>1.1278368566164591E-2</v>
      </c>
      <c r="D512" s="10">
        <f t="shared" si="69"/>
        <v>0.92560521556360709</v>
      </c>
      <c r="E512" s="10">
        <f t="shared" si="70"/>
        <v>2.5233949962342384</v>
      </c>
      <c r="F512" s="10">
        <f t="shared" si="74"/>
        <v>5.6978114430816795E-3</v>
      </c>
      <c r="G512" s="10">
        <f t="shared" si="71"/>
        <v>-0.85380424386270148</v>
      </c>
      <c r="H512" s="10">
        <f t="shared" si="72"/>
        <v>0.29863543995415842</v>
      </c>
      <c r="I512" s="10">
        <f t="shared" si="75"/>
        <v>2.8400851720272735E-4</v>
      </c>
      <c r="J512" s="20">
        <f t="shared" si="73"/>
        <v>0</v>
      </c>
      <c r="K512" s="10">
        <f t="shared" si="76"/>
        <v>2.2605473833156031E-3</v>
      </c>
      <c r="L512" s="10">
        <f t="shared" si="77"/>
        <v>1.3563284299893397E-3</v>
      </c>
    </row>
    <row r="513" spans="1:12" x14ac:dyDescent="0.2">
      <c r="A513" s="14">
        <v>0.44800000000000001</v>
      </c>
      <c r="B513" s="10">
        <f t="shared" si="67"/>
        <v>-0.20875481386211023</v>
      </c>
      <c r="C513" s="10">
        <f t="shared" si="68"/>
        <v>1.0855250320829729E-2</v>
      </c>
      <c r="D513" s="10">
        <f t="shared" si="69"/>
        <v>0.92787352984903682</v>
      </c>
      <c r="E513" s="10">
        <f t="shared" si="70"/>
        <v>2.5291253458118756</v>
      </c>
      <c r="F513" s="10">
        <f t="shared" si="74"/>
        <v>5.7303495776372948E-3</v>
      </c>
      <c r="G513" s="10">
        <f t="shared" si="71"/>
        <v>-0.85244325529144371</v>
      </c>
      <c r="H513" s="10">
        <f t="shared" si="72"/>
        <v>0.29892058025975249</v>
      </c>
      <c r="I513" s="10">
        <f t="shared" si="75"/>
        <v>2.8514030559406711E-4</v>
      </c>
      <c r="J513" s="20">
        <f t="shared" si="73"/>
        <v>0</v>
      </c>
      <c r="K513" s="10">
        <f t="shared" si="76"/>
        <v>2.2683142854297289E-3</v>
      </c>
      <c r="L513" s="10">
        <f t="shared" si="77"/>
        <v>1.3609885712577707E-3</v>
      </c>
    </row>
    <row r="514" spans="1:12" x14ac:dyDescent="0.2">
      <c r="A514" s="14">
        <v>0.44900000000000001</v>
      </c>
      <c r="B514" s="10">
        <f t="shared" ref="B514:B577" si="78">LN(A514/(1-A514))</f>
        <v>-0.20471192141066002</v>
      </c>
      <c r="C514" s="10">
        <f t="shared" ref="C514:C577" si="79">(A514-0.5)*B514</f>
        <v>1.0440307991943659E-2</v>
      </c>
      <c r="D514" s="10">
        <f t="shared" ref="D514:D577" si="80">$B$45+$B$46*B514+$B$47*C514</f>
        <v>0.9301496265205268</v>
      </c>
      <c r="E514" s="10">
        <f t="shared" ref="E514:E577" si="81">$B$14+EXP(D514)</f>
        <v>2.5348884357801769</v>
      </c>
      <c r="F514" s="10">
        <f t="shared" si="74"/>
        <v>5.763089968301216E-3</v>
      </c>
      <c r="G514" s="10">
        <f t="shared" ref="G514:G577" si="82">$C$45+$C$46*B514+$C$47*C514</f>
        <v>-0.85107759728854959</v>
      </c>
      <c r="H514" s="10">
        <f t="shared" ref="H514:H577" si="83">$C$14+($C$15-$C$14)/(1+EXP(-G514))</f>
        <v>0.29920685577028516</v>
      </c>
      <c r="I514" s="10">
        <f t="shared" si="75"/>
        <v>2.8627551053267419E-4</v>
      </c>
      <c r="J514" s="20">
        <f t="shared" ref="J514:J577" si="84">G514-($B$22+$B$21*D514)</f>
        <v>0</v>
      </c>
      <c r="K514" s="10">
        <f t="shared" si="76"/>
        <v>2.27609667148998E-3</v>
      </c>
      <c r="L514" s="10">
        <f t="shared" si="77"/>
        <v>1.3656580028941212E-3</v>
      </c>
    </row>
    <row r="515" spans="1:12" x14ac:dyDescent="0.2">
      <c r="A515" s="14">
        <v>0.45</v>
      </c>
      <c r="B515" s="10">
        <f t="shared" si="78"/>
        <v>-0.20067069546215124</v>
      </c>
      <c r="C515" s="10">
        <f t="shared" si="79"/>
        <v>1.0033534773107561E-2</v>
      </c>
      <c r="D515" s="10">
        <f t="shared" si="80"/>
        <v>0.93243352115902212</v>
      </c>
      <c r="E515" s="10">
        <f t="shared" si="81"/>
        <v>2.540684470134305</v>
      </c>
      <c r="F515" s="10">
        <f t="shared" ref="F515:F578" si="85">E515-E514</f>
        <v>5.7960343541281212E-3</v>
      </c>
      <c r="G515" s="10">
        <f t="shared" si="82"/>
        <v>-0.84970726050545253</v>
      </c>
      <c r="H515" s="10">
        <f t="shared" si="83"/>
        <v>0.29949426992104583</v>
      </c>
      <c r="I515" s="10">
        <f t="shared" ref="I515:I578" si="86">H515-H514</f>
        <v>2.8741415076066756E-4</v>
      </c>
      <c r="J515" s="20">
        <f t="shared" si="84"/>
        <v>0</v>
      </c>
      <c r="K515" s="10">
        <f t="shared" ref="K515:K578" si="87">D515-D514</f>
        <v>2.2838946384953207E-3</v>
      </c>
      <c r="L515" s="10">
        <f t="shared" ref="L515:L578" si="88">G515-G514</f>
        <v>1.3703367830970592E-3</v>
      </c>
    </row>
    <row r="516" spans="1:12" x14ac:dyDescent="0.2">
      <c r="A516" s="14">
        <v>0.45100000000000001</v>
      </c>
      <c r="B516" s="10">
        <f t="shared" si="78"/>
        <v>-0.19663110200685208</v>
      </c>
      <c r="C516" s="10">
        <f t="shared" si="79"/>
        <v>9.6349239983357492E-3</v>
      </c>
      <c r="D516" s="10">
        <f t="shared" si="80"/>
        <v>0.93472522944312131</v>
      </c>
      <c r="E516" s="10">
        <f t="shared" si="81"/>
        <v>2.5465136546257843</v>
      </c>
      <c r="F516" s="10">
        <f t="shared" si="85"/>
        <v>5.829184491479289E-3</v>
      </c>
      <c r="G516" s="10">
        <f t="shared" si="82"/>
        <v>-0.84833223553499293</v>
      </c>
      <c r="H516" s="10">
        <f t="shared" si="83"/>
        <v>0.29978282616617097</v>
      </c>
      <c r="I516" s="10">
        <f t="shared" si="86"/>
        <v>2.8855624512513778E-4</v>
      </c>
      <c r="J516" s="20">
        <f t="shared" si="84"/>
        <v>0</v>
      </c>
      <c r="K516" s="10">
        <f t="shared" si="87"/>
        <v>2.291708284099192E-3</v>
      </c>
      <c r="L516" s="10">
        <f t="shared" si="88"/>
        <v>1.375024970459604E-3</v>
      </c>
    </row>
    <row r="517" spans="1:12" x14ac:dyDescent="0.2">
      <c r="A517" s="14">
        <v>0.45200000000000001</v>
      </c>
      <c r="B517" s="10">
        <f t="shared" si="78"/>
        <v>-0.19259310711578437</v>
      </c>
      <c r="C517" s="10">
        <f t="shared" si="79"/>
        <v>9.2444691415576475E-3</v>
      </c>
      <c r="D517" s="10">
        <f t="shared" si="80"/>
        <v>0.93702476714973515</v>
      </c>
      <c r="E517" s="10">
        <f t="shared" si="81"/>
        <v>2.5523761967800085</v>
      </c>
      <c r="F517" s="10">
        <f t="shared" si="85"/>
        <v>5.8625421542242151E-3</v>
      </c>
      <c r="G517" s="10">
        <f t="shared" si="82"/>
        <v>-0.84695251291102469</v>
      </c>
      <c r="H517" s="10">
        <f t="shared" si="83"/>
        <v>0.30007252797874762</v>
      </c>
      <c r="I517" s="10">
        <f t="shared" si="86"/>
        <v>2.8970181257664818E-4</v>
      </c>
      <c r="J517" s="20">
        <f t="shared" si="84"/>
        <v>0</v>
      </c>
      <c r="K517" s="10">
        <f t="shared" si="87"/>
        <v>2.2995377066138412E-3</v>
      </c>
      <c r="L517" s="10">
        <f t="shared" si="88"/>
        <v>1.3797226239682381E-3</v>
      </c>
    </row>
    <row r="518" spans="1:12" x14ac:dyDescent="0.2">
      <c r="A518" s="14">
        <v>0.45300000000000001</v>
      </c>
      <c r="B518" s="10">
        <f t="shared" si="78"/>
        <v>-0.18855667693894701</v>
      </c>
      <c r="C518" s="10">
        <f t="shared" si="79"/>
        <v>8.8621638161305062E-3</v>
      </c>
      <c r="D518" s="10">
        <f t="shared" si="80"/>
        <v>0.93933215015475169</v>
      </c>
      <c r="E518" s="10">
        <f t="shared" si="81"/>
        <v>2.5582723059139583</v>
      </c>
      <c r="F518" s="10">
        <f t="shared" si="85"/>
        <v>5.8961091339497784E-3</v>
      </c>
      <c r="G518" s="10">
        <f t="shared" si="82"/>
        <v>-0.84556808310801479</v>
      </c>
      <c r="H518" s="10">
        <f t="shared" si="83"/>
        <v>0.30036337885091929</v>
      </c>
      <c r="I518" s="10">
        <f t="shared" si="86"/>
        <v>2.9085087217167738E-4</v>
      </c>
      <c r="J518" s="20">
        <f t="shared" si="84"/>
        <v>0</v>
      </c>
      <c r="K518" s="10">
        <f t="shared" si="87"/>
        <v>2.3073830050165389E-3</v>
      </c>
      <c r="L518" s="10">
        <f t="shared" si="88"/>
        <v>1.3844298030099011E-3</v>
      </c>
    </row>
    <row r="519" spans="1:12" x14ac:dyDescent="0.2">
      <c r="A519" s="14">
        <v>0.45400000000000001</v>
      </c>
      <c r="B519" s="10">
        <f t="shared" si="78"/>
        <v>-0.18452177770355713</v>
      </c>
      <c r="C519" s="10">
        <f t="shared" si="79"/>
        <v>8.4880017743636255E-3</v>
      </c>
      <c r="D519" s="10">
        <f t="shared" si="80"/>
        <v>0.94164739443370549</v>
      </c>
      <c r="E519" s="10">
        <f t="shared" si="81"/>
        <v>2.5642021931541263</v>
      </c>
      <c r="F519" s="10">
        <f t="shared" si="85"/>
        <v>5.9298872401680747E-3</v>
      </c>
      <c r="G519" s="10">
        <f t="shared" si="82"/>
        <v>-0.84417893654064247</v>
      </c>
      <c r="H519" s="10">
        <f t="shared" si="83"/>
        <v>0.30065538229399158</v>
      </c>
      <c r="I519" s="10">
        <f t="shared" si="86"/>
        <v>2.9200344307228621E-4</v>
      </c>
      <c r="J519" s="20">
        <f t="shared" si="84"/>
        <v>0</v>
      </c>
      <c r="K519" s="10">
        <f t="shared" si="87"/>
        <v>2.3152442789537986E-3</v>
      </c>
      <c r="L519" s="10">
        <f t="shared" si="88"/>
        <v>1.3891465673723236E-3</v>
      </c>
    </row>
    <row r="520" spans="1:12" x14ac:dyDescent="0.2">
      <c r="A520" s="14">
        <v>0.45500000000000002</v>
      </c>
      <c r="B520" s="10">
        <f t="shared" si="78"/>
        <v>-0.18048837571229354</v>
      </c>
      <c r="C520" s="10">
        <f t="shared" si="79"/>
        <v>8.1219769070532064E-3</v>
      </c>
      <c r="D520" s="10">
        <f t="shared" si="80"/>
        <v>0.94397051606245475</v>
      </c>
      <c r="E520" s="10">
        <f t="shared" si="81"/>
        <v>2.5701660714546635</v>
      </c>
      <c r="F520" s="10">
        <f t="shared" si="85"/>
        <v>5.9638783005371288E-3</v>
      </c>
      <c r="G520" s="10">
        <f t="shared" si="82"/>
        <v>-0.84278506356339289</v>
      </c>
      <c r="H520" s="10">
        <f t="shared" si="83"/>
        <v>0.30094854183853903</v>
      </c>
      <c r="I520" s="10">
        <f t="shared" si="86"/>
        <v>2.9315954454744997E-4</v>
      </c>
      <c r="J520" s="20">
        <f t="shared" si="84"/>
        <v>0</v>
      </c>
      <c r="K520" s="10">
        <f t="shared" si="87"/>
        <v>2.3231216287492584E-3</v>
      </c>
      <c r="L520" s="10">
        <f t="shared" si="88"/>
        <v>1.3938729772495773E-3</v>
      </c>
    </row>
    <row r="521" spans="1:12" x14ac:dyDescent="0.2">
      <c r="A521" s="14">
        <v>0.45600000000000002</v>
      </c>
      <c r="B521" s="10">
        <f t="shared" si="78"/>
        <v>-0.17645643734155653</v>
      </c>
      <c r="C521" s="10">
        <f t="shared" si="79"/>
        <v>7.7640832430284842E-3</v>
      </c>
      <c r="D521" s="10">
        <f t="shared" si="80"/>
        <v>0.94630153121786043</v>
      </c>
      <c r="E521" s="10">
        <f t="shared" si="81"/>
        <v>2.5761641556157269</v>
      </c>
      <c r="F521" s="10">
        <f t="shared" si="85"/>
        <v>5.9980841610633995E-3</v>
      </c>
      <c r="G521" s="10">
        <f t="shared" si="82"/>
        <v>-0.84138645447014948</v>
      </c>
      <c r="H521" s="10">
        <f t="shared" si="83"/>
        <v>0.30124286103451231</v>
      </c>
      <c r="I521" s="10">
        <f t="shared" si="86"/>
        <v>2.9431919597328049E-4</v>
      </c>
      <c r="J521" s="20">
        <f t="shared" si="84"/>
        <v>0</v>
      </c>
      <c r="K521" s="10">
        <f t="shared" si="87"/>
        <v>2.3310151554056802E-3</v>
      </c>
      <c r="L521" s="10">
        <f t="shared" si="88"/>
        <v>1.3986090932434081E-3</v>
      </c>
    </row>
    <row r="522" spans="1:12" x14ac:dyDescent="0.2">
      <c r="A522" s="14">
        <v>0.45700000000000002</v>
      </c>
      <c r="B522" s="10">
        <f t="shared" si="78"/>
        <v>-0.17242592903973053</v>
      </c>
      <c r="C522" s="10">
        <f t="shared" si="79"/>
        <v>7.4143149487084095E-3</v>
      </c>
      <c r="D522" s="10">
        <f t="shared" si="80"/>
        <v>0.94864045617847481</v>
      </c>
      <c r="E522" s="10">
        <f t="shared" si="81"/>
        <v>2.5821966623020645</v>
      </c>
      <c r="F522" s="10">
        <f t="shared" si="85"/>
        <v>6.0325066863375909E-3</v>
      </c>
      <c r="G522" s="10">
        <f t="shared" si="82"/>
        <v>-0.8399830994937808</v>
      </c>
      <c r="H522" s="10">
        <f t="shared" si="83"/>
        <v>0.30153834345134656</v>
      </c>
      <c r="I522" s="10">
        <f t="shared" si="86"/>
        <v>2.9548241683424736E-4</v>
      </c>
      <c r="J522" s="20">
        <f t="shared" si="84"/>
        <v>0</v>
      </c>
      <c r="K522" s="10">
        <f t="shared" si="87"/>
        <v>2.3389249606143858E-3</v>
      </c>
      <c r="L522" s="10">
        <f t="shared" si="88"/>
        <v>1.4033549763686759E-3</v>
      </c>
    </row>
    <row r="523" spans="1:12" x14ac:dyDescent="0.2">
      <c r="A523" s="14">
        <v>0.45800000000000002</v>
      </c>
      <c r="B523" s="10">
        <f t="shared" si="78"/>
        <v>-0.16839681732546127</v>
      </c>
      <c r="C523" s="10">
        <f t="shared" si="79"/>
        <v>7.0726663276693708E-3</v>
      </c>
      <c r="D523" s="10">
        <f t="shared" si="80"/>
        <v>0.95098730732523251</v>
      </c>
      <c r="E523" s="10">
        <f t="shared" si="81"/>
        <v>2.5882638100618069</v>
      </c>
      <c r="F523" s="10">
        <f t="shared" si="85"/>
        <v>6.0671477597424861E-3</v>
      </c>
      <c r="G523" s="10">
        <f t="shared" si="82"/>
        <v>-0.83857498880572623</v>
      </c>
      <c r="H523" s="10">
        <f t="shared" si="83"/>
        <v>0.30183499267807012</v>
      </c>
      <c r="I523" s="10">
        <f t="shared" si="86"/>
        <v>2.9664922672356653E-4</v>
      </c>
      <c r="J523" s="20">
        <f t="shared" si="84"/>
        <v>0</v>
      </c>
      <c r="K523" s="10">
        <f t="shared" si="87"/>
        <v>2.3468511467577002E-3</v>
      </c>
      <c r="L523" s="10">
        <f t="shared" si="88"/>
        <v>1.4081106880545757E-3</v>
      </c>
    </row>
    <row r="524" spans="1:12" x14ac:dyDescent="0.2">
      <c r="A524" s="14">
        <v>0.45900000000000002</v>
      </c>
      <c r="B524" s="10">
        <f t="shared" si="78"/>
        <v>-0.16436906878593613</v>
      </c>
      <c r="C524" s="10">
        <f t="shared" si="79"/>
        <v>6.7391318202233786E-3</v>
      </c>
      <c r="D524" s="10">
        <f t="shared" si="80"/>
        <v>0.95334210114215068</v>
      </c>
      <c r="E524" s="10">
        <f t="shared" si="81"/>
        <v>2.5943658193454953</v>
      </c>
      <c r="F524" s="10">
        <f t="shared" si="85"/>
        <v>6.1020092836883144E-3</v>
      </c>
      <c r="G524" s="10">
        <f t="shared" si="82"/>
        <v>-0.83716211251557526</v>
      </c>
      <c r="H524" s="10">
        <f t="shared" si="83"/>
        <v>0.30213281232341432</v>
      </c>
      <c r="I524" s="10">
        <f t="shared" si="86"/>
        <v>2.9781964534419947E-4</v>
      </c>
      <c r="J524" s="20">
        <f t="shared" si="84"/>
        <v>0</v>
      </c>
      <c r="K524" s="10">
        <f t="shared" si="87"/>
        <v>2.3547938169181659E-3</v>
      </c>
      <c r="L524" s="10">
        <f t="shared" si="88"/>
        <v>1.4128762901509662E-3</v>
      </c>
    </row>
    <row r="525" spans="1:12" x14ac:dyDescent="0.2">
      <c r="A525" s="14">
        <v>0.46</v>
      </c>
      <c r="B525" s="10">
        <f t="shared" si="78"/>
        <v>-0.16034265007517937</v>
      </c>
      <c r="C525" s="10">
        <f t="shared" si="79"/>
        <v>6.4137060030071717E-3</v>
      </c>
      <c r="D525" s="10">
        <f t="shared" si="80"/>
        <v>0.95570485421703089</v>
      </c>
      <c r="E525" s="10">
        <f t="shared" si="81"/>
        <v>2.6005029125253301</v>
      </c>
      <c r="F525" s="10">
        <f t="shared" si="85"/>
        <v>6.1370931798347961E-3</v>
      </c>
      <c r="G525" s="10">
        <f t="shared" si="82"/>
        <v>-0.83574446067064712</v>
      </c>
      <c r="H525" s="10">
        <f t="shared" si="83"/>
        <v>0.30243180601592334</v>
      </c>
      <c r="I525" s="10">
        <f t="shared" si="86"/>
        <v>2.9899369250901975E-4</v>
      </c>
      <c r="J525" s="20">
        <f t="shared" si="84"/>
        <v>0</v>
      </c>
      <c r="K525" s="10">
        <f t="shared" si="87"/>
        <v>2.3627530748802084E-3</v>
      </c>
      <c r="L525" s="10">
        <f t="shared" si="88"/>
        <v>1.4176518449281472E-3</v>
      </c>
    </row>
    <row r="526" spans="1:12" x14ac:dyDescent="0.2">
      <c r="A526" s="14">
        <v>0.46100000000000002</v>
      </c>
      <c r="B526" s="10">
        <f t="shared" si="78"/>
        <v>-0.15631752791234846</v>
      </c>
      <c r="C526" s="10">
        <f t="shared" si="79"/>
        <v>6.0963835885815866E-3</v>
      </c>
      <c r="D526" s="10">
        <f t="shared" si="80"/>
        <v>0.95807558324217201</v>
      </c>
      <c r="E526" s="10">
        <f t="shared" si="81"/>
        <v>2.6066753139146579</v>
      </c>
      <c r="F526" s="10">
        <f t="shared" si="85"/>
        <v>6.1724013893278418E-3</v>
      </c>
      <c r="G526" s="10">
        <f t="shared" si="82"/>
        <v>-0.83432202325556248</v>
      </c>
      <c r="H526" s="10">
        <f t="shared" si="83"/>
        <v>0.30273197740406621</v>
      </c>
      <c r="I526" s="10">
        <f t="shared" si="86"/>
        <v>3.0017138814286692E-4</v>
      </c>
      <c r="J526" s="20">
        <f t="shared" si="84"/>
        <v>0</v>
      </c>
      <c r="K526" s="10">
        <f t="shared" si="87"/>
        <v>2.3707290251411273E-3</v>
      </c>
      <c r="L526" s="10">
        <f t="shared" si="88"/>
        <v>1.422437415084632E-3</v>
      </c>
    </row>
    <row r="527" spans="1:12" x14ac:dyDescent="0.2">
      <c r="A527" s="14">
        <v>0.46200000000000002</v>
      </c>
      <c r="B527" s="10">
        <f t="shared" si="78"/>
        <v>-0.15229366908004557</v>
      </c>
      <c r="C527" s="10">
        <f t="shared" si="79"/>
        <v>5.7871594250417284E-3</v>
      </c>
      <c r="D527" s="10">
        <f t="shared" si="80"/>
        <v>0.960454305015084</v>
      </c>
      <c r="E527" s="10">
        <f t="shared" si="81"/>
        <v>2.6128832497876862</v>
      </c>
      <c r="F527" s="10">
        <f t="shared" si="85"/>
        <v>6.2079358730282586E-3</v>
      </c>
      <c r="G527" s="10">
        <f t="shared" si="82"/>
        <v>-0.83289479019181534</v>
      </c>
      <c r="H527" s="10">
        <f t="shared" si="83"/>
        <v>0.30303333015634787</v>
      </c>
      <c r="I527" s="10">
        <f t="shared" si="86"/>
        <v>3.0135275228165836E-4</v>
      </c>
      <c r="J527" s="20">
        <f t="shared" si="84"/>
        <v>0</v>
      </c>
      <c r="K527" s="10">
        <f t="shared" si="87"/>
        <v>2.3787217729119847E-3</v>
      </c>
      <c r="L527" s="10">
        <f t="shared" si="88"/>
        <v>1.4272330637471464E-3</v>
      </c>
    </row>
    <row r="528" spans="1:12" x14ac:dyDescent="0.2">
      <c r="A528" s="14">
        <v>0.46300000000000002</v>
      </c>
      <c r="B528" s="10">
        <f t="shared" si="78"/>
        <v>-0.14827104042263045</v>
      </c>
      <c r="C528" s="10">
        <f t="shared" si="79"/>
        <v>5.4860284956373233E-3</v>
      </c>
      <c r="D528" s="10">
        <f t="shared" si="80"/>
        <v>0.96284103643921226</v>
      </c>
      <c r="E528" s="10">
        <f t="shared" si="81"/>
        <v>2.6191269483994439</v>
      </c>
      <c r="F528" s="10">
        <f t="shared" si="85"/>
        <v>6.2436986117577753E-3</v>
      </c>
      <c r="G528" s="10">
        <f t="shared" si="82"/>
        <v>-0.83146275133733838</v>
      </c>
      <c r="H528" s="10">
        <f t="shared" si="83"/>
        <v>0.30333586796142248</v>
      </c>
      <c r="I528" s="10">
        <f t="shared" si="86"/>
        <v>3.025378050746097E-4</v>
      </c>
      <c r="J528" s="20">
        <f t="shared" si="84"/>
        <v>0</v>
      </c>
      <c r="K528" s="10">
        <f t="shared" si="87"/>
        <v>2.3867314241282633E-3</v>
      </c>
      <c r="L528" s="10">
        <f t="shared" si="88"/>
        <v>1.432038854476958E-3</v>
      </c>
    </row>
    <row r="529" spans="1:12" x14ac:dyDescent="0.2">
      <c r="A529" s="14">
        <v>0.46400000000000002</v>
      </c>
      <c r="B529" s="10">
        <f t="shared" si="78"/>
        <v>-0.14424960884454679</v>
      </c>
      <c r="C529" s="10">
        <f t="shared" si="79"/>
        <v>5.192985918403681E-3</v>
      </c>
      <c r="D529" s="10">
        <f t="shared" si="80"/>
        <v>0.96523579452466435</v>
      </c>
      <c r="E529" s="10">
        <f t="shared" si="81"/>
        <v>2.6254066400059743</v>
      </c>
      <c r="F529" s="10">
        <f t="shared" si="85"/>
        <v>6.2796916065304131E-3</v>
      </c>
      <c r="G529" s="10">
        <f t="shared" si="82"/>
        <v>-0.83002589648606706</v>
      </c>
      <c r="H529" s="10">
        <f t="shared" si="83"/>
        <v>0.30363959452820627</v>
      </c>
      <c r="I529" s="10">
        <f t="shared" si="86"/>
        <v>3.0372656678379073E-4</v>
      </c>
      <c r="J529" s="20">
        <f t="shared" si="84"/>
        <v>0</v>
      </c>
      <c r="K529" s="10">
        <f t="shared" si="87"/>
        <v>2.3947580854520867E-3</v>
      </c>
      <c r="L529" s="10">
        <f t="shared" si="88"/>
        <v>1.4368548512713186E-3</v>
      </c>
    </row>
    <row r="530" spans="1:12" x14ac:dyDescent="0.2">
      <c r="A530" s="14">
        <v>0.46500000000000002</v>
      </c>
      <c r="B530" s="10">
        <f t="shared" si="78"/>
        <v>-0.14022934130865</v>
      </c>
      <c r="C530" s="10">
        <f t="shared" si="79"/>
        <v>4.9080269458027462E-3</v>
      </c>
      <c r="D530" s="10">
        <f t="shared" si="80"/>
        <v>0.967638596388947</v>
      </c>
      <c r="E530" s="10">
        <f t="shared" si="81"/>
        <v>2.631722556884784</v>
      </c>
      <c r="F530" s="10">
        <f t="shared" si="85"/>
        <v>6.3159168788096132E-3</v>
      </c>
      <c r="G530" s="10">
        <f t="shared" si="82"/>
        <v>-0.82858421536749738</v>
      </c>
      <c r="H530" s="10">
        <f t="shared" si="83"/>
        <v>0.3039445135859925</v>
      </c>
      <c r="I530" s="10">
        <f t="shared" si="86"/>
        <v>3.0491905778623485E-4</v>
      </c>
      <c r="J530" s="20">
        <f t="shared" si="84"/>
        <v>0</v>
      </c>
      <c r="K530" s="10">
        <f t="shared" si="87"/>
        <v>2.4028018642826554E-3</v>
      </c>
      <c r="L530" s="10">
        <f t="shared" si="88"/>
        <v>1.4416811185696821E-3</v>
      </c>
    </row>
    <row r="531" spans="1:12" x14ac:dyDescent="0.2">
      <c r="A531" s="14">
        <v>0.46600000000000003</v>
      </c>
      <c r="B531" s="10">
        <f t="shared" si="78"/>
        <v>-0.13621020483454893</v>
      </c>
      <c r="C531" s="10">
        <f t="shared" si="79"/>
        <v>4.63114696437466E-3</v>
      </c>
      <c r="D531" s="10">
        <f t="shared" si="80"/>
        <v>0.97004945925770514</v>
      </c>
      <c r="E531" s="10">
        <f t="shared" si="81"/>
        <v>2.6380749333555267</v>
      </c>
      <c r="F531" s="10">
        <f t="shared" si="85"/>
        <v>6.3523764707427155E-3</v>
      </c>
      <c r="G531" s="10">
        <f t="shared" si="82"/>
        <v>-0.82713769764624256</v>
      </c>
      <c r="H531" s="10">
        <f t="shared" si="83"/>
        <v>0.304250628884566</v>
      </c>
      <c r="I531" s="10">
        <f t="shared" si="86"/>
        <v>3.0611529857349495E-4</v>
      </c>
      <c r="J531" s="20">
        <f t="shared" si="84"/>
        <v>0</v>
      </c>
      <c r="K531" s="10">
        <f t="shared" si="87"/>
        <v>2.4108628687581346E-3</v>
      </c>
      <c r="L531" s="10">
        <f t="shared" si="88"/>
        <v>1.4465177212548141E-3</v>
      </c>
    </row>
    <row r="532" spans="1:12" x14ac:dyDescent="0.2">
      <c r="A532" s="14">
        <v>0.46700000000000003</v>
      </c>
      <c r="B532" s="10">
        <f t="shared" si="78"/>
        <v>-0.13219216649694704</v>
      </c>
      <c r="C532" s="10">
        <f t="shared" si="79"/>
        <v>4.3623414943992486E-3</v>
      </c>
      <c r="D532" s="10">
        <f t="shared" si="80"/>
        <v>0.97246840046547134</v>
      </c>
      <c r="E532" s="10">
        <f t="shared" si="81"/>
        <v>2.6444640058009519</v>
      </c>
      <c r="F532" s="10">
        <f t="shared" si="85"/>
        <v>6.3890724454251924E-3</v>
      </c>
      <c r="G532" s="10">
        <f t="shared" si="82"/>
        <v>-0.82568633292158289</v>
      </c>
      <c r="H532" s="10">
        <f t="shared" si="83"/>
        <v>0.30455794419431942</v>
      </c>
      <c r="I532" s="10">
        <f t="shared" si="86"/>
        <v>3.0731530975341981E-4</v>
      </c>
      <c r="J532" s="20">
        <f t="shared" si="84"/>
        <v>0</v>
      </c>
      <c r="K532" s="10">
        <f t="shared" si="87"/>
        <v>2.4189412077662009E-3</v>
      </c>
      <c r="L532" s="10">
        <f t="shared" si="88"/>
        <v>1.4513647246596761E-3</v>
      </c>
    </row>
    <row r="533" spans="1:12" x14ac:dyDescent="0.2">
      <c r="A533" s="14">
        <v>0.46800000000000003</v>
      </c>
      <c r="B533" s="10">
        <f t="shared" si="78"/>
        <v>-0.12817519342399764</v>
      </c>
      <c r="C533" s="10">
        <f t="shared" si="79"/>
        <v>4.1016061895679211E-3</v>
      </c>
      <c r="D533" s="10">
        <f t="shared" si="80"/>
        <v>0.97489543745641838</v>
      </c>
      <c r="E533" s="10">
        <f t="shared" si="81"/>
        <v>2.6508900126880981</v>
      </c>
      <c r="F533" s="10">
        <f t="shared" si="85"/>
        <v>6.4260068871462295E-3</v>
      </c>
      <c r="G533" s="10">
        <f t="shared" si="82"/>
        <v>-0.82423011072701469</v>
      </c>
      <c r="H533" s="10">
        <f t="shared" si="83"/>
        <v>0.30486646330636957</v>
      </c>
      <c r="I533" s="10">
        <f t="shared" si="86"/>
        <v>3.0851911205015403E-4</v>
      </c>
      <c r="J533" s="20">
        <f t="shared" si="84"/>
        <v>0</v>
      </c>
      <c r="K533" s="10">
        <f t="shared" si="87"/>
        <v>2.4270369909470402E-3</v>
      </c>
      <c r="L533" s="10">
        <f t="shared" si="88"/>
        <v>1.4562221945682019E-3</v>
      </c>
    </row>
    <row r="534" spans="1:12" x14ac:dyDescent="0.2">
      <c r="A534" s="14">
        <v>0.46899999999999997</v>
      </c>
      <c r="B534" s="10">
        <f t="shared" si="78"/>
        <v>-0.12415925279565959</v>
      </c>
      <c r="C534" s="10">
        <f t="shared" si="79"/>
        <v>3.8489368366654507E-3</v>
      </c>
      <c r="D534" s="10">
        <f t="shared" si="80"/>
        <v>0.97733058778512183</v>
      </c>
      <c r="E534" s="10">
        <f t="shared" si="81"/>
        <v>2.6573531945897528</v>
      </c>
      <c r="F534" s="10">
        <f t="shared" si="85"/>
        <v>6.4631819016547354E-3</v>
      </c>
      <c r="G534" s="10">
        <f t="shared" si="82"/>
        <v>-0.82276902052979262</v>
      </c>
      <c r="H534" s="10">
        <f t="shared" si="83"/>
        <v>0.30517619003267527</v>
      </c>
      <c r="I534" s="10">
        <f t="shared" si="86"/>
        <v>3.0972672630569242E-4</v>
      </c>
      <c r="J534" s="20">
        <f t="shared" si="84"/>
        <v>0</v>
      </c>
      <c r="K534" s="10">
        <f t="shared" si="87"/>
        <v>2.4351503287034504E-3</v>
      </c>
      <c r="L534" s="10">
        <f t="shared" si="88"/>
        <v>1.4610901972220702E-3</v>
      </c>
    </row>
    <row r="535" spans="1:12" x14ac:dyDescent="0.2">
      <c r="A535" s="14">
        <v>0.47</v>
      </c>
      <c r="B535" s="10">
        <f t="shared" si="78"/>
        <v>-0.12014431184206334</v>
      </c>
      <c r="C535" s="10">
        <f t="shared" si="79"/>
        <v>3.6043293552619035E-3</v>
      </c>
      <c r="D535" s="10">
        <f t="shared" si="80"/>
        <v>0.979773869117326</v>
      </c>
      <c r="E535" s="10">
        <f t="shared" si="81"/>
        <v>2.6638537942061684</v>
      </c>
      <c r="F535" s="10">
        <f t="shared" si="85"/>
        <v>6.500599616415581E-3</v>
      </c>
      <c r="G535" s="10">
        <f t="shared" si="82"/>
        <v>-0.82130305173047014</v>
      </c>
      <c r="H535" s="10">
        <f t="shared" si="83"/>
        <v>0.30548712820615542</v>
      </c>
      <c r="I535" s="10">
        <f t="shared" si="86"/>
        <v>3.1093817348015751E-4</v>
      </c>
      <c r="J535" s="20">
        <f t="shared" si="84"/>
        <v>0</v>
      </c>
      <c r="K535" s="10">
        <f t="shared" si="87"/>
        <v>2.4432813322041724E-3</v>
      </c>
      <c r="L535" s="10">
        <f t="shared" si="88"/>
        <v>1.4659687993224813E-3</v>
      </c>
    </row>
    <row r="536" spans="1:12" x14ac:dyDescent="0.2">
      <c r="A536" s="14">
        <v>0.47099999999999997</v>
      </c>
      <c r="B536" s="10">
        <f t="shared" si="78"/>
        <v>-0.11613033784188169</v>
      </c>
      <c r="C536" s="10">
        <f t="shared" si="79"/>
        <v>3.3677797974145719E-3</v>
      </c>
      <c r="D536" s="10">
        <f t="shared" si="80"/>
        <v>0.982225299230719</v>
      </c>
      <c r="E536" s="10">
        <f t="shared" si="81"/>
        <v>2.6703920563870489</v>
      </c>
      <c r="F536" s="10">
        <f t="shared" si="85"/>
        <v>6.5382621808804942E-3</v>
      </c>
      <c r="G536" s="10">
        <f t="shared" si="82"/>
        <v>-0.81983219366243432</v>
      </c>
      <c r="H536" s="10">
        <f t="shared" si="83"/>
        <v>0.30579928168080855</v>
      </c>
      <c r="I536" s="10">
        <f t="shared" si="86"/>
        <v>3.1215347465313181E-4</v>
      </c>
      <c r="J536" s="20">
        <f t="shared" si="84"/>
        <v>0</v>
      </c>
      <c r="K536" s="10">
        <f t="shared" si="87"/>
        <v>2.4514301133929939E-3</v>
      </c>
      <c r="L536" s="10">
        <f t="shared" si="88"/>
        <v>1.4708580680358185E-3</v>
      </c>
    </row>
    <row r="537" spans="1:12" x14ac:dyDescent="0.2">
      <c r="A537" s="14">
        <v>0.47199999999999998</v>
      </c>
      <c r="B537" s="10">
        <f t="shared" si="78"/>
        <v>-0.11211729812070624</v>
      </c>
      <c r="C537" s="10">
        <f t="shared" si="79"/>
        <v>3.1392843473797777E-3</v>
      </c>
      <c r="D537" s="10">
        <f t="shared" si="80"/>
        <v>0.98468489601571341</v>
      </c>
      <c r="E537" s="10">
        <f t="shared" si="81"/>
        <v>2.6769682281538048</v>
      </c>
      <c r="F537" s="10">
        <f t="shared" si="85"/>
        <v>6.576171766755845E-3</v>
      </c>
      <c r="G537" s="10">
        <f t="shared" si="82"/>
        <v>-0.81835643559143767</v>
      </c>
      <c r="H537" s="10">
        <f t="shared" si="83"/>
        <v>0.30611265433183255</v>
      </c>
      <c r="I537" s="10">
        <f t="shared" si="86"/>
        <v>3.1337265102399092E-4</v>
      </c>
      <c r="J537" s="20">
        <f t="shared" si="84"/>
        <v>0</v>
      </c>
      <c r="K537" s="10">
        <f t="shared" si="87"/>
        <v>2.4595967849944111E-3</v>
      </c>
      <c r="L537" s="10">
        <f t="shared" si="88"/>
        <v>1.4757580709966467E-3</v>
      </c>
    </row>
    <row r="538" spans="1:12" x14ac:dyDescent="0.2">
      <c r="A538" s="14">
        <v>0.47299999999999998</v>
      </c>
      <c r="B538" s="10">
        <f t="shared" si="78"/>
        <v>-0.10810516004942944</v>
      </c>
      <c r="C538" s="10">
        <f t="shared" si="79"/>
        <v>2.9188393213345973E-3</v>
      </c>
      <c r="D538" s="10">
        <f t="shared" si="80"/>
        <v>0.9871526774762347</v>
      </c>
      <c r="E538" s="10">
        <f t="shared" si="81"/>
        <v>2.6835825587220801</v>
      </c>
      <c r="F538" s="10">
        <f t="shared" si="85"/>
        <v>6.6143305682753173E-3</v>
      </c>
      <c r="G538" s="10">
        <f t="shared" si="82"/>
        <v>-0.81687576671512485</v>
      </c>
      <c r="H538" s="10">
        <f t="shared" si="83"/>
        <v>0.30642725005574561</v>
      </c>
      <c r="I538" s="10">
        <f t="shared" si="86"/>
        <v>3.1459572391306923E-4</v>
      </c>
      <c r="J538" s="20">
        <f t="shared" si="84"/>
        <v>0</v>
      </c>
      <c r="K538" s="10">
        <f t="shared" si="87"/>
        <v>2.46778146052129E-3</v>
      </c>
      <c r="L538" s="10">
        <f t="shared" si="88"/>
        <v>1.4806688763128184E-3</v>
      </c>
    </row>
    <row r="539" spans="1:12" x14ac:dyDescent="0.2">
      <c r="A539" s="14">
        <v>0.47399999999999998</v>
      </c>
      <c r="B539" s="10">
        <f t="shared" si="78"/>
        <v>-0.10409389104263345</v>
      </c>
      <c r="C539" s="10">
        <f t="shared" si="79"/>
        <v>2.706441167108472E-3</v>
      </c>
      <c r="D539" s="10">
        <f t="shared" si="80"/>
        <v>0.98962866173051611</v>
      </c>
      <c r="E539" s="10">
        <f t="shared" si="81"/>
        <v>2.6902352995245602</v>
      </c>
      <c r="F539" s="10">
        <f t="shared" si="85"/>
        <v>6.6527408024801282E-3</v>
      </c>
      <c r="G539" s="10">
        <f t="shared" si="82"/>
        <v>-0.81539017616255605</v>
      </c>
      <c r="H539" s="10">
        <f t="shared" si="83"/>
        <v>0.30674307277050833</v>
      </c>
      <c r="I539" s="10">
        <f t="shared" si="86"/>
        <v>3.1582271476271462E-4</v>
      </c>
      <c r="J539" s="20">
        <f t="shared" si="84"/>
        <v>0</v>
      </c>
      <c r="K539" s="10">
        <f t="shared" si="87"/>
        <v>2.4759842542814159E-3</v>
      </c>
      <c r="L539" s="10">
        <f t="shared" si="88"/>
        <v>1.4855905525688051E-3</v>
      </c>
    </row>
    <row r="540" spans="1:12" x14ac:dyDescent="0.2">
      <c r="A540" s="14">
        <v>0.47499999999999998</v>
      </c>
      <c r="B540" s="10">
        <f t="shared" si="78"/>
        <v>-0.10008345855698265</v>
      </c>
      <c r="C540" s="10">
        <f t="shared" si="79"/>
        <v>2.5020864639245686E-3</v>
      </c>
      <c r="D540" s="10">
        <f t="shared" si="80"/>
        <v>0.99211286701190105</v>
      </c>
      <c r="E540" s="10">
        <f t="shared" si="81"/>
        <v>2.6969267042340586</v>
      </c>
      <c r="F540" s="10">
        <f t="shared" si="85"/>
        <v>6.6914047094983609E-3</v>
      </c>
      <c r="G540" s="10">
        <f t="shared" si="82"/>
        <v>-0.81389965299372513</v>
      </c>
      <c r="H540" s="10">
        <f t="shared" si="83"/>
        <v>0.30706012641564595</v>
      </c>
      <c r="I540" s="10">
        <f t="shared" si="86"/>
        <v>3.1705364513762158E-4</v>
      </c>
      <c r="J540" s="20">
        <f t="shared" si="84"/>
        <v>0</v>
      </c>
      <c r="K540" s="10">
        <f t="shared" si="87"/>
        <v>2.4842052813849325E-3</v>
      </c>
      <c r="L540" s="10">
        <f t="shared" si="88"/>
        <v>1.4905231688309151E-3</v>
      </c>
    </row>
    <row r="541" spans="1:12" x14ac:dyDescent="0.2">
      <c r="A541" s="14">
        <v>0.47599999999999998</v>
      </c>
      <c r="B541" s="10">
        <f t="shared" si="78"/>
        <v>-9.6073830089622211E-2</v>
      </c>
      <c r="C541" s="10">
        <f t="shared" si="79"/>
        <v>2.3057719221509353E-3</v>
      </c>
      <c r="D541" s="10">
        <f t="shared" si="80"/>
        <v>0.99460531166965227</v>
      </c>
      <c r="E541" s="10">
        <f t="shared" si="81"/>
        <v>2.70365702878689</v>
      </c>
      <c r="F541" s="10">
        <f t="shared" si="85"/>
        <v>6.7303245528314015E-3</v>
      </c>
      <c r="G541" s="10">
        <f t="shared" si="82"/>
        <v>-0.8124041861990744</v>
      </c>
      <c r="H541" s="10">
        <f t="shared" si="83"/>
        <v>0.30737841495237223</v>
      </c>
      <c r="I541" s="10">
        <f t="shared" si="86"/>
        <v>3.1828853672627444E-4</v>
      </c>
      <c r="J541" s="20">
        <f t="shared" si="84"/>
        <v>0</v>
      </c>
      <c r="K541" s="10">
        <f t="shared" si="87"/>
        <v>2.4924446577512249E-3</v>
      </c>
      <c r="L541" s="10">
        <f t="shared" si="88"/>
        <v>1.495466794650735E-3</v>
      </c>
    </row>
    <row r="542" spans="1:12" x14ac:dyDescent="0.2">
      <c r="A542" s="14">
        <v>0.47699999999999998</v>
      </c>
      <c r="B542" s="10">
        <f t="shared" si="78"/>
        <v>-9.2064973176581799E-2</v>
      </c>
      <c r="C542" s="10">
        <f t="shared" si="79"/>
        <v>2.1174943830613831E-3</v>
      </c>
      <c r="D542" s="10">
        <f t="shared" si="80"/>
        <v>0.99710601416976863</v>
      </c>
      <c r="E542" s="10">
        <f t="shared" si="81"/>
        <v>2.710426531406533</v>
      </c>
      <c r="F542" s="10">
        <f t="shared" si="85"/>
        <v>6.7695026196430419E-3</v>
      </c>
      <c r="G542" s="10">
        <f t="shared" si="82"/>
        <v>-0.8109037646990046</v>
      </c>
      <c r="H542" s="10">
        <f t="shared" si="83"/>
        <v>0.30769794236371362</v>
      </c>
      <c r="I542" s="10">
        <f t="shared" si="86"/>
        <v>3.1952741134139151E-4</v>
      </c>
      <c r="J542" s="20">
        <f t="shared" si="84"/>
        <v>0</v>
      </c>
      <c r="K542" s="10">
        <f t="shared" si="87"/>
        <v>2.5007025001163585E-3</v>
      </c>
      <c r="L542" s="10">
        <f t="shared" si="88"/>
        <v>1.5004215000697929E-3</v>
      </c>
    </row>
    <row r="543" spans="1:12" x14ac:dyDescent="0.2">
      <c r="A543" s="14">
        <v>0.47799999999999998</v>
      </c>
      <c r="B543" s="10">
        <f t="shared" si="78"/>
        <v>-8.8056855391182798E-2</v>
      </c>
      <c r="C543" s="10">
        <f t="shared" si="79"/>
        <v>1.9372508186060232E-3</v>
      </c>
      <c r="D543" s="10">
        <f t="shared" si="80"/>
        <v>0.99961499309580937</v>
      </c>
      <c r="E543" s="10">
        <f t="shared" si="81"/>
        <v>2.7172354726275874</v>
      </c>
      <c r="F543" s="10">
        <f t="shared" si="85"/>
        <v>6.8089412210543543E-3</v>
      </c>
      <c r="G543" s="10">
        <f t="shared" si="82"/>
        <v>-0.80939837734338005</v>
      </c>
      <c r="H543" s="10">
        <f t="shared" si="83"/>
        <v>0.30801871265463476</v>
      </c>
      <c r="I543" s="10">
        <f t="shared" si="86"/>
        <v>3.2077029092114628E-4</v>
      </c>
      <c r="J543" s="20">
        <f t="shared" si="84"/>
        <v>0</v>
      </c>
      <c r="K543" s="10">
        <f t="shared" si="87"/>
        <v>2.5089789260407391E-3</v>
      </c>
      <c r="L543" s="10">
        <f t="shared" si="88"/>
        <v>1.5053873556245545E-3</v>
      </c>
    </row>
    <row r="544" spans="1:12" x14ac:dyDescent="0.2">
      <c r="A544" s="14">
        <v>0.47899999999999998</v>
      </c>
      <c r="B544" s="10">
        <f t="shared" si="78"/>
        <v>-8.4049444342451707E-2</v>
      </c>
      <c r="C544" s="10">
        <f t="shared" si="79"/>
        <v>1.7650383311914875E-3</v>
      </c>
      <c r="D544" s="10">
        <f t="shared" si="80"/>
        <v>1.0021322671497259</v>
      </c>
      <c r="E544" s="10">
        <f t="shared" si="81"/>
        <v>2.7240841153200268</v>
      </c>
      <c r="F544" s="10">
        <f t="shared" si="85"/>
        <v>6.848642692439455E-3</v>
      </c>
      <c r="G544" s="10">
        <f t="shared" si="82"/>
        <v>-0.80788801291103018</v>
      </c>
      <c r="H544" s="10">
        <f t="shared" si="83"/>
        <v>0.30834072985216471</v>
      </c>
      <c r="I544" s="10">
        <f t="shared" si="86"/>
        <v>3.2201719752994462E-4</v>
      </c>
      <c r="J544" s="20">
        <f t="shared" si="84"/>
        <v>0</v>
      </c>
      <c r="K544" s="10">
        <f t="shared" si="87"/>
        <v>2.5172740539165517E-3</v>
      </c>
      <c r="L544" s="10">
        <f t="shared" si="88"/>
        <v>1.5103644323498644E-3</v>
      </c>
    </row>
    <row r="545" spans="1:12" x14ac:dyDescent="0.2">
      <c r="A545" s="14">
        <v>0.48</v>
      </c>
      <c r="B545" s="10">
        <f t="shared" si="78"/>
        <v>-8.0042707673536495E-2</v>
      </c>
      <c r="C545" s="10">
        <f t="shared" si="79"/>
        <v>1.6008541534707314E-3</v>
      </c>
      <c r="D545" s="10">
        <f t="shared" si="80"/>
        <v>1.0046578551527006</v>
      </c>
      <c r="E545" s="10">
        <f t="shared" si="81"/>
        <v>2.730972724713757</v>
      </c>
      <c r="F545" s="10">
        <f t="shared" si="85"/>
        <v>6.8886093937301496E-3</v>
      </c>
      <c r="G545" s="10">
        <f t="shared" si="82"/>
        <v>-0.80637266010924546</v>
      </c>
      <c r="H545" s="10">
        <f t="shared" si="83"/>
        <v>0.30866399800552402</v>
      </c>
      <c r="I545" s="10">
        <f t="shared" si="86"/>
        <v>3.2326815335931292E-4</v>
      </c>
      <c r="J545" s="20">
        <f t="shared" si="84"/>
        <v>0</v>
      </c>
      <c r="K545" s="10">
        <f t="shared" si="87"/>
        <v>2.5255880029746436E-3</v>
      </c>
      <c r="L545" s="10">
        <f t="shared" si="88"/>
        <v>1.5153528017847195E-3</v>
      </c>
    </row>
    <row r="546" spans="1:12" x14ac:dyDescent="0.2">
      <c r="A546" s="14">
        <v>0.48099999999999998</v>
      </c>
      <c r="B546" s="10">
        <f t="shared" si="78"/>
        <v>-7.6036613060127572E-2</v>
      </c>
      <c r="C546" s="10">
        <f t="shared" si="79"/>
        <v>1.4446956481424251E-3</v>
      </c>
      <c r="D546" s="10">
        <f t="shared" si="80"/>
        <v>1.0071917760459932</v>
      </c>
      <c r="E546" s="10">
        <f t="shared" si="81"/>
        <v>2.7379015684234758</v>
      </c>
      <c r="F546" s="10">
        <f t="shared" si="85"/>
        <v>6.9288437097188016E-3</v>
      </c>
      <c r="G546" s="10">
        <f t="shared" si="82"/>
        <v>-0.80485230757326975</v>
      </c>
      <c r="H546" s="10">
        <f t="shared" si="83"/>
        <v>0.30898852118625303</v>
      </c>
      <c r="I546" s="10">
        <f t="shared" si="86"/>
        <v>3.2452318072900832E-4</v>
      </c>
      <c r="J546" s="20">
        <f t="shared" si="84"/>
        <v>0</v>
      </c>
      <c r="K546" s="10">
        <f t="shared" si="87"/>
        <v>2.5339208932926294E-3</v>
      </c>
      <c r="L546" s="10">
        <f t="shared" si="88"/>
        <v>1.5203525359757109E-3</v>
      </c>
    </row>
    <row r="547" spans="1:12" x14ac:dyDescent="0.2">
      <c r="A547" s="14">
        <v>0.48199999999999998</v>
      </c>
      <c r="B547" s="10">
        <f t="shared" si="78"/>
        <v>-7.2031128208882841E-2</v>
      </c>
      <c r="C547" s="10">
        <f t="shared" si="79"/>
        <v>1.2965603077598922E-3</v>
      </c>
      <c r="D547" s="10">
        <f t="shared" si="80"/>
        <v>1.0097340488917972</v>
      </c>
      <c r="E547" s="10">
        <f t="shared" si="81"/>
        <v>2.7448709164738516</v>
      </c>
      <c r="F547" s="10">
        <f t="shared" si="85"/>
        <v>6.9693480503758565E-3</v>
      </c>
      <c r="G547" s="10">
        <f t="shared" si="82"/>
        <v>-0.8033269438657874</v>
      </c>
      <c r="H547" s="10">
        <f t="shared" si="83"/>
        <v>0.30931430348834055</v>
      </c>
      <c r="I547" s="10">
        <f t="shared" si="86"/>
        <v>3.2578230208751835E-4</v>
      </c>
      <c r="J547" s="20">
        <f t="shared" si="84"/>
        <v>0</v>
      </c>
      <c r="K547" s="10">
        <f t="shared" si="87"/>
        <v>2.5422728458039945E-3</v>
      </c>
      <c r="L547" s="10">
        <f t="shared" si="88"/>
        <v>1.5253637074823523E-3</v>
      </c>
    </row>
    <row r="548" spans="1:12" x14ac:dyDescent="0.2">
      <c r="A548" s="14">
        <v>0.48299999999999998</v>
      </c>
      <c r="B548" s="10">
        <f t="shared" si="78"/>
        <v>-6.8026220855856467E-2</v>
      </c>
      <c r="C548" s="10">
        <f t="shared" si="79"/>
        <v>1.1564457545495609E-3</v>
      </c>
      <c r="D548" s="10">
        <f t="shared" si="80"/>
        <v>1.0122846928741003</v>
      </c>
      <c r="E548" s="10">
        <f t="shared" si="81"/>
        <v>2.7518810413250079</v>
      </c>
      <c r="F548" s="10">
        <f t="shared" si="85"/>
        <v>7.010124851156263E-3</v>
      </c>
      <c r="G548" s="10">
        <f t="shared" si="82"/>
        <v>-0.80179655747640555</v>
      </c>
      <c r="H548" s="10">
        <f t="shared" si="83"/>
        <v>0.30964134902835422</v>
      </c>
      <c r="I548" s="10">
        <f t="shared" si="86"/>
        <v>3.270455400136707E-4</v>
      </c>
      <c r="J548" s="20">
        <f t="shared" si="84"/>
        <v>0</v>
      </c>
      <c r="K548" s="10">
        <f t="shared" si="87"/>
        <v>2.5506439823030913E-3</v>
      </c>
      <c r="L548" s="10">
        <f t="shared" si="88"/>
        <v>1.5303863893818548E-3</v>
      </c>
    </row>
    <row r="549" spans="1:12" x14ac:dyDescent="0.2">
      <c r="A549" s="14">
        <v>0.48399999999999999</v>
      </c>
      <c r="B549" s="10">
        <f t="shared" si="78"/>
        <v>-6.4021858764931022E-2</v>
      </c>
      <c r="C549" s="10">
        <f t="shared" si="79"/>
        <v>1.0243497402388972E-3</v>
      </c>
      <c r="D549" s="10">
        <f t="shared" si="80"/>
        <v>1.0148437272995559</v>
      </c>
      <c r="E549" s="10">
        <f t="shared" si="81"/>
        <v>2.7589322178983351</v>
      </c>
      <c r="F549" s="10">
        <f t="shared" si="85"/>
        <v>7.0511765733272114E-3</v>
      </c>
      <c r="G549" s="10">
        <f t="shared" si="82"/>
        <v>-0.8002611368211322</v>
      </c>
      <c r="H549" s="10">
        <f t="shared" si="83"/>
        <v>0.30996966194557113</v>
      </c>
      <c r="I549" s="10">
        <f t="shared" si="86"/>
        <v>3.283129172169108E-4</v>
      </c>
      <c r="J549" s="20">
        <f t="shared" si="84"/>
        <v>0</v>
      </c>
      <c r="K549" s="10">
        <f t="shared" si="87"/>
        <v>2.5590344254555752E-3</v>
      </c>
      <c r="L549" s="10">
        <f t="shared" si="88"/>
        <v>1.5354206552733451E-3</v>
      </c>
    </row>
    <row r="550" spans="1:12" x14ac:dyDescent="0.2">
      <c r="A550" s="14">
        <v>0.48499999999999999</v>
      </c>
      <c r="B550" s="10">
        <f t="shared" si="78"/>
        <v>-6.0018009726253041E-2</v>
      </c>
      <c r="C550" s="10">
        <f t="shared" si="79"/>
        <v>9.0027014589379639E-4</v>
      </c>
      <c r="D550" s="10">
        <f t="shared" si="80"/>
        <v>1.0174111715983616</v>
      </c>
      <c r="E550" s="10">
        <f t="shared" si="81"/>
        <v>2.7660247236026234</v>
      </c>
      <c r="F550" s="10">
        <f t="shared" si="85"/>
        <v>7.0925057042883211E-3</v>
      </c>
      <c r="G550" s="10">
        <f t="shared" si="82"/>
        <v>-0.7987206702418489</v>
      </c>
      <c r="H550" s="10">
        <f t="shared" si="83"/>
        <v>0.31029924640210998</v>
      </c>
      <c r="I550" s="10">
        <f t="shared" si="86"/>
        <v>3.2958445653885615E-4</v>
      </c>
      <c r="J550" s="20">
        <f t="shared" si="84"/>
        <v>0</v>
      </c>
      <c r="K550" s="10">
        <f t="shared" si="87"/>
        <v>2.5674442988057322E-3</v>
      </c>
      <c r="L550" s="10">
        <f t="shared" si="88"/>
        <v>1.5404665792833061E-3</v>
      </c>
    </row>
    <row r="551" spans="1:12" x14ac:dyDescent="0.2">
      <c r="A551" s="14">
        <v>0.48599999999999999</v>
      </c>
      <c r="B551" s="10">
        <f t="shared" si="78"/>
        <v>-5.6014641554671368E-2</v>
      </c>
      <c r="C551" s="10">
        <f t="shared" si="79"/>
        <v>7.8420498176539981E-4</v>
      </c>
      <c r="D551" s="10">
        <f t="shared" si="80"/>
        <v>1.0199870453251456</v>
      </c>
      <c r="E551" s="10">
        <f t="shared" si="81"/>
        <v>2.7731588383605255</v>
      </c>
      <c r="F551" s="10">
        <f t="shared" si="85"/>
        <v>7.1341147579020436E-3</v>
      </c>
      <c r="G551" s="10">
        <f t="shared" si="82"/>
        <v>-0.79717514600577843</v>
      </c>
      <c r="H551" s="10">
        <f t="shared" si="83"/>
        <v>0.31063010658306378</v>
      </c>
      <c r="I551" s="10">
        <f t="shared" si="86"/>
        <v>3.3086018095379588E-4</v>
      </c>
      <c r="J551" s="20">
        <f t="shared" si="84"/>
        <v>0</v>
      </c>
      <c r="K551" s="10">
        <f t="shared" si="87"/>
        <v>2.5758737267840282E-3</v>
      </c>
      <c r="L551" s="10">
        <f t="shared" si="88"/>
        <v>1.5455242360704613E-3</v>
      </c>
    </row>
    <row r="552" spans="1:12" x14ac:dyDescent="0.2">
      <c r="A552" s="14">
        <v>0.48699999999999999</v>
      </c>
      <c r="B552" s="10">
        <f t="shared" si="78"/>
        <v>-5.2011722088179738E-2</v>
      </c>
      <c r="C552" s="10">
        <f t="shared" si="79"/>
        <v>6.7615238714633719E-4</v>
      </c>
      <c r="D552" s="10">
        <f t="shared" si="80"/>
        <v>1.022571368159862</v>
      </c>
      <c r="E552" s="10">
        <f t="shared" si="81"/>
        <v>2.7803348446353553</v>
      </c>
      <c r="F552" s="10">
        <f t="shared" si="85"/>
        <v>7.1760062748298381E-3</v>
      </c>
      <c r="G552" s="10">
        <f t="shared" si="82"/>
        <v>-0.79562455230494855</v>
      </c>
      <c r="H552" s="10">
        <f t="shared" si="83"/>
        <v>0.31096224669663358</v>
      </c>
      <c r="I552" s="10">
        <f t="shared" si="86"/>
        <v>3.32140113569801E-4</v>
      </c>
      <c r="J552" s="20">
        <f t="shared" si="84"/>
        <v>0</v>
      </c>
      <c r="K552" s="10">
        <f t="shared" si="87"/>
        <v>2.5843228347164349E-3</v>
      </c>
      <c r="L552" s="10">
        <f t="shared" si="88"/>
        <v>1.5505937008298831E-3</v>
      </c>
    </row>
    <row r="553" spans="1:12" x14ac:dyDescent="0.2">
      <c r="A553" s="14">
        <v>0.48799999999999999</v>
      </c>
      <c r="B553" s="10">
        <f t="shared" si="78"/>
        <v>-4.8009219186360606E-2</v>
      </c>
      <c r="C553" s="10">
        <f t="shared" si="79"/>
        <v>5.7611063023632776E-4</v>
      </c>
      <c r="D553" s="10">
        <f t="shared" si="80"/>
        <v>1.0251641599086938</v>
      </c>
      <c r="E553" s="10">
        <f t="shared" si="81"/>
        <v>2.7875530274582201</v>
      </c>
      <c r="F553" s="10">
        <f t="shared" si="85"/>
        <v>7.2181828228647937E-3</v>
      </c>
      <c r="G553" s="10">
        <f t="shared" si="82"/>
        <v>-0.79406887725564945</v>
      </c>
      <c r="H553" s="10">
        <f t="shared" si="83"/>
        <v>0.31129567097426375</v>
      </c>
      <c r="I553" s="10">
        <f t="shared" si="86"/>
        <v>3.3342427763016769E-4</v>
      </c>
      <c r="J553" s="20">
        <f t="shared" si="84"/>
        <v>0</v>
      </c>
      <c r="K553" s="10">
        <f t="shared" si="87"/>
        <v>2.5927917488317576E-3</v>
      </c>
      <c r="L553" s="10">
        <f t="shared" si="88"/>
        <v>1.5556750492990989E-3</v>
      </c>
    </row>
    <row r="554" spans="1:12" x14ac:dyDescent="0.2">
      <c r="A554" s="14">
        <v>0.48899999999999999</v>
      </c>
      <c r="B554" s="10">
        <f t="shared" si="78"/>
        <v>-4.4007100728832405E-2</v>
      </c>
      <c r="C554" s="10">
        <f t="shared" si="79"/>
        <v>4.8407810801715689E-4</v>
      </c>
      <c r="D554" s="10">
        <f t="shared" si="80"/>
        <v>1.0277654405049645</v>
      </c>
      <c r="E554" s="10">
        <f t="shared" si="81"/>
        <v>2.7948136744555043</v>
      </c>
      <c r="F554" s="10">
        <f t="shared" si="85"/>
        <v>7.2606469972842369E-3</v>
      </c>
      <c r="G554" s="10">
        <f t="shared" si="82"/>
        <v>-0.79250810889788703</v>
      </c>
      <c r="H554" s="10">
        <f t="shared" si="83"/>
        <v>0.31163038367077739</v>
      </c>
      <c r="I554" s="10">
        <f t="shared" si="86"/>
        <v>3.3471269651363933E-4</v>
      </c>
      <c r="J554" s="20">
        <f t="shared" si="84"/>
        <v>0</v>
      </c>
      <c r="K554" s="10">
        <f t="shared" si="87"/>
        <v>2.6012805962707386E-3</v>
      </c>
      <c r="L554" s="10">
        <f t="shared" si="88"/>
        <v>1.560768357762421E-3</v>
      </c>
    </row>
    <row r="555" spans="1:12" x14ac:dyDescent="0.2">
      <c r="A555" s="14">
        <v>0.49</v>
      </c>
      <c r="B555" s="10">
        <f t="shared" si="78"/>
        <v>-4.0005334613699248E-2</v>
      </c>
      <c r="C555" s="10">
        <f t="shared" si="79"/>
        <v>4.0005334613699281E-4</v>
      </c>
      <c r="D555" s="10">
        <f t="shared" si="80"/>
        <v>1.0303752300100595</v>
      </c>
      <c r="E555" s="10">
        <f t="shared" si="81"/>
        <v>2.8021170758766951</v>
      </c>
      <c r="F555" s="10">
        <f t="shared" si="85"/>
        <v>7.3034014211907916E-3</v>
      </c>
      <c r="G555" s="10">
        <f t="shared" si="82"/>
        <v>-0.79094223519483009</v>
      </c>
      <c r="H555" s="10">
        <f t="shared" si="83"/>
        <v>0.31196638906451329</v>
      </c>
      <c r="I555" s="10">
        <f t="shared" si="86"/>
        <v>3.3600539373590532E-4</v>
      </c>
      <c r="J555" s="20">
        <f t="shared" si="84"/>
        <v>0</v>
      </c>
      <c r="K555" s="10">
        <f t="shared" si="87"/>
        <v>2.6097895050949393E-3</v>
      </c>
      <c r="L555" s="10">
        <f t="shared" si="88"/>
        <v>1.5658737030569414E-3</v>
      </c>
    </row>
    <row r="556" spans="1:12" x14ac:dyDescent="0.2">
      <c r="A556" s="14">
        <v>0.49099999999999999</v>
      </c>
      <c r="B556" s="10">
        <f t="shared" si="78"/>
        <v>-3.6003888756002175E-2</v>
      </c>
      <c r="C556" s="10">
        <f t="shared" si="79"/>
        <v>3.2403499880401986E-4</v>
      </c>
      <c r="D556" s="10">
        <f t="shared" si="80"/>
        <v>1.0329935486143536</v>
      </c>
      <c r="E556" s="10">
        <f t="shared" si="81"/>
        <v>2.8094635246225654</v>
      </c>
      <c r="F556" s="10">
        <f t="shared" si="85"/>
        <v>7.3464487458703154E-3</v>
      </c>
      <c r="G556" s="10">
        <f t="shared" si="82"/>
        <v>-0.78937124403225367</v>
      </c>
      <c r="H556" s="10">
        <f t="shared" si="83"/>
        <v>0.31230369145746401</v>
      </c>
      <c r="I556" s="10">
        <f t="shared" si="86"/>
        <v>3.3730239295071129E-4</v>
      </c>
      <c r="J556" s="20">
        <f t="shared" si="84"/>
        <v>0</v>
      </c>
      <c r="K556" s="10">
        <f t="shared" si="87"/>
        <v>2.6183186042940676E-3</v>
      </c>
      <c r="L556" s="10">
        <f t="shared" si="88"/>
        <v>1.5709911625764184E-3</v>
      </c>
    </row>
    <row r="557" spans="1:12" x14ac:dyDescent="0.2">
      <c r="A557" s="14">
        <v>0.49199999999999999</v>
      </c>
      <c r="B557" s="10">
        <f t="shared" si="78"/>
        <v>-3.2002731086173831E-2</v>
      </c>
      <c r="C557" s="10">
        <f t="shared" si="79"/>
        <v>2.5602184868939089E-4</v>
      </c>
      <c r="D557" s="10">
        <f t="shared" si="80"/>
        <v>1.0356204166381495</v>
      </c>
      <c r="E557" s="10">
        <f t="shared" si="81"/>
        <v>2.8168533162737153</v>
      </c>
      <c r="F557" s="10">
        <f t="shared" si="85"/>
        <v>7.3897916511498352E-3</v>
      </c>
      <c r="G557" s="10">
        <f t="shared" si="82"/>
        <v>-0.78779512321797596</v>
      </c>
      <c r="H557" s="10">
        <f t="shared" si="83"/>
        <v>0.31264229517541453</v>
      </c>
      <c r="I557" s="10">
        <f t="shared" si="86"/>
        <v>3.3860371795052524E-4</v>
      </c>
      <c r="J557" s="20">
        <f t="shared" si="84"/>
        <v>0</v>
      </c>
      <c r="K557" s="10">
        <f t="shared" si="87"/>
        <v>2.6268680237959696E-3</v>
      </c>
      <c r="L557" s="10">
        <f t="shared" si="88"/>
        <v>1.576120814277715E-3</v>
      </c>
    </row>
    <row r="558" spans="1:12" x14ac:dyDescent="0.2">
      <c r="A558" s="14">
        <v>0.49299999999999999</v>
      </c>
      <c r="B558" s="10">
        <f t="shared" si="78"/>
        <v>-2.8001829548493087E-2</v>
      </c>
      <c r="C558" s="10">
        <f t="shared" si="79"/>
        <v>1.9601280683945177E-4</v>
      </c>
      <c r="D558" s="10">
        <f t="shared" si="80"/>
        <v>1.0382558545326259</v>
      </c>
      <c r="E558" s="10">
        <f t="shared" si="81"/>
        <v>2.8242867491194792</v>
      </c>
      <c r="F558" s="10">
        <f t="shared" si="85"/>
        <v>7.4334328457639209E-3</v>
      </c>
      <c r="G558" s="10">
        <f t="shared" si="82"/>
        <v>-0.78621386048129016</v>
      </c>
      <c r="H558" s="10">
        <f t="shared" si="83"/>
        <v>0.3129822045680824</v>
      </c>
      <c r="I558" s="10">
        <f t="shared" si="86"/>
        <v>3.3990939266786979E-4</v>
      </c>
      <c r="J558" s="20">
        <f t="shared" si="84"/>
        <v>0</v>
      </c>
      <c r="K558" s="10">
        <f t="shared" si="87"/>
        <v>2.6354378944764001E-3</v>
      </c>
      <c r="L558" s="10">
        <f t="shared" si="88"/>
        <v>1.5812627366857956E-3</v>
      </c>
    </row>
    <row r="559" spans="1:12" x14ac:dyDescent="0.2">
      <c r="A559" s="14">
        <v>0.49399999999999999</v>
      </c>
      <c r="B559" s="10">
        <f t="shared" si="78"/>
        <v>-2.4001152099543014E-2</v>
      </c>
      <c r="C559" s="10">
        <f t="shared" si="79"/>
        <v>1.4400691259725822E-4</v>
      </c>
      <c r="D559" s="10">
        <f t="shared" si="80"/>
        <v>1.0408998828807907</v>
      </c>
      <c r="E559" s="10">
        <f t="shared" si="81"/>
        <v>2.8317641241871994</v>
      </c>
      <c r="F559" s="10">
        <f t="shared" si="85"/>
        <v>7.4773750677201711E-3</v>
      </c>
      <c r="G559" s="10">
        <f t="shared" si="82"/>
        <v>-0.78462744347239133</v>
      </c>
      <c r="H559" s="10">
        <f t="shared" si="83"/>
        <v>0.31332342400925856</v>
      </c>
      <c r="I559" s="10">
        <f t="shared" si="86"/>
        <v>3.4121944117615488E-4</v>
      </c>
      <c r="J559" s="20">
        <f t="shared" si="84"/>
        <v>0</v>
      </c>
      <c r="K559" s="10">
        <f t="shared" si="87"/>
        <v>2.6440283481647953E-3</v>
      </c>
      <c r="L559" s="10">
        <f t="shared" si="88"/>
        <v>1.5864170088988327E-3</v>
      </c>
    </row>
    <row r="560" spans="1:12" x14ac:dyDescent="0.2">
      <c r="A560" s="14">
        <v>0.495</v>
      </c>
      <c r="B560" s="10">
        <f t="shared" si="78"/>
        <v>-2.0000666706669543E-2</v>
      </c>
      <c r="C560" s="10">
        <f t="shared" si="79"/>
        <v>1.000033335333478E-4</v>
      </c>
      <c r="D560" s="10">
        <f t="shared" si="80"/>
        <v>1.0435525223984476</v>
      </c>
      <c r="E560" s="10">
        <f t="shared" si="81"/>
        <v>2.8392857452718769</v>
      </c>
      <c r="F560" s="10">
        <f t="shared" si="85"/>
        <v>7.5216210846775766E-3</v>
      </c>
      <c r="G560" s="10">
        <f t="shared" si="82"/>
        <v>-0.78303585976179724</v>
      </c>
      <c r="H560" s="10">
        <f t="shared" si="83"/>
        <v>0.31366595789694957</v>
      </c>
      <c r="I560" s="10">
        <f t="shared" si="86"/>
        <v>3.4253388769101001E-4</v>
      </c>
      <c r="J560" s="20">
        <f t="shared" si="84"/>
        <v>0</v>
      </c>
      <c r="K560" s="10">
        <f t="shared" si="87"/>
        <v>2.6526395176569295E-3</v>
      </c>
      <c r="L560" s="10">
        <f t="shared" si="88"/>
        <v>1.5915837105940911E-3</v>
      </c>
    </row>
    <row r="561" spans="1:12" x14ac:dyDescent="0.2">
      <c r="A561" s="14">
        <v>0.496</v>
      </c>
      <c r="B561" s="10">
        <f t="shared" si="78"/>
        <v>-1.6000341346441189E-2</v>
      </c>
      <c r="C561" s="10">
        <f t="shared" si="79"/>
        <v>6.4001365385764816E-5</v>
      </c>
      <c r="D561" s="10">
        <f t="shared" si="80"/>
        <v>1.0462137939351697</v>
      </c>
      <c r="E561" s="10">
        <f t="shared" si="81"/>
        <v>2.8468519189662027</v>
      </c>
      <c r="F561" s="10">
        <f t="shared" si="85"/>
        <v>7.5661736943257729E-3</v>
      </c>
      <c r="G561" s="10">
        <f t="shared" si="82"/>
        <v>-0.78143909683976387</v>
      </c>
      <c r="H561" s="10">
        <f t="shared" si="83"/>
        <v>0.31400981065352063</v>
      </c>
      <c r="I561" s="10">
        <f t="shared" si="86"/>
        <v>3.438527565710614E-4</v>
      </c>
      <c r="J561" s="20">
        <f t="shared" si="84"/>
        <v>0</v>
      </c>
      <c r="K561" s="10">
        <f t="shared" si="87"/>
        <v>2.6612715367220208E-3</v>
      </c>
      <c r="L561" s="10">
        <f t="shared" si="88"/>
        <v>1.5967629220333679E-3</v>
      </c>
    </row>
    <row r="562" spans="1:12" x14ac:dyDescent="0.2">
      <c r="A562" s="14">
        <v>0.497</v>
      </c>
      <c r="B562" s="10">
        <f t="shared" si="78"/>
        <v>-1.2000144003110521E-2</v>
      </c>
      <c r="C562" s="10">
        <f t="shared" si="79"/>
        <v>3.6000432009331595E-5</v>
      </c>
      <c r="D562" s="10">
        <f t="shared" si="80"/>
        <v>1.0488837184752833</v>
      </c>
      <c r="E562" s="10">
        <f t="shared" si="81"/>
        <v>2.854462954690979</v>
      </c>
      <c r="F562" s="10">
        <f t="shared" si="85"/>
        <v>7.6110357247762828E-3</v>
      </c>
      <c r="G562" s="10">
        <f t="shared" si="82"/>
        <v>-0.77983714211569588</v>
      </c>
      <c r="H562" s="10">
        <f t="shared" si="83"/>
        <v>0.31435498672583978</v>
      </c>
      <c r="I562" s="10">
        <f t="shared" si="86"/>
        <v>3.4517607231915326E-4</v>
      </c>
      <c r="J562" s="20">
        <f t="shared" si="84"/>
        <v>0</v>
      </c>
      <c r="K562" s="10">
        <f t="shared" si="87"/>
        <v>2.6699245401136107E-3</v>
      </c>
      <c r="L562" s="10">
        <f t="shared" si="88"/>
        <v>1.6019547240679888E-3</v>
      </c>
    </row>
    <row r="563" spans="1:12" x14ac:dyDescent="0.2">
      <c r="A563" s="14">
        <v>0.498</v>
      </c>
      <c r="B563" s="10">
        <f t="shared" si="78"/>
        <v>-8.0000426670762646E-3</v>
      </c>
      <c r="C563" s="10">
        <f t="shared" si="79"/>
        <v>1.6000085334152545E-5</v>
      </c>
      <c r="D563" s="10">
        <f t="shared" si="80"/>
        <v>1.0515623171388597</v>
      </c>
      <c r="E563" s="10">
        <f t="shared" si="81"/>
        <v>2.8621191647259212</v>
      </c>
      <c r="F563" s="10">
        <f t="shared" si="85"/>
        <v>7.6562100349422124E-3</v>
      </c>
      <c r="G563" s="10">
        <f t="shared" si="82"/>
        <v>-0.77822998291754986</v>
      </c>
      <c r="H563" s="10">
        <f t="shared" si="83"/>
        <v>0.31470149058542335</v>
      </c>
      <c r="I563" s="10">
        <f t="shared" si="86"/>
        <v>3.46503859583569E-4</v>
      </c>
      <c r="J563" s="20">
        <f t="shared" si="84"/>
        <v>0</v>
      </c>
      <c r="K563" s="10">
        <f t="shared" si="87"/>
        <v>2.678598663576448E-3</v>
      </c>
      <c r="L563" s="10">
        <f t="shared" si="88"/>
        <v>1.6071591981460243E-3</v>
      </c>
    </row>
    <row r="564" spans="1:12" x14ac:dyDescent="0.2">
      <c r="A564" s="14">
        <v>0.499</v>
      </c>
      <c r="B564" s="10">
        <f t="shared" si="78"/>
        <v>-4.0000053333461277E-3</v>
      </c>
      <c r="C564" s="10">
        <f t="shared" si="79"/>
        <v>4.0000053333461311E-6</v>
      </c>
      <c r="D564" s="10">
        <f t="shared" si="80"/>
        <v>1.0542496111827195</v>
      </c>
      <c r="E564" s="10">
        <f t="shared" si="81"/>
        <v>2.8698208642408733</v>
      </c>
      <c r="F564" s="10">
        <f t="shared" si="85"/>
        <v>7.7016995149521428E-3</v>
      </c>
      <c r="G564" s="10">
        <f t="shared" si="82"/>
        <v>-0.77661760649123412</v>
      </c>
      <c r="H564" s="10">
        <f t="shared" si="83"/>
        <v>0.31504932672858216</v>
      </c>
      <c r="I564" s="10">
        <f t="shared" si="86"/>
        <v>3.478361431588084E-4</v>
      </c>
      <c r="J564" s="20">
        <f t="shared" si="84"/>
        <v>0</v>
      </c>
      <c r="K564" s="10">
        <f t="shared" si="87"/>
        <v>2.6872940438598114E-3</v>
      </c>
      <c r="L564" s="10">
        <f t="shared" si="88"/>
        <v>1.6123764263157314E-3</v>
      </c>
    </row>
    <row r="565" spans="1:12" x14ac:dyDescent="0.2">
      <c r="A565" s="14">
        <v>0.5</v>
      </c>
      <c r="B565" s="10">
        <f t="shared" si="78"/>
        <v>0</v>
      </c>
      <c r="C565" s="10">
        <f t="shared" si="79"/>
        <v>0</v>
      </c>
      <c r="D565" s="10">
        <f t="shared" si="80"/>
        <v>1.0569456220014428</v>
      </c>
      <c r="E565" s="10">
        <f t="shared" si="81"/>
        <v>2.8775683713274138</v>
      </c>
      <c r="F565" s="10">
        <f t="shared" si="85"/>
        <v>7.7475070865404838E-3</v>
      </c>
      <c r="G565" s="10">
        <f t="shared" si="82"/>
        <v>-0.77500000000000002</v>
      </c>
      <c r="H565" s="10">
        <f t="shared" si="83"/>
        <v>0.31539849967656924</v>
      </c>
      <c r="I565" s="10">
        <f t="shared" si="86"/>
        <v>3.4917294798708642E-4</v>
      </c>
      <c r="J565" s="20">
        <f t="shared" si="84"/>
        <v>0</v>
      </c>
      <c r="K565" s="10">
        <f t="shared" si="87"/>
        <v>2.6960108187232823E-3</v>
      </c>
      <c r="L565" s="10">
        <f t="shared" si="88"/>
        <v>1.6176064912341026E-3</v>
      </c>
    </row>
    <row r="566" spans="1:12" x14ac:dyDescent="0.2">
      <c r="A566" s="14">
        <v>0.501</v>
      </c>
      <c r="B566" s="10">
        <f t="shared" si="78"/>
        <v>4.0000053333461372E-3</v>
      </c>
      <c r="C566" s="10">
        <f t="shared" si="79"/>
        <v>4.0000053333461404E-6</v>
      </c>
      <c r="D566" s="10">
        <f t="shared" si="80"/>
        <v>1.0596503711283929</v>
      </c>
      <c r="E566" s="10">
        <f t="shared" si="81"/>
        <v>2.8853620070308796</v>
      </c>
      <c r="F566" s="10">
        <f t="shared" si="85"/>
        <v>7.7936357034658066E-3</v>
      </c>
      <c r="G566" s="10">
        <f t="shared" si="82"/>
        <v>-0.77337715052382994</v>
      </c>
      <c r="H566" s="10">
        <f t="shared" si="83"/>
        <v>0.31574901397572835</v>
      </c>
      <c r="I566" s="10">
        <f t="shared" si="86"/>
        <v>3.5051429915911037E-4</v>
      </c>
      <c r="J566" s="20">
        <f t="shared" si="84"/>
        <v>0</v>
      </c>
      <c r="K566" s="10">
        <f t="shared" si="87"/>
        <v>2.7047491269500679E-3</v>
      </c>
      <c r="L566" s="10">
        <f t="shared" si="88"/>
        <v>1.6228494761700851E-3</v>
      </c>
    </row>
    <row r="567" spans="1:12" x14ac:dyDescent="0.2">
      <c r="A567" s="14">
        <v>0.502</v>
      </c>
      <c r="B567" s="10">
        <f t="shared" si="78"/>
        <v>8.0000426670763704E-3</v>
      </c>
      <c r="C567" s="10">
        <f t="shared" si="79"/>
        <v>1.6000085334152755E-5</v>
      </c>
      <c r="D567" s="10">
        <f t="shared" si="80"/>
        <v>1.0623638802367472</v>
      </c>
      <c r="E567" s="10">
        <f t="shared" si="81"/>
        <v>2.8932020953828013</v>
      </c>
      <c r="F567" s="10">
        <f t="shared" si="85"/>
        <v>7.8400883519216258E-3</v>
      </c>
      <c r="G567" s="10">
        <f t="shared" si="82"/>
        <v>-0.77174904505881736</v>
      </c>
      <c r="H567" s="10">
        <f t="shared" si="83"/>
        <v>0.31610087419764377</v>
      </c>
      <c r="I567" s="10">
        <f t="shared" si="86"/>
        <v>3.5186022191541211E-4</v>
      </c>
      <c r="J567" s="20">
        <f t="shared" si="84"/>
        <v>0</v>
      </c>
      <c r="K567" s="10">
        <f t="shared" si="87"/>
        <v>2.7135091083543283E-3</v>
      </c>
      <c r="L567" s="10">
        <f t="shared" si="88"/>
        <v>1.6281054650125748E-3</v>
      </c>
    </row>
    <row r="568" spans="1:12" x14ac:dyDescent="0.2">
      <c r="A568" s="14">
        <v>0.503</v>
      </c>
      <c r="B568" s="10">
        <f t="shared" si="78"/>
        <v>1.2000144003110558E-2</v>
      </c>
      <c r="C568" s="10">
        <f t="shared" si="79"/>
        <v>3.6000432009331704E-5</v>
      </c>
      <c r="D568" s="10">
        <f t="shared" si="80"/>
        <v>1.0650861711405395</v>
      </c>
      <c r="E568" s="10">
        <f t="shared" si="81"/>
        <v>2.9010889634337609</v>
      </c>
      <c r="F568" s="10">
        <f t="shared" si="85"/>
        <v>7.8868680509596167E-3</v>
      </c>
      <c r="G568" s="10">
        <f t="shared" si="82"/>
        <v>-0.77011567051654206</v>
      </c>
      <c r="H568" s="10">
        <f t="shared" si="83"/>
        <v>0.31645408493929111</v>
      </c>
      <c r="I568" s="10">
        <f t="shared" si="86"/>
        <v>3.5321074164734734E-4</v>
      </c>
      <c r="J568" s="20">
        <f t="shared" si="84"/>
        <v>0</v>
      </c>
      <c r="K568" s="10">
        <f t="shared" si="87"/>
        <v>2.7222909037922793E-3</v>
      </c>
      <c r="L568" s="10">
        <f t="shared" si="88"/>
        <v>1.633374542275301E-3</v>
      </c>
    </row>
    <row r="569" spans="1:12" x14ac:dyDescent="0.2">
      <c r="A569" s="14">
        <v>0.504</v>
      </c>
      <c r="B569" s="10">
        <f t="shared" si="78"/>
        <v>1.600034134644112E-2</v>
      </c>
      <c r="C569" s="10">
        <f t="shared" si="79"/>
        <v>6.4001365385764531E-5</v>
      </c>
      <c r="D569" s="10">
        <f t="shared" si="80"/>
        <v>1.0678172657957121</v>
      </c>
      <c r="E569" s="10">
        <f t="shared" si="81"/>
        <v>2.9090229412866822</v>
      </c>
      <c r="F569" s="10">
        <f t="shared" si="85"/>
        <v>7.9339778529212701E-3</v>
      </c>
      <c r="G569" s="10">
        <f t="shared" si="82"/>
        <v>-0.76847701372343835</v>
      </c>
      <c r="H569" s="10">
        <f t="shared" si="83"/>
        <v>0.31680865082318982</v>
      </c>
      <c r="I569" s="10">
        <f t="shared" si="86"/>
        <v>3.5456588389870536E-4</v>
      </c>
      <c r="J569" s="20">
        <f t="shared" si="84"/>
        <v>0</v>
      </c>
      <c r="K569" s="10">
        <f t="shared" si="87"/>
        <v>2.7310946551726278E-3</v>
      </c>
      <c r="L569" s="10">
        <f t="shared" si="88"/>
        <v>1.6386567931037099E-3</v>
      </c>
    </row>
    <row r="570" spans="1:12" x14ac:dyDescent="0.2">
      <c r="A570" s="14">
        <v>0.505</v>
      </c>
      <c r="B570" s="10">
        <f t="shared" si="78"/>
        <v>2.0000666706669435E-2</v>
      </c>
      <c r="C570" s="10">
        <f t="shared" si="79"/>
        <v>1.0000333353334726E-4</v>
      </c>
      <c r="D570" s="10">
        <f t="shared" si="80"/>
        <v>1.0705571863011794</v>
      </c>
      <c r="E570" s="10">
        <f t="shared" si="81"/>
        <v>2.9170043621305521</v>
      </c>
      <c r="F570" s="10">
        <f t="shared" si="85"/>
        <v>7.9814208438699907E-3</v>
      </c>
      <c r="G570" s="10">
        <f t="shared" si="82"/>
        <v>-0.76683306142015828</v>
      </c>
      <c r="H570" s="10">
        <f t="shared" si="83"/>
        <v>0.31716457649755575</v>
      </c>
      <c r="I570" s="10">
        <f t="shared" si="86"/>
        <v>3.5592567436593114E-4</v>
      </c>
      <c r="J570" s="20">
        <f t="shared" si="84"/>
        <v>0</v>
      </c>
      <c r="K570" s="10">
        <f t="shared" si="87"/>
        <v>2.7399205054672304E-3</v>
      </c>
      <c r="L570" s="10">
        <f t="shared" si="88"/>
        <v>1.6439523032800718E-3</v>
      </c>
    </row>
    <row r="571" spans="1:12" x14ac:dyDescent="0.2">
      <c r="A571" s="14">
        <v>0.50600000000000001</v>
      </c>
      <c r="B571" s="10">
        <f t="shared" si="78"/>
        <v>2.4001152099543045E-2</v>
      </c>
      <c r="C571" s="10">
        <f t="shared" si="79"/>
        <v>1.4400691259725841E-4</v>
      </c>
      <c r="D571" s="10">
        <f t="shared" si="80"/>
        <v>1.0733059548998982</v>
      </c>
      <c r="E571" s="10">
        <f t="shared" si="81"/>
        <v>2.9250335622745793</v>
      </c>
      <c r="F571" s="10">
        <f t="shared" si="85"/>
        <v>8.0292001440271932E-3</v>
      </c>
      <c r="G571" s="10">
        <f t="shared" si="82"/>
        <v>-0.76518380026092669</v>
      </c>
      <c r="H571" s="10">
        <f t="shared" si="83"/>
        <v>0.31752186663645626</v>
      </c>
      <c r="I571" s="10">
        <f t="shared" si="86"/>
        <v>3.5729013890051231E-4</v>
      </c>
      <c r="J571" s="20">
        <f t="shared" si="84"/>
        <v>0</v>
      </c>
      <c r="K571" s="10">
        <f t="shared" si="87"/>
        <v>2.7487685987188648E-3</v>
      </c>
      <c r="L571" s="10">
        <f t="shared" si="88"/>
        <v>1.6492611592315853E-3</v>
      </c>
    </row>
    <row r="572" spans="1:12" x14ac:dyDescent="0.2">
      <c r="A572" s="14">
        <v>0.50700000000000001</v>
      </c>
      <c r="B572" s="10">
        <f t="shared" si="78"/>
        <v>2.8001829548493135E-2</v>
      </c>
      <c r="C572" s="10">
        <f t="shared" si="79"/>
        <v>1.9601280683945212E-4</v>
      </c>
      <c r="D572" s="10">
        <f t="shared" si="80"/>
        <v>1.0760635939799554</v>
      </c>
      <c r="E572" s="10">
        <f t="shared" si="81"/>
        <v>2.9331108811828153</v>
      </c>
      <c r="F572" s="10">
        <f t="shared" si="85"/>
        <v>8.0773189082359309E-3</v>
      </c>
      <c r="G572" s="10">
        <f t="shared" si="82"/>
        <v>-0.76352921681289254</v>
      </c>
      <c r="H572" s="10">
        <f t="shared" si="83"/>
        <v>0.3178805259399653</v>
      </c>
      <c r="I572" s="10">
        <f t="shared" si="86"/>
        <v>3.5865930350903463E-4</v>
      </c>
      <c r="J572" s="20">
        <f t="shared" si="84"/>
        <v>0</v>
      </c>
      <c r="K572" s="10">
        <f t="shared" si="87"/>
        <v>2.757639080057217E-3</v>
      </c>
      <c r="L572" s="10">
        <f t="shared" si="88"/>
        <v>1.6545834480341526E-3</v>
      </c>
    </row>
    <row r="573" spans="1:12" x14ac:dyDescent="0.2">
      <c r="A573" s="14">
        <v>0.50800000000000001</v>
      </c>
      <c r="B573" s="10">
        <f t="shared" si="78"/>
        <v>3.2002731086173734E-2</v>
      </c>
      <c r="C573" s="10">
        <f t="shared" si="79"/>
        <v>2.5602184868939008E-4</v>
      </c>
      <c r="D573" s="10">
        <f t="shared" si="80"/>
        <v>1.0788301260756574</v>
      </c>
      <c r="E573" s="10">
        <f t="shared" si="81"/>
        <v>2.9412366615092087</v>
      </c>
      <c r="F573" s="10">
        <f t="shared" si="85"/>
        <v>8.1257803263934392E-3</v>
      </c>
      <c r="G573" s="10">
        <f t="shared" si="82"/>
        <v>-0.76186929755547128</v>
      </c>
      <c r="H573" s="10">
        <f t="shared" si="83"/>
        <v>0.31824055913432053</v>
      </c>
      <c r="I573" s="10">
        <f t="shared" si="86"/>
        <v>3.6003319435523595E-4</v>
      </c>
      <c r="J573" s="20">
        <f t="shared" si="84"/>
        <v>0</v>
      </c>
      <c r="K573" s="10">
        <f t="shared" si="87"/>
        <v>2.7665320957019901E-3</v>
      </c>
      <c r="L573" s="10">
        <f t="shared" si="88"/>
        <v>1.6599192574212607E-3</v>
      </c>
    </row>
    <row r="574" spans="1:12" x14ac:dyDescent="0.2">
      <c r="A574" s="14">
        <v>0.50900000000000001</v>
      </c>
      <c r="B574" s="10">
        <f t="shared" si="78"/>
        <v>3.60038887560023E-2</v>
      </c>
      <c r="C574" s="10">
        <f t="shared" si="79"/>
        <v>3.24034998804021E-4</v>
      </c>
      <c r="D574" s="10">
        <f t="shared" si="80"/>
        <v>1.0816055738686396</v>
      </c>
      <c r="E574" s="10">
        <f t="shared" si="81"/>
        <v>2.9494112491331439</v>
      </c>
      <c r="F574" s="10">
        <f t="shared" si="85"/>
        <v>8.1745876239351922E-3</v>
      </c>
      <c r="G574" s="10">
        <f t="shared" si="82"/>
        <v>-0.76020402887968197</v>
      </c>
      <c r="H574" s="10">
        <f t="shared" si="83"/>
        <v>0.31860197097208126</v>
      </c>
      <c r="I574" s="10">
        <f t="shared" si="86"/>
        <v>3.6141183776072783E-4</v>
      </c>
      <c r="J574" s="20">
        <f t="shared" si="84"/>
        <v>0</v>
      </c>
      <c r="K574" s="10">
        <f t="shared" si="87"/>
        <v>2.7754477929822219E-3</v>
      </c>
      <c r="L574" s="10">
        <f t="shared" si="88"/>
        <v>1.6652686757893109E-3</v>
      </c>
    </row>
    <row r="575" spans="1:12" x14ac:dyDescent="0.2">
      <c r="A575" s="14">
        <v>0.51</v>
      </c>
      <c r="B575" s="10">
        <f t="shared" si="78"/>
        <v>4.0005334613699206E-2</v>
      </c>
      <c r="C575" s="10">
        <f t="shared" si="79"/>
        <v>4.0005334613699243E-4</v>
      </c>
      <c r="D575" s="10">
        <f t="shared" si="80"/>
        <v>1.0843899601889795</v>
      </c>
      <c r="E575" s="10">
        <f t="shared" si="81"/>
        <v>2.95763499319543</v>
      </c>
      <c r="F575" s="10">
        <f t="shared" si="85"/>
        <v>8.223744062286098E-3</v>
      </c>
      <c r="G575" s="10">
        <f t="shared" si="82"/>
        <v>-0.75853339708747802</v>
      </c>
      <c r="H575" s="10">
        <f t="shared" si="83"/>
        <v>0.31896476623228764</v>
      </c>
      <c r="I575" s="10">
        <f t="shared" si="86"/>
        <v>3.6279526020638331E-4</v>
      </c>
      <c r="J575" s="20">
        <f t="shared" si="84"/>
        <v>0</v>
      </c>
      <c r="K575" s="10">
        <f t="shared" si="87"/>
        <v>2.7843863203398378E-3</v>
      </c>
      <c r="L575" s="10">
        <f t="shared" si="88"/>
        <v>1.6706317922039471E-3</v>
      </c>
    </row>
    <row r="576" spans="1:12" x14ac:dyDescent="0.2">
      <c r="A576" s="14">
        <v>0.51100000000000001</v>
      </c>
      <c r="B576" s="10">
        <f t="shared" si="78"/>
        <v>4.4007100728832446E-2</v>
      </c>
      <c r="C576" s="10">
        <f t="shared" si="79"/>
        <v>4.8407810801715732E-4</v>
      </c>
      <c r="D576" s="10">
        <f t="shared" si="80"/>
        <v>1.0871833080163253</v>
      </c>
      <c r="E576" s="10">
        <f t="shared" si="81"/>
        <v>2.9659082461347772</v>
      </c>
      <c r="F576" s="10">
        <f t="shared" si="85"/>
        <v>8.2732529393472198E-3</v>
      </c>
      <c r="G576" s="10">
        <f t="shared" si="82"/>
        <v>-0.75685738839107042</v>
      </c>
      <c r="H576" s="10">
        <f t="shared" si="83"/>
        <v>0.3193289497206212</v>
      </c>
      <c r="I576" s="10">
        <f t="shared" si="86"/>
        <v>3.6418348833355818E-4</v>
      </c>
      <c r="J576" s="20">
        <f t="shared" si="84"/>
        <v>0</v>
      </c>
      <c r="K576" s="10">
        <f t="shared" si="87"/>
        <v>2.7933478273458601E-3</v>
      </c>
      <c r="L576" s="10">
        <f t="shared" si="88"/>
        <v>1.6760086964076049E-3</v>
      </c>
    </row>
    <row r="577" spans="1:12" x14ac:dyDescent="0.2">
      <c r="A577" s="14">
        <v>0.51200000000000001</v>
      </c>
      <c r="B577" s="10">
        <f t="shared" si="78"/>
        <v>4.8009219186360662E-2</v>
      </c>
      <c r="C577" s="10">
        <f t="shared" si="79"/>
        <v>5.7611063023632841E-4</v>
      </c>
      <c r="D577" s="10">
        <f t="shared" si="80"/>
        <v>1.0899856404810346</v>
      </c>
      <c r="E577" s="10">
        <f t="shared" si="81"/>
        <v>2.9742313637247522</v>
      </c>
      <c r="F577" s="10">
        <f t="shared" si="85"/>
        <v>8.3231175899749488E-3</v>
      </c>
      <c r="G577" s="10">
        <f t="shared" si="82"/>
        <v>-0.75517598891224491</v>
      </c>
      <c r="H577" s="10">
        <f t="shared" si="83"/>
        <v>0.31969452626956657</v>
      </c>
      <c r="I577" s="10">
        <f t="shared" si="86"/>
        <v>3.6557654894536773E-4</v>
      </c>
      <c r="J577" s="20">
        <f t="shared" si="84"/>
        <v>0</v>
      </c>
      <c r="K577" s="10">
        <f t="shared" si="87"/>
        <v>2.8023324647092895E-3</v>
      </c>
      <c r="L577" s="10">
        <f t="shared" si="88"/>
        <v>1.6813994788255071E-3</v>
      </c>
    </row>
    <row r="578" spans="1:12" x14ac:dyDescent="0.2">
      <c r="A578" s="14">
        <v>0.51300000000000001</v>
      </c>
      <c r="B578" s="10">
        <f t="shared" ref="B578:B641" si="89">LN(A578/(1-A578))</f>
        <v>5.2011722088179758E-2</v>
      </c>
      <c r="C578" s="10">
        <f t="shared" ref="C578:C641" si="90">(A578-0.5)*B578</f>
        <v>6.7615238714633741E-4</v>
      </c>
      <c r="D578" s="10">
        <f t="shared" ref="D578:D641" si="91">$B$45+$B$46*B578+$B$47*C578</f>
        <v>1.0927969808653228</v>
      </c>
      <c r="E578" s="10">
        <f t="shared" ref="E578:E641" si="92">$B$14+EXP(D578)</f>
        <v>2.9826047051112186</v>
      </c>
      <c r="F578" s="10">
        <f t="shared" si="85"/>
        <v>8.373341386466393E-3</v>
      </c>
      <c r="G578" s="10">
        <f t="shared" ref="G578:G641" si="93">$C$45+$C$46*B578+$C$47*C578</f>
        <v>-0.75348918468167203</v>
      </c>
      <c r="H578" s="10">
        <f t="shared" ref="H578:H641" si="94">$C$14+($C$15-$C$14)/(1+EXP(-G578))</f>
        <v>0.32006150073857459</v>
      </c>
      <c r="I578" s="10">
        <f t="shared" si="86"/>
        <v>3.66974469008019E-4</v>
      </c>
      <c r="J578" s="20">
        <f t="shared" ref="J578:J641" si="95">G578-($B$22+$B$21*D578)</f>
        <v>0</v>
      </c>
      <c r="K578" s="10">
        <f t="shared" si="87"/>
        <v>2.8113403842882079E-3</v>
      </c>
      <c r="L578" s="10">
        <f t="shared" si="88"/>
        <v>1.6868042305728803E-3</v>
      </c>
    </row>
    <row r="579" spans="1:12" x14ac:dyDescent="0.2">
      <c r="A579" s="14">
        <v>0.51400000000000001</v>
      </c>
      <c r="B579" s="10">
        <f t="shared" si="89"/>
        <v>5.6014641554671306E-2</v>
      </c>
      <c r="C579" s="10">
        <f t="shared" si="90"/>
        <v>7.8420498176539895E-4</v>
      </c>
      <c r="D579" s="10">
        <f t="shared" si="91"/>
        <v>1.0956173526044257</v>
      </c>
      <c r="E579" s="10">
        <f t="shared" si="92"/>
        <v>2.9910286328502851</v>
      </c>
      <c r="F579" s="10">
        <f t="shared" ref="F579:F642" si="96">E579-E578</f>
        <v>8.4239277390665279E-3</v>
      </c>
      <c r="G579" s="10">
        <f t="shared" si="93"/>
        <v>-0.7517969616382103</v>
      </c>
      <c r="H579" s="10">
        <f t="shared" si="94"/>
        <v>0.32042987801422623</v>
      </c>
      <c r="I579" s="10">
        <f t="shared" ref="I579:I642" si="97">H579-H578</f>
        <v>3.6837727565164347E-4</v>
      </c>
      <c r="J579" s="20">
        <f t="shared" si="95"/>
        <v>0</v>
      </c>
      <c r="K579" s="10">
        <f t="shared" ref="K579:K642" si="98">D579-D578</f>
        <v>2.8203717391028782E-3</v>
      </c>
      <c r="L579" s="10">
        <f t="shared" ref="L579:L642" si="99">G579-G578</f>
        <v>1.6922230434617269E-3</v>
      </c>
    </row>
    <row r="580" spans="1:12" x14ac:dyDescent="0.2">
      <c r="A580" s="14">
        <v>0.51500000000000001</v>
      </c>
      <c r="B580" s="10">
        <f t="shared" si="89"/>
        <v>6.0018009726252951E-2</v>
      </c>
      <c r="C580" s="10">
        <f t="shared" si="90"/>
        <v>9.0027014589379509E-4</v>
      </c>
      <c r="D580" s="10">
        <f t="shared" si="91"/>
        <v>1.0984467792877728</v>
      </c>
      <c r="E580" s="10">
        <f t="shared" si="92"/>
        <v>2.9995035129467551</v>
      </c>
      <c r="F580" s="10">
        <f t="shared" si="96"/>
        <v>8.4748800964700166E-3</v>
      </c>
      <c r="G580" s="10">
        <f t="shared" si="93"/>
        <v>-0.75009930562820204</v>
      </c>
      <c r="H580" s="10">
        <f t="shared" si="94"/>
        <v>0.32079966301039864</v>
      </c>
      <c r="I580" s="10">
        <f t="shared" si="97"/>
        <v>3.6978499617240645E-4</v>
      </c>
      <c r="J580" s="20">
        <f t="shared" si="95"/>
        <v>0</v>
      </c>
      <c r="K580" s="10">
        <f t="shared" si="98"/>
        <v>2.8294266833470694E-3</v>
      </c>
      <c r="L580" s="10">
        <f t="shared" si="99"/>
        <v>1.6976560100082638E-3</v>
      </c>
    </row>
    <row r="581" spans="1:12" x14ac:dyDescent="0.2">
      <c r="A581" s="14">
        <v>0.51600000000000001</v>
      </c>
      <c r="B581" s="10">
        <f t="shared" si="89"/>
        <v>6.4021858764931022E-2</v>
      </c>
      <c r="C581" s="10">
        <f t="shared" si="90"/>
        <v>1.0243497402388972E-3</v>
      </c>
      <c r="D581" s="10">
        <f t="shared" si="91"/>
        <v>1.1012852846601711</v>
      </c>
      <c r="E581" s="10">
        <f t="shared" si="92"/>
        <v>3.0080297148930839</v>
      </c>
      <c r="F581" s="10">
        <f t="shared" si="96"/>
        <v>8.5262019463288041E-3</v>
      </c>
      <c r="G581" s="10">
        <f t="shared" si="93"/>
        <v>-0.74839620240476312</v>
      </c>
      <c r="H581" s="10">
        <f t="shared" si="94"/>
        <v>0.32117086066843153</v>
      </c>
      <c r="I581" s="10">
        <f t="shared" si="97"/>
        <v>3.7119765803289573E-4</v>
      </c>
      <c r="J581" s="20">
        <f t="shared" si="95"/>
        <v>0</v>
      </c>
      <c r="K581" s="10">
        <f t="shared" si="98"/>
        <v>2.8385053723982701E-3</v>
      </c>
      <c r="L581" s="10">
        <f t="shared" si="99"/>
        <v>1.7031032234389176E-3</v>
      </c>
    </row>
    <row r="582" spans="1:12" x14ac:dyDescent="0.2">
      <c r="A582" s="14">
        <v>0.51700000000000002</v>
      </c>
      <c r="B582" s="10">
        <f t="shared" si="89"/>
        <v>6.8026220855856495E-2</v>
      </c>
      <c r="C582" s="10">
        <f t="shared" si="90"/>
        <v>1.1564457545495614E-3</v>
      </c>
      <c r="D582" s="10">
        <f t="shared" si="91"/>
        <v>1.1041328926230023</v>
      </c>
      <c r="E582" s="10">
        <f t="shared" si="92"/>
        <v>3.016607611708864</v>
      </c>
      <c r="F582" s="10">
        <f t="shared" si="96"/>
        <v>8.5778968157801394E-3</v>
      </c>
      <c r="G582" s="10">
        <f t="shared" si="93"/>
        <v>-0.74668763762706425</v>
      </c>
      <c r="H582" s="10">
        <f t="shared" si="94"/>
        <v>0.32154347595729554</v>
      </c>
      <c r="I582" s="10">
        <f t="shared" si="97"/>
        <v>3.7261528886400885E-4</v>
      </c>
      <c r="J582" s="20">
        <f t="shared" si="95"/>
        <v>0</v>
      </c>
      <c r="K582" s="10">
        <f t="shared" si="98"/>
        <v>2.8476079628312334E-3</v>
      </c>
      <c r="L582" s="10">
        <f t="shared" si="99"/>
        <v>1.7085647776988733E-3</v>
      </c>
    </row>
    <row r="583" spans="1:12" x14ac:dyDescent="0.2">
      <c r="A583" s="14">
        <v>0.51800000000000002</v>
      </c>
      <c r="B583" s="10">
        <f t="shared" si="89"/>
        <v>7.2031128208882925E-2</v>
      </c>
      <c r="C583" s="10">
        <f t="shared" si="90"/>
        <v>1.2965603077598937E-3</v>
      </c>
      <c r="D583" s="10">
        <f t="shared" si="91"/>
        <v>1.1069896272354334</v>
      </c>
      <c r="E583" s="10">
        <f t="shared" si="92"/>
        <v>3.0252375799808409</v>
      </c>
      <c r="F583" s="10">
        <f t="shared" si="96"/>
        <v>8.6299682719768178E-3</v>
      </c>
      <c r="G583" s="10">
        <f t="shared" si="93"/>
        <v>-0.74497359685960562</v>
      </c>
      <c r="H583" s="10">
        <f t="shared" si="94"/>
        <v>0.32191751387376177</v>
      </c>
      <c r="I583" s="10">
        <f t="shared" si="97"/>
        <v>3.7403791646622997E-4</v>
      </c>
      <c r="J583" s="20">
        <f t="shared" si="95"/>
        <v>0</v>
      </c>
      <c r="K583" s="10">
        <f t="shared" si="98"/>
        <v>2.8567346124310777E-3</v>
      </c>
      <c r="L583" s="10">
        <f t="shared" si="99"/>
        <v>1.7140407674586244E-3</v>
      </c>
    </row>
    <row r="584" spans="1:12" x14ac:dyDescent="0.2">
      <c r="A584" s="14">
        <v>0.51900000000000002</v>
      </c>
      <c r="B584" s="10">
        <f t="shared" si="89"/>
        <v>7.6036613060127559E-2</v>
      </c>
      <c r="C584" s="10">
        <f t="shared" si="90"/>
        <v>1.4446956481424249E-3</v>
      </c>
      <c r="D584" s="10">
        <f t="shared" si="91"/>
        <v>1.1098555127156355</v>
      </c>
      <c r="E584" s="10">
        <f t="shared" si="92"/>
        <v>3.0339199999034556</v>
      </c>
      <c r="F584" s="10">
        <f t="shared" si="96"/>
        <v>8.6824199226147591E-3</v>
      </c>
      <c r="G584" s="10">
        <f t="shared" si="93"/>
        <v>-0.74325406557148443</v>
      </c>
      <c r="H584" s="10">
        <f t="shared" si="94"/>
        <v>0.32229297944257251</v>
      </c>
      <c r="I584" s="10">
        <f t="shared" si="97"/>
        <v>3.7546556881074E-4</v>
      </c>
      <c r="J584" s="20">
        <f t="shared" si="95"/>
        <v>0</v>
      </c>
      <c r="K584" s="10">
        <f t="shared" si="98"/>
        <v>2.8658854802021683E-3</v>
      </c>
      <c r="L584" s="10">
        <f t="shared" si="99"/>
        <v>1.7195312881211899E-3</v>
      </c>
    </row>
    <row r="585" spans="1:12" x14ac:dyDescent="0.2">
      <c r="A585" s="14">
        <v>0.52</v>
      </c>
      <c r="B585" s="10">
        <f t="shared" si="89"/>
        <v>8.0042707673536564E-2</v>
      </c>
      <c r="C585" s="10">
        <f t="shared" si="90"/>
        <v>1.6008541534707327E-3</v>
      </c>
      <c r="D585" s="10">
        <f t="shared" si="91"/>
        <v>1.1127305734420194</v>
      </c>
      <c r="E585" s="10">
        <f t="shared" si="92"/>
        <v>3.0426552553199446</v>
      </c>
      <c r="F585" s="10">
        <f t="shared" si="96"/>
        <v>8.7352554164890073E-3</v>
      </c>
      <c r="G585" s="10">
        <f t="shared" si="93"/>
        <v>-0.74152902913565411</v>
      </c>
      <c r="H585" s="10">
        <f t="shared" si="94"/>
        <v>0.32266987771661337</v>
      </c>
      <c r="I585" s="10">
        <f t="shared" si="97"/>
        <v>3.7689827404085996E-4</v>
      </c>
      <c r="J585" s="20">
        <f t="shared" si="95"/>
        <v>0</v>
      </c>
      <c r="K585" s="10">
        <f t="shared" si="98"/>
        <v>2.8750607263838823E-3</v>
      </c>
      <c r="L585" s="10">
        <f t="shared" si="99"/>
        <v>1.7250364358303294E-3</v>
      </c>
    </row>
    <row r="586" spans="1:12" x14ac:dyDescent="0.2">
      <c r="A586" s="14">
        <v>0.52100000000000002</v>
      </c>
      <c r="B586" s="10">
        <f t="shared" si="89"/>
        <v>8.4049444342451859E-2</v>
      </c>
      <c r="C586" s="10">
        <f t="shared" si="90"/>
        <v>1.7650383311914907E-3</v>
      </c>
      <c r="D586" s="10">
        <f t="shared" si="91"/>
        <v>1.1156148339544809</v>
      </c>
      <c r="E586" s="10">
        <f t="shared" si="92"/>
        <v>3.0514437337639859</v>
      </c>
      <c r="F586" s="10">
        <f t="shared" si="96"/>
        <v>8.7884784440412922E-3</v>
      </c>
      <c r="G586" s="10">
        <f t="shared" si="93"/>
        <v>-0.73979847282817723</v>
      </c>
      <c r="H586" s="10">
        <f t="shared" si="94"/>
        <v>0.32304821377708687</v>
      </c>
      <c r="I586" s="10">
        <f t="shared" si="97"/>
        <v>3.7833606047349422E-4</v>
      </c>
      <c r="J586" s="20">
        <f t="shared" si="95"/>
        <v>0</v>
      </c>
      <c r="K586" s="10">
        <f t="shared" si="98"/>
        <v>2.8842605124614895E-3</v>
      </c>
      <c r="L586" s="10">
        <f t="shared" si="99"/>
        <v>1.7305563074768715E-3</v>
      </c>
    </row>
    <row r="587" spans="1:12" x14ac:dyDescent="0.2">
      <c r="A587" s="14">
        <v>0.52200000000000002</v>
      </c>
      <c r="B587" s="10">
        <f t="shared" si="89"/>
        <v>8.8056855391182867E-2</v>
      </c>
      <c r="C587" s="10">
        <f t="shared" si="90"/>
        <v>1.9372508186060247E-3</v>
      </c>
      <c r="D587" s="10">
        <f t="shared" si="91"/>
        <v>1.1185083189556608</v>
      </c>
      <c r="E587" s="10">
        <f t="shared" si="92"/>
        <v>3.0602858265019139</v>
      </c>
      <c r="F587" s="10">
        <f t="shared" si="96"/>
        <v>8.8420927379280201E-3</v>
      </c>
      <c r="G587" s="10">
        <f t="shared" si="93"/>
        <v>-0.7380623818274693</v>
      </c>
      <c r="H587" s="10">
        <f t="shared" si="94"/>
        <v>0.32342799273368728</v>
      </c>
      <c r="I587" s="10">
        <f t="shared" si="97"/>
        <v>3.7977895660040728E-4</v>
      </c>
      <c r="J587" s="20">
        <f t="shared" si="95"/>
        <v>0</v>
      </c>
      <c r="K587" s="10">
        <f t="shared" si="98"/>
        <v>2.8934850011799185E-3</v>
      </c>
      <c r="L587" s="10">
        <f t="shared" si="99"/>
        <v>1.7360910007079289E-3</v>
      </c>
    </row>
    <row r="588" spans="1:12" x14ac:dyDescent="0.2">
      <c r="A588" s="14">
        <v>0.52300000000000002</v>
      </c>
      <c r="B588" s="10">
        <f t="shared" si="89"/>
        <v>9.2064973176581799E-2</v>
      </c>
      <c r="C588" s="10">
        <f t="shared" si="90"/>
        <v>2.1174943830613831E-3</v>
      </c>
      <c r="D588" s="10">
        <f t="shared" si="91"/>
        <v>1.1214110533122157</v>
      </c>
      <c r="E588" s="10">
        <f t="shared" si="92"/>
        <v>3.0691819285754964</v>
      </c>
      <c r="F588" s="10">
        <f t="shared" si="96"/>
        <v>8.8961020735824903E-3</v>
      </c>
      <c r="G588" s="10">
        <f t="shared" si="93"/>
        <v>-0.7363207412135363</v>
      </c>
      <c r="H588" s="10">
        <f t="shared" si="94"/>
        <v>0.32380921972477694</v>
      </c>
      <c r="I588" s="10">
        <f t="shared" si="97"/>
        <v>3.8122699108966707E-4</v>
      </c>
      <c r="J588" s="20">
        <f t="shared" si="95"/>
        <v>0</v>
      </c>
      <c r="K588" s="10">
        <f t="shared" si="98"/>
        <v>2.9027343565548591E-3</v>
      </c>
      <c r="L588" s="10">
        <f t="shared" si="99"/>
        <v>1.7416406139330043E-3</v>
      </c>
    </row>
    <row r="589" spans="1:12" x14ac:dyDescent="0.2">
      <c r="A589" s="14">
        <v>0.52400000000000002</v>
      </c>
      <c r="B589" s="10">
        <f t="shared" si="89"/>
        <v>9.6073830089622239E-2</v>
      </c>
      <c r="C589" s="10">
        <f t="shared" si="90"/>
        <v>2.3057719221509358E-3</v>
      </c>
      <c r="D589" s="10">
        <f t="shared" si="91"/>
        <v>1.1243230620561051</v>
      </c>
      <c r="E589" s="10">
        <f t="shared" si="92"/>
        <v>3.0781324388453064</v>
      </c>
      <c r="F589" s="10">
        <f t="shared" si="96"/>
        <v>8.9505102698099748E-3</v>
      </c>
      <c r="G589" s="10">
        <f t="shared" si="93"/>
        <v>-0.73457353596720265</v>
      </c>
      <c r="H589" s="10">
        <f t="shared" si="94"/>
        <v>0.32419189991756397</v>
      </c>
      <c r="I589" s="10">
        <f t="shared" si="97"/>
        <v>3.8268019278703269E-4</v>
      </c>
      <c r="J589" s="20">
        <f t="shared" si="95"/>
        <v>0</v>
      </c>
      <c r="K589" s="10">
        <f t="shared" si="98"/>
        <v>2.912008743889416E-3</v>
      </c>
      <c r="L589" s="10">
        <f t="shared" si="99"/>
        <v>1.7472052463336496E-3</v>
      </c>
    </row>
    <row r="590" spans="1:12" x14ac:dyDescent="0.2">
      <c r="A590" s="14">
        <v>0.52500000000000002</v>
      </c>
      <c r="B590" s="10">
        <f t="shared" si="89"/>
        <v>0.10008345855698263</v>
      </c>
      <c r="C590" s="10">
        <f t="shared" si="90"/>
        <v>2.5020864639245678E-3</v>
      </c>
      <c r="D590" s="10">
        <f t="shared" si="91"/>
        <v>1.1272443703858874</v>
      </c>
      <c r="E590" s="10">
        <f t="shared" si="92"/>
        <v>3.0871377600346643</v>
      </c>
      <c r="F590" s="10">
        <f t="shared" si="96"/>
        <v>9.0053211893579288E-3</v>
      </c>
      <c r="G590" s="10">
        <f t="shared" si="93"/>
        <v>-0.7328207509693333</v>
      </c>
      <c r="H590" s="10">
        <f t="shared" si="94"/>
        <v>0.32457603850828132</v>
      </c>
      <c r="I590" s="10">
        <f t="shared" si="97"/>
        <v>3.8413859071734224E-4</v>
      </c>
      <c r="J590" s="20">
        <f t="shared" si="95"/>
        <v>0</v>
      </c>
      <c r="K590" s="10">
        <f t="shared" si="98"/>
        <v>2.9213083297823239E-3</v>
      </c>
      <c r="L590" s="10">
        <f t="shared" si="99"/>
        <v>1.7527849978693499E-3</v>
      </c>
    </row>
    <row r="591" spans="1:12" x14ac:dyDescent="0.2">
      <c r="A591" s="14">
        <v>0.52600000000000002</v>
      </c>
      <c r="B591" s="10">
        <f t="shared" si="89"/>
        <v>0.10409389104263336</v>
      </c>
      <c r="C591" s="10">
        <f t="shared" si="90"/>
        <v>2.7064411671084698E-3</v>
      </c>
      <c r="D591" s="10">
        <f t="shared" si="91"/>
        <v>1.1301750036680331</v>
      </c>
      <c r="E591" s="10">
        <f t="shared" si="92"/>
        <v>3.0961982987741967</v>
      </c>
      <c r="F591" s="10">
        <f t="shared" si="96"/>
        <v>9.0605387395323866E-3</v>
      </c>
      <c r="G591" s="10">
        <f t="shared" si="93"/>
        <v>-0.7310623710000459</v>
      </c>
      <c r="H591" s="10">
        <f t="shared" si="94"/>
        <v>0.32496164072236727</v>
      </c>
      <c r="I591" s="10">
        <f t="shared" si="97"/>
        <v>3.8560221408595607E-4</v>
      </c>
      <c r="J591" s="20">
        <f t="shared" si="95"/>
        <v>0</v>
      </c>
      <c r="K591" s="10">
        <f t="shared" si="98"/>
        <v>2.9306332821457115E-3</v>
      </c>
      <c r="L591" s="10">
        <f t="shared" si="99"/>
        <v>1.7583799692874047E-3</v>
      </c>
    </row>
    <row r="592" spans="1:12" x14ac:dyDescent="0.2">
      <c r="A592" s="14">
        <v>0.52700000000000002</v>
      </c>
      <c r="B592" s="10">
        <f t="shared" si="89"/>
        <v>0.10810516004942952</v>
      </c>
      <c r="C592" s="10">
        <f t="shared" si="90"/>
        <v>2.9188393213345999E-3</v>
      </c>
      <c r="D592" s="10">
        <f t="shared" si="91"/>
        <v>1.13311498743825</v>
      </c>
      <c r="E592" s="10">
        <f t="shared" si="92"/>
        <v>3.1053144656469907</v>
      </c>
      <c r="F592" s="10">
        <f t="shared" si="96"/>
        <v>9.1161668727939293E-3</v>
      </c>
      <c r="G592" s="10">
        <f t="shared" si="93"/>
        <v>-0.72929838073791564</v>
      </c>
      <c r="H592" s="10">
        <f t="shared" si="94"/>
        <v>0.32534871181464764</v>
      </c>
      <c r="I592" s="10">
        <f t="shared" si="97"/>
        <v>3.8707109228036662E-4</v>
      </c>
      <c r="J592" s="20">
        <f t="shared" si="95"/>
        <v>0</v>
      </c>
      <c r="K592" s="10">
        <f t="shared" si="98"/>
        <v>2.9399837702168696E-3</v>
      </c>
      <c r="L592" s="10">
        <f t="shared" si="99"/>
        <v>1.763990262130255E-3</v>
      </c>
    </row>
    <row r="593" spans="1:12" x14ac:dyDescent="0.2">
      <c r="A593" s="14">
        <v>0.52800000000000002</v>
      </c>
      <c r="B593" s="10">
        <f t="shared" si="89"/>
        <v>0.11211729812070621</v>
      </c>
      <c r="C593" s="10">
        <f t="shared" si="90"/>
        <v>3.1392843473797769E-3</v>
      </c>
      <c r="D593" s="10">
        <f t="shared" si="91"/>
        <v>1.136064347402822</v>
      </c>
      <c r="E593" s="10">
        <f t="shared" si="92"/>
        <v>3.1144866752343723</v>
      </c>
      <c r="F593" s="10">
        <f t="shared" si="96"/>
        <v>9.1722095873816301E-3</v>
      </c>
      <c r="G593" s="10">
        <f t="shared" si="93"/>
        <v>-0.72752876475917261</v>
      </c>
      <c r="H593" s="10">
        <f t="shared" si="94"/>
        <v>0.32573725706951867</v>
      </c>
      <c r="I593" s="10">
        <f t="shared" si="97"/>
        <v>3.8854525487103109E-4</v>
      </c>
      <c r="J593" s="20">
        <f t="shared" si="95"/>
        <v>0</v>
      </c>
      <c r="K593" s="10">
        <f t="shared" si="98"/>
        <v>2.9493599645720181E-3</v>
      </c>
      <c r="L593" s="10">
        <f t="shared" si="99"/>
        <v>1.7696159787430332E-3</v>
      </c>
    </row>
    <row r="594" spans="1:12" x14ac:dyDescent="0.2">
      <c r="A594" s="14">
        <v>0.52900000000000003</v>
      </c>
      <c r="B594" s="10">
        <f t="shared" si="89"/>
        <v>0.1161303378418818</v>
      </c>
      <c r="C594" s="10">
        <f t="shared" si="90"/>
        <v>3.3677797974145753E-3</v>
      </c>
      <c r="D594" s="10">
        <f t="shared" si="91"/>
        <v>1.1390231094399623</v>
      </c>
      <c r="E594" s="10">
        <f t="shared" si="92"/>
        <v>3.1237153461623079</v>
      </c>
      <c r="F594" s="10">
        <f t="shared" si="96"/>
        <v>9.2286709279356671E-3</v>
      </c>
      <c r="G594" s="10">
        <f t="shared" si="93"/>
        <v>-0.72575350753688839</v>
      </c>
      <c r="H594" s="10">
        <f t="shared" si="94"/>
        <v>0.32612728180113265</v>
      </c>
      <c r="I594" s="10">
        <f t="shared" si="97"/>
        <v>3.9002473161398044E-4</v>
      </c>
      <c r="J594" s="20">
        <f t="shared" si="95"/>
        <v>0</v>
      </c>
      <c r="K594" s="10">
        <f t="shared" si="98"/>
        <v>2.9587620371402945E-3</v>
      </c>
      <c r="L594" s="10">
        <f t="shared" si="99"/>
        <v>1.7752572222842211E-3</v>
      </c>
    </row>
    <row r="595" spans="1:12" x14ac:dyDescent="0.2">
      <c r="A595" s="14">
        <v>0.53</v>
      </c>
      <c r="B595" s="10">
        <f t="shared" si="89"/>
        <v>0.12014431184206341</v>
      </c>
      <c r="C595" s="10">
        <f t="shared" si="90"/>
        <v>3.6043293552619053E-3</v>
      </c>
      <c r="D595" s="10">
        <f t="shared" si="91"/>
        <v>1.1419912996011805</v>
      </c>
      <c r="E595" s="10">
        <f t="shared" si="92"/>
        <v>3.133000901148447</v>
      </c>
      <c r="F595" s="10">
        <f t="shared" si="96"/>
        <v>9.285554986139033E-3</v>
      </c>
      <c r="G595" s="10">
        <f t="shared" si="93"/>
        <v>-0.72397259344015741</v>
      </c>
      <c r="H595" s="10">
        <f t="shared" si="94"/>
        <v>0.32651879135358364</v>
      </c>
      <c r="I595" s="10">
        <f t="shared" si="97"/>
        <v>3.9150955245098595E-4</v>
      </c>
      <c r="J595" s="20">
        <f t="shared" si="95"/>
        <v>0</v>
      </c>
      <c r="K595" s="10">
        <f t="shared" si="98"/>
        <v>2.9681901612181871E-3</v>
      </c>
      <c r="L595" s="10">
        <f t="shared" si="99"/>
        <v>1.7809140967309789E-3</v>
      </c>
    </row>
    <row r="596" spans="1:12" x14ac:dyDescent="0.2">
      <c r="A596" s="14">
        <v>0.53100000000000003</v>
      </c>
      <c r="B596" s="10">
        <f t="shared" si="89"/>
        <v>0.12415925279565966</v>
      </c>
      <c r="C596" s="10">
        <f t="shared" si="90"/>
        <v>3.8489368366654529E-3</v>
      </c>
      <c r="D596" s="10">
        <f t="shared" si="91"/>
        <v>1.1449689441126645</v>
      </c>
      <c r="E596" s="10">
        <f t="shared" si="92"/>
        <v>3.1423437670498067</v>
      </c>
      <c r="F596" s="10">
        <f t="shared" si="96"/>
        <v>9.3428659013596871E-3</v>
      </c>
      <c r="G596" s="10">
        <f t="shared" si="93"/>
        <v>-0.72218600673326705</v>
      </c>
      <c r="H596" s="10">
        <f t="shared" si="94"/>
        <v>0.32691179110109592</v>
      </c>
      <c r="I596" s="10">
        <f t="shared" si="97"/>
        <v>3.9299974751227928E-4</v>
      </c>
      <c r="J596" s="20">
        <f t="shared" si="95"/>
        <v>0</v>
      </c>
      <c r="K596" s="10">
        <f t="shared" si="98"/>
        <v>2.9776445114839678E-3</v>
      </c>
      <c r="L596" s="10">
        <f t="shared" si="99"/>
        <v>1.7865867068903585E-3</v>
      </c>
    </row>
    <row r="597" spans="1:12" x14ac:dyDescent="0.2">
      <c r="A597" s="14">
        <v>0.53200000000000003</v>
      </c>
      <c r="B597" s="10">
        <f t="shared" si="89"/>
        <v>0.1281751934239978</v>
      </c>
      <c r="C597" s="10">
        <f t="shared" si="90"/>
        <v>4.1016061895679332E-3</v>
      </c>
      <c r="D597" s="10">
        <f t="shared" si="91"/>
        <v>1.1479560693766757</v>
      </c>
      <c r="E597" s="10">
        <f t="shared" si="92"/>
        <v>3.1517443749111198</v>
      </c>
      <c r="F597" s="10">
        <f t="shared" si="96"/>
        <v>9.4006078613131372E-3</v>
      </c>
      <c r="G597" s="10">
        <f t="shared" si="93"/>
        <v>-0.72039373157486031</v>
      </c>
      <c r="H597" s="10">
        <f t="shared" si="94"/>
        <v>0.32730628644821297</v>
      </c>
      <c r="I597" s="10">
        <f t="shared" si="97"/>
        <v>3.9449534711705203E-4</v>
      </c>
      <c r="J597" s="20">
        <f t="shared" si="95"/>
        <v>0</v>
      </c>
      <c r="K597" s="10">
        <f t="shared" si="98"/>
        <v>2.9871252640112367E-3</v>
      </c>
      <c r="L597" s="10">
        <f t="shared" si="99"/>
        <v>1.792275158406742E-3</v>
      </c>
    </row>
    <row r="598" spans="1:12" x14ac:dyDescent="0.2">
      <c r="A598" s="14">
        <v>0.53300000000000003</v>
      </c>
      <c r="B598" s="10">
        <f t="shared" si="89"/>
        <v>0.13219216649694737</v>
      </c>
      <c r="C598" s="10">
        <f t="shared" si="90"/>
        <v>4.3623414943992668E-3</v>
      </c>
      <c r="D598" s="10">
        <f t="shared" si="91"/>
        <v>1.1509527019729604</v>
      </c>
      <c r="E598" s="10">
        <f t="shared" si="92"/>
        <v>3.1612031600138444</v>
      </c>
      <c r="F598" s="10">
        <f t="shared" si="96"/>
        <v>9.4587851027245762E-3</v>
      </c>
      <c r="G598" s="10">
        <f t="shared" si="93"/>
        <v>-0.71859575201708936</v>
      </c>
      <c r="H598" s="10">
        <f t="shared" si="94"/>
        <v>0.32770228282998864</v>
      </c>
      <c r="I598" s="10">
        <f t="shared" si="97"/>
        <v>3.959963817756762E-4</v>
      </c>
      <c r="J598" s="20">
        <f t="shared" si="95"/>
        <v>0</v>
      </c>
      <c r="K598" s="10">
        <f t="shared" si="98"/>
        <v>2.9966325962846874E-3</v>
      </c>
      <c r="L598" s="10">
        <f t="shared" si="99"/>
        <v>1.7979795577709456E-3</v>
      </c>
    </row>
    <row r="599" spans="1:12" x14ac:dyDescent="0.2">
      <c r="A599" s="14">
        <v>0.53400000000000003</v>
      </c>
      <c r="B599" s="10">
        <f t="shared" si="89"/>
        <v>0.13621020483454901</v>
      </c>
      <c r="C599" s="10">
        <f t="shared" si="90"/>
        <v>4.6311469643746704E-3</v>
      </c>
      <c r="D599" s="10">
        <f t="shared" si="91"/>
        <v>1.1539588686601747</v>
      </c>
      <c r="E599" s="10">
        <f t="shared" si="92"/>
        <v>3.1707205619258572</v>
      </c>
      <c r="F599" s="10">
        <f t="shared" si="96"/>
        <v>9.5174019120127795E-3</v>
      </c>
      <c r="G599" s="10">
        <f t="shared" si="93"/>
        <v>-0.71679205200476082</v>
      </c>
      <c r="H599" s="10">
        <f t="shared" si="94"/>
        <v>0.3280997857121794</v>
      </c>
      <c r="I599" s="10">
        <f t="shared" si="97"/>
        <v>3.9750288219075891E-4</v>
      </c>
      <c r="J599" s="20">
        <f t="shared" si="95"/>
        <v>0</v>
      </c>
      <c r="K599" s="10">
        <f t="shared" si="98"/>
        <v>3.0061666872143178E-3</v>
      </c>
      <c r="L599" s="10">
        <f t="shared" si="99"/>
        <v>1.8037000123285463E-3</v>
      </c>
    </row>
    <row r="600" spans="1:12" x14ac:dyDescent="0.2">
      <c r="A600" s="14">
        <v>0.53500000000000003</v>
      </c>
      <c r="B600" s="10">
        <f t="shared" si="89"/>
        <v>0.14022934130865031</v>
      </c>
      <c r="C600" s="10">
        <f t="shared" si="90"/>
        <v>4.9080269458027653E-3</v>
      </c>
      <c r="D600" s="10">
        <f t="shared" si="91"/>
        <v>1.1569745963773255</v>
      </c>
      <c r="E600" s="10">
        <f t="shared" si="92"/>
        <v>3.1802970245518321</v>
      </c>
      <c r="F600" s="10">
        <f t="shared" si="96"/>
        <v>9.5764626259748908E-3</v>
      </c>
      <c r="G600" s="10">
        <f t="shared" si="93"/>
        <v>-0.71498261537447028</v>
      </c>
      <c r="H600" s="10">
        <f t="shared" si="94"/>
        <v>0.32849880059143882</v>
      </c>
      <c r="I600" s="10">
        <f t="shared" si="97"/>
        <v>3.9901487925941836E-4</v>
      </c>
      <c r="J600" s="20">
        <f t="shared" si="95"/>
        <v>0</v>
      </c>
      <c r="K600" s="10">
        <f t="shared" si="98"/>
        <v>3.0157277171507513E-3</v>
      </c>
      <c r="L600" s="10">
        <f t="shared" si="99"/>
        <v>1.8094366302905396E-3</v>
      </c>
    </row>
    <row r="601" spans="1:12" x14ac:dyDescent="0.2">
      <c r="A601" s="14">
        <v>0.53600000000000003</v>
      </c>
      <c r="B601" s="10">
        <f t="shared" si="89"/>
        <v>0.14424960884454691</v>
      </c>
      <c r="C601" s="10">
        <f t="shared" si="90"/>
        <v>5.1929859184036932E-3</v>
      </c>
      <c r="D601" s="10">
        <f t="shared" si="91"/>
        <v>1.1599999122452258</v>
      </c>
      <c r="E601" s="10">
        <f t="shared" si="92"/>
        <v>3.1899329961843228</v>
      </c>
      <c r="F601" s="10">
        <f t="shared" si="96"/>
        <v>9.6359716324907474E-3</v>
      </c>
      <c r="G601" s="10">
        <f t="shared" si="93"/>
        <v>-0.71316742585373016</v>
      </c>
      <c r="H601" s="10">
        <f t="shared" si="94"/>
        <v>0.32889933299551266</v>
      </c>
      <c r="I601" s="10">
        <f t="shared" si="97"/>
        <v>4.0053240407383894E-4</v>
      </c>
      <c r="J601" s="20">
        <f t="shared" si="95"/>
        <v>0</v>
      </c>
      <c r="K601" s="10">
        <f t="shared" si="98"/>
        <v>3.0253158679003356E-3</v>
      </c>
      <c r="L601" s="10">
        <f t="shared" si="99"/>
        <v>1.8151895207401125E-3</v>
      </c>
    </row>
    <row r="602" spans="1:12" x14ac:dyDescent="0.2">
      <c r="A602" s="14">
        <v>0.53700000000000003</v>
      </c>
      <c r="B602" s="10">
        <f t="shared" si="89"/>
        <v>0.14827104042263065</v>
      </c>
      <c r="C602" s="10">
        <f t="shared" si="90"/>
        <v>5.4860284956373389E-3</v>
      </c>
      <c r="D602" s="10">
        <f t="shared" si="91"/>
        <v>1.1630348435679658</v>
      </c>
      <c r="E602" s="10">
        <f t="shared" si="92"/>
        <v>3.1996289295555496</v>
      </c>
      <c r="F602" s="10">
        <f t="shared" si="96"/>
        <v>9.6959333712267615E-3</v>
      </c>
      <c r="G602" s="10">
        <f t="shared" si="93"/>
        <v>-0.71134646706008631</v>
      </c>
      <c r="H602" s="10">
        <f t="shared" si="94"/>
        <v>0.32930138848343637</v>
      </c>
      <c r="I602" s="10">
        <f t="shared" si="97"/>
        <v>4.0205548792371371E-4</v>
      </c>
      <c r="J602" s="20">
        <f t="shared" si="95"/>
        <v>0</v>
      </c>
      <c r="K602" s="10">
        <f t="shared" si="98"/>
        <v>3.0349313227400199E-3</v>
      </c>
      <c r="L602" s="10">
        <f t="shared" si="99"/>
        <v>1.8209587936438565E-3</v>
      </c>
    </row>
    <row r="603" spans="1:12" x14ac:dyDescent="0.2">
      <c r="A603" s="14">
        <v>0.53800000000000003</v>
      </c>
      <c r="B603" s="10">
        <f t="shared" si="89"/>
        <v>0.15229366908004574</v>
      </c>
      <c r="C603" s="10">
        <f t="shared" si="90"/>
        <v>5.7871594250417432E-3</v>
      </c>
      <c r="D603" s="10">
        <f t="shared" si="91"/>
        <v>1.1660794178344005</v>
      </c>
      <c r="E603" s="10">
        <f t="shared" si="92"/>
        <v>3.2093852818899204</v>
      </c>
      <c r="F603" s="10">
        <f t="shared" si="96"/>
        <v>9.756352334370888E-3</v>
      </c>
      <c r="G603" s="10">
        <f t="shared" si="93"/>
        <v>-0.70951972250022532</v>
      </c>
      <c r="H603" s="10">
        <f t="shared" si="94"/>
        <v>0.32970497264573401</v>
      </c>
      <c r="I603" s="10">
        <f t="shared" si="97"/>
        <v>4.0358416229763217E-4</v>
      </c>
      <c r="J603" s="20">
        <f t="shared" si="95"/>
        <v>0</v>
      </c>
      <c r="K603" s="10">
        <f t="shared" si="98"/>
        <v>3.0445742664346742E-3</v>
      </c>
      <c r="L603" s="10">
        <f t="shared" si="99"/>
        <v>1.8267445598609822E-3</v>
      </c>
    </row>
    <row r="604" spans="1:12" x14ac:dyDescent="0.2">
      <c r="A604" s="14">
        <v>0.53900000000000003</v>
      </c>
      <c r="B604" s="10">
        <f t="shared" si="89"/>
        <v>0.15631752791234874</v>
      </c>
      <c r="C604" s="10">
        <f t="shared" si="90"/>
        <v>6.0963835885816057E-3</v>
      </c>
      <c r="D604" s="10">
        <f t="shared" si="91"/>
        <v>1.1691336627196525</v>
      </c>
      <c r="E604" s="10">
        <f t="shared" si="92"/>
        <v>3.2192025149572792</v>
      </c>
      <c r="F604" s="10">
        <f t="shared" si="96"/>
        <v>9.8172330673587105E-3</v>
      </c>
      <c r="G604" s="10">
        <f t="shared" si="93"/>
        <v>-0.70768717556907434</v>
      </c>
      <c r="H604" s="10">
        <f t="shared" si="94"/>
        <v>0.33011009110461842</v>
      </c>
      <c r="I604" s="10">
        <f t="shared" si="97"/>
        <v>4.0511845888441256E-4</v>
      </c>
      <c r="J604" s="20">
        <f t="shared" si="95"/>
        <v>0</v>
      </c>
      <c r="K604" s="10">
        <f t="shared" si="98"/>
        <v>3.0542448852519666E-3</v>
      </c>
      <c r="L604" s="10">
        <f t="shared" si="99"/>
        <v>1.8325469311509801E-3</v>
      </c>
    </row>
    <row r="605" spans="1:12" x14ac:dyDescent="0.2">
      <c r="A605" s="14">
        <v>0.54</v>
      </c>
      <c r="B605" s="10">
        <f t="shared" si="89"/>
        <v>0.16034265007517948</v>
      </c>
      <c r="C605" s="10">
        <f t="shared" si="90"/>
        <v>6.4137060030071847E-3</v>
      </c>
      <c r="D605" s="10">
        <f t="shared" si="91"/>
        <v>1.1721976060866288</v>
      </c>
      <c r="E605" s="10">
        <f t="shared" si="92"/>
        <v>3.2290810951268942</v>
      </c>
      <c r="F605" s="10">
        <f t="shared" si="96"/>
        <v>9.8785801696150699E-3</v>
      </c>
      <c r="G605" s="10">
        <f t="shared" si="93"/>
        <v>-0.7058488095488884</v>
      </c>
      <c r="H605" s="10">
        <f t="shared" si="94"/>
        <v>0.33051674951419352</v>
      </c>
      <c r="I605" s="10">
        <f t="shared" si="97"/>
        <v>4.0665840957510024E-4</v>
      </c>
      <c r="J605" s="20">
        <f t="shared" si="95"/>
        <v>0</v>
      </c>
      <c r="K605" s="10">
        <f t="shared" si="98"/>
        <v>3.0639433669763516E-3</v>
      </c>
      <c r="L605" s="10">
        <f t="shared" si="99"/>
        <v>1.8383660201859442E-3</v>
      </c>
    </row>
    <row r="606" spans="1:12" x14ac:dyDescent="0.2">
      <c r="A606" s="14">
        <v>0.54100000000000004</v>
      </c>
      <c r="B606" s="10">
        <f t="shared" si="89"/>
        <v>0.16436906878593652</v>
      </c>
      <c r="C606" s="10">
        <f t="shared" si="90"/>
        <v>6.7391318202234029E-3</v>
      </c>
      <c r="D606" s="10">
        <f t="shared" si="91"/>
        <v>1.1752712759875588</v>
      </c>
      <c r="E606" s="10">
        <f t="shared" si="92"/>
        <v>3.2390214934222219</v>
      </c>
      <c r="F606" s="10">
        <f t="shared" si="96"/>
        <v>9.9403982953276682E-3</v>
      </c>
      <c r="G606" s="10">
        <f t="shared" si="93"/>
        <v>-0.7040046076083305</v>
      </c>
      <c r="H606" s="10">
        <f t="shared" si="94"/>
        <v>0.33092495356065776</v>
      </c>
      <c r="I606" s="10">
        <f t="shared" si="97"/>
        <v>4.0820404646424446E-4</v>
      </c>
      <c r="J606" s="20">
        <f t="shared" si="95"/>
        <v>0</v>
      </c>
      <c r="K606" s="10">
        <f t="shared" si="98"/>
        <v>3.0736699009299429E-3</v>
      </c>
      <c r="L606" s="10">
        <f t="shared" si="99"/>
        <v>1.8442019405578991E-3</v>
      </c>
    </row>
    <row r="607" spans="1:12" x14ac:dyDescent="0.2">
      <c r="A607" s="14">
        <v>0.54200000000000004</v>
      </c>
      <c r="B607" s="10">
        <f t="shared" si="89"/>
        <v>0.16839681732546141</v>
      </c>
      <c r="C607" s="10">
        <f t="shared" si="90"/>
        <v>7.0726663276693856E-3</v>
      </c>
      <c r="D607" s="10">
        <f t="shared" si="91"/>
        <v>1.178354700665543</v>
      </c>
      <c r="E607" s="10">
        <f t="shared" si="92"/>
        <v>3.2490241855764239</v>
      </c>
      <c r="F607" s="10">
        <f t="shared" si="96"/>
        <v>1.000269215420202E-2</v>
      </c>
      <c r="G607" s="10">
        <f t="shared" si="93"/>
        <v>-0.70215455280153982</v>
      </c>
      <c r="H607" s="10">
        <f t="shared" si="94"/>
        <v>0.3313347089625101</v>
      </c>
      <c r="I607" s="10">
        <f t="shared" si="97"/>
        <v>4.0975540185234083E-4</v>
      </c>
      <c r="J607" s="20">
        <f t="shared" si="95"/>
        <v>0</v>
      </c>
      <c r="K607" s="10">
        <f t="shared" si="98"/>
        <v>3.0834246779842811E-3</v>
      </c>
      <c r="L607" s="10">
        <f t="shared" si="99"/>
        <v>1.8500548067906797E-3</v>
      </c>
    </row>
    <row r="608" spans="1:12" x14ac:dyDescent="0.2">
      <c r="A608" s="14">
        <v>0.54300000000000004</v>
      </c>
      <c r="B608" s="10">
        <f t="shared" si="89"/>
        <v>0.17242592903973097</v>
      </c>
      <c r="C608" s="10">
        <f t="shared" si="90"/>
        <v>7.4143149487084382E-3</v>
      </c>
      <c r="D608" s="10">
        <f t="shared" si="91"/>
        <v>1.1814479085561234</v>
      </c>
      <c r="E608" s="10">
        <f t="shared" si="92"/>
        <v>3.2590896520886781</v>
      </c>
      <c r="F608" s="10">
        <f t="shared" si="96"/>
        <v>1.0065466512254151E-2</v>
      </c>
      <c r="G608" s="10">
        <f t="shared" si="93"/>
        <v>-0.70029862806719156</v>
      </c>
      <c r="H608" s="10">
        <f t="shared" si="94"/>
        <v>0.33174602147075644</v>
      </c>
      <c r="I608" s="10">
        <f t="shared" si="97"/>
        <v>4.1131250824633092E-4</v>
      </c>
      <c r="J608" s="20">
        <f t="shared" si="95"/>
        <v>0</v>
      </c>
      <c r="K608" s="10">
        <f t="shared" si="98"/>
        <v>3.0932078905803184E-3</v>
      </c>
      <c r="L608" s="10">
        <f t="shared" si="99"/>
        <v>1.8559247343482577E-3</v>
      </c>
    </row>
    <row r="609" spans="1:12" x14ac:dyDescent="0.2">
      <c r="A609" s="14">
        <v>0.54400000000000004</v>
      </c>
      <c r="B609" s="10">
        <f t="shared" si="89"/>
        <v>0.17645643734155667</v>
      </c>
      <c r="C609" s="10">
        <f t="shared" si="90"/>
        <v>7.7640832430284999E-3</v>
      </c>
      <c r="D609" s="10">
        <f t="shared" si="91"/>
        <v>1.1845509282888669</v>
      </c>
      <c r="E609" s="10">
        <f t="shared" si="92"/>
        <v>3.2692183782812805</v>
      </c>
      <c r="F609" s="10">
        <f t="shared" si="96"/>
        <v>1.0128726192602411E-2</v>
      </c>
      <c r="G609" s="10">
        <f t="shared" si="93"/>
        <v>-0.69843681622754561</v>
      </c>
      <c r="H609" s="10">
        <f t="shared" si="94"/>
        <v>0.33215889686911876</v>
      </c>
      <c r="I609" s="10">
        <f t="shared" si="97"/>
        <v>4.1287539836232234E-4</v>
      </c>
      <c r="J609" s="20">
        <f t="shared" si="95"/>
        <v>0</v>
      </c>
      <c r="K609" s="10">
        <f t="shared" si="98"/>
        <v>3.1030197327435172E-3</v>
      </c>
      <c r="L609" s="10">
        <f t="shared" si="99"/>
        <v>1.8618118396459549E-3</v>
      </c>
    </row>
    <row r="610" spans="1:12" x14ac:dyDescent="0.2">
      <c r="A610" s="14">
        <v>0.54500000000000004</v>
      </c>
      <c r="B610" s="10">
        <f t="shared" si="89"/>
        <v>0.18048837571229381</v>
      </c>
      <c r="C610" s="10">
        <f t="shared" si="90"/>
        <v>8.1219769070532289E-3</v>
      </c>
      <c r="D610" s="10">
        <f t="shared" si="91"/>
        <v>1.1876637886889683</v>
      </c>
      <c r="E610" s="10">
        <f t="shared" si="92"/>
        <v>3.2794108543575562</v>
      </c>
      <c r="F610" s="10">
        <f t="shared" si="96"/>
        <v>1.0192476076275714E-2</v>
      </c>
      <c r="G610" s="10">
        <f t="shared" si="93"/>
        <v>-0.69656909998748484</v>
      </c>
      <c r="H610" s="10">
        <f t="shared" si="94"/>
        <v>0.33257334097424596</v>
      </c>
      <c r="I610" s="10">
        <f t="shared" si="97"/>
        <v>4.1444410512719854E-4</v>
      </c>
      <c r="J610" s="20">
        <f t="shared" si="95"/>
        <v>0</v>
      </c>
      <c r="K610" s="10">
        <f t="shared" si="98"/>
        <v>3.1128604001013915E-3</v>
      </c>
      <c r="L610" s="10">
        <f t="shared" si="99"/>
        <v>1.8677162400607683E-3</v>
      </c>
    </row>
    <row r="611" spans="1:12" x14ac:dyDescent="0.2">
      <c r="A611" s="14">
        <v>0.54600000000000004</v>
      </c>
      <c r="B611" s="10">
        <f t="shared" si="89"/>
        <v>0.18452177770355727</v>
      </c>
      <c r="C611" s="10">
        <f t="shared" si="90"/>
        <v>8.4880017743636411E-3</v>
      </c>
      <c r="D611" s="10">
        <f t="shared" si="91"/>
        <v>1.1907865187788698</v>
      </c>
      <c r="E611" s="10">
        <f t="shared" si="92"/>
        <v>3.2896675754605962</v>
      </c>
      <c r="F611" s="10">
        <f t="shared" si="96"/>
        <v>1.025672110303999E-2</v>
      </c>
      <c r="G611" s="10">
        <f t="shared" si="93"/>
        <v>-0.69469546193354381</v>
      </c>
      <c r="H611" s="10">
        <f t="shared" si="94"/>
        <v>0.33298935963592552</v>
      </c>
      <c r="I611" s="10">
        <f t="shared" si="97"/>
        <v>4.1601866167956247E-4</v>
      </c>
      <c r="J611" s="20">
        <f t="shared" si="95"/>
        <v>0</v>
      </c>
      <c r="K611" s="10">
        <f t="shared" si="98"/>
        <v>3.1227300899014931E-3</v>
      </c>
      <c r="L611" s="10">
        <f t="shared" si="99"/>
        <v>1.8736380539410291E-3</v>
      </c>
    </row>
    <row r="612" spans="1:12" x14ac:dyDescent="0.2">
      <c r="A612" s="14">
        <v>0.54700000000000004</v>
      </c>
      <c r="B612" s="10">
        <f t="shared" si="89"/>
        <v>0.18855667693894732</v>
      </c>
      <c r="C612" s="10">
        <f t="shared" si="90"/>
        <v>8.8621638161305322E-3</v>
      </c>
      <c r="D612" s="10">
        <f t="shared" si="91"/>
        <v>1.1939191477798983</v>
      </c>
      <c r="E612" s="10">
        <f t="shared" si="92"/>
        <v>3.2999890417328248</v>
      </c>
      <c r="F612" s="10">
        <f t="shared" si="96"/>
        <v>1.032146627222863E-2</v>
      </c>
      <c r="G612" s="10">
        <f t="shared" si="93"/>
        <v>-0.69281588453292675</v>
      </c>
      <c r="H612" s="10">
        <f t="shared" si="94"/>
        <v>0.33340695873729803</v>
      </c>
      <c r="I612" s="10">
        <f t="shared" si="97"/>
        <v>4.1759910137251222E-4</v>
      </c>
      <c r="J612" s="20">
        <f t="shared" si="95"/>
        <v>0</v>
      </c>
      <c r="K612" s="10">
        <f t="shared" si="98"/>
        <v>3.1326290010285085E-3</v>
      </c>
      <c r="L612" s="10">
        <f t="shared" si="99"/>
        <v>1.8795774006170607E-3</v>
      </c>
    </row>
    <row r="613" spans="1:12" x14ac:dyDescent="0.2">
      <c r="A613" s="14">
        <v>0.54800000000000004</v>
      </c>
      <c r="B613" s="10">
        <f t="shared" si="89"/>
        <v>0.19259310711578442</v>
      </c>
      <c r="C613" s="10">
        <f t="shared" si="90"/>
        <v>9.2444691415576614E-3</v>
      </c>
      <c r="D613" s="10">
        <f t="shared" si="91"/>
        <v>1.1970617051139196</v>
      </c>
      <c r="E613" s="10">
        <f t="shared" si="92"/>
        <v>3.3103757583764168</v>
      </c>
      <c r="F613" s="10">
        <f t="shared" si="96"/>
        <v>1.0386716643592031E-2</v>
      </c>
      <c r="G613" s="10">
        <f t="shared" si="93"/>
        <v>-0.69093035013251392</v>
      </c>
      <c r="H613" s="10">
        <f t="shared" si="94"/>
        <v>0.33382614419507267</v>
      </c>
      <c r="I613" s="10">
        <f t="shared" si="97"/>
        <v>4.1918545777464011E-4</v>
      </c>
      <c r="J613" s="20">
        <f t="shared" si="95"/>
        <v>0</v>
      </c>
      <c r="K613" s="10">
        <f t="shared" si="98"/>
        <v>3.1425573340213564E-3</v>
      </c>
      <c r="L613" s="10">
        <f t="shared" si="99"/>
        <v>1.885534400412836E-3</v>
      </c>
    </row>
    <row r="614" spans="1:12" x14ac:dyDescent="0.2">
      <c r="A614" s="14">
        <v>0.54900000000000004</v>
      </c>
      <c r="B614" s="10">
        <f t="shared" si="89"/>
        <v>0.19663110200685247</v>
      </c>
      <c r="C614" s="10">
        <f t="shared" si="90"/>
        <v>9.6349239983357787E-3</v>
      </c>
      <c r="D614" s="10">
        <f t="shared" si="91"/>
        <v>1.200214220405013</v>
      </c>
      <c r="E614" s="10">
        <f t="shared" si="92"/>
        <v>3.3208282357145835</v>
      </c>
      <c r="F614" s="10">
        <f t="shared" si="96"/>
        <v>1.0452477338166677E-2</v>
      </c>
      <c r="G614" s="10">
        <f t="shared" si="93"/>
        <v>-0.68903884095785795</v>
      </c>
      <c r="H614" s="10">
        <f t="shared" si="94"/>
        <v>0.33424692195974509</v>
      </c>
      <c r="I614" s="10">
        <f t="shared" si="97"/>
        <v>4.2077776467241979E-4</v>
      </c>
      <c r="J614" s="20">
        <f t="shared" si="95"/>
        <v>0</v>
      </c>
      <c r="K614" s="10">
        <f t="shared" si="98"/>
        <v>3.152515291093394E-3</v>
      </c>
      <c r="L614" s="10">
        <f t="shared" si="99"/>
        <v>1.8915091746559698E-3</v>
      </c>
    </row>
    <row r="615" spans="1:12" x14ac:dyDescent="0.2">
      <c r="A615" s="14">
        <v>0.55000000000000004</v>
      </c>
      <c r="B615" s="10">
        <f t="shared" si="89"/>
        <v>0.20067069546215141</v>
      </c>
      <c r="C615" s="10">
        <f t="shared" si="90"/>
        <v>1.003353477310758E-2</v>
      </c>
      <c r="D615" s="10">
        <f t="shared" si="91"/>
        <v>1.2033767234811603</v>
      </c>
      <c r="E615" s="10">
        <f t="shared" si="92"/>
        <v>3.3313469892537237</v>
      </c>
      <c r="F615" s="10">
        <f t="shared" si="96"/>
        <v>1.0518753539140224E-2</v>
      </c>
      <c r="G615" s="10">
        <f t="shared" si="93"/>
        <v>-0.68714133911216946</v>
      </c>
      <c r="H615" s="10">
        <f t="shared" si="94"/>
        <v>0.33466929801581685</v>
      </c>
      <c r="I615" s="10">
        <f t="shared" si="97"/>
        <v>4.2237605607176043E-4</v>
      </c>
      <c r="J615" s="20">
        <f t="shared" si="95"/>
        <v>0</v>
      </c>
      <c r="K615" s="10">
        <f t="shared" si="98"/>
        <v>3.1625030761472939E-3</v>
      </c>
      <c r="L615" s="10">
        <f t="shared" si="99"/>
        <v>1.8975018456884873E-3</v>
      </c>
    </row>
    <row r="616" spans="1:12" x14ac:dyDescent="0.2">
      <c r="A616" s="14">
        <v>0.55100000000000005</v>
      </c>
      <c r="B616" s="10">
        <f t="shared" si="89"/>
        <v>0.20471192141066033</v>
      </c>
      <c r="C616" s="10">
        <f t="shared" si="90"/>
        <v>1.0440307991943686E-2</v>
      </c>
      <c r="D616" s="10">
        <f t="shared" si="91"/>
        <v>1.2065492443759576</v>
      </c>
      <c r="E616" s="10">
        <f t="shared" si="92"/>
        <v>3.3419325397464812</v>
      </c>
      <c r="F616" s="10">
        <f t="shared" si="96"/>
        <v>1.0585550492757445E-2</v>
      </c>
      <c r="G616" s="10">
        <f t="shared" si="93"/>
        <v>-0.68523782657529109</v>
      </c>
      <c r="H616" s="10">
        <f t="shared" si="94"/>
        <v>0.33509327838201619</v>
      </c>
      <c r="I616" s="10">
        <f t="shared" si="97"/>
        <v>4.239803661993391E-4</v>
      </c>
      <c r="J616" s="20">
        <f t="shared" si="95"/>
        <v>0</v>
      </c>
      <c r="K616" s="10">
        <f t="shared" si="98"/>
        <v>3.1725208947972483E-3</v>
      </c>
      <c r="L616" s="10">
        <f t="shared" si="99"/>
        <v>1.9035125368783712E-3</v>
      </c>
    </row>
    <row r="617" spans="1:12" x14ac:dyDescent="0.2">
      <c r="A617" s="14">
        <v>0.55200000000000005</v>
      </c>
      <c r="B617" s="10">
        <f t="shared" si="89"/>
        <v>0.20875481386211039</v>
      </c>
      <c r="C617" s="10">
        <f t="shared" si="90"/>
        <v>1.085525032082975E-2</v>
      </c>
      <c r="D617" s="10">
        <f t="shared" si="91"/>
        <v>1.2097318133303436</v>
      </c>
      <c r="E617" s="10">
        <f t="shared" si="92"/>
        <v>3.352585413255698</v>
      </c>
      <c r="F617" s="10">
        <f t="shared" si="96"/>
        <v>1.0652873509216843E-2</v>
      </c>
      <c r="G617" s="10">
        <f t="shared" si="93"/>
        <v>-0.68332828520265954</v>
      </c>
      <c r="H617" s="10">
        <f t="shared" si="94"/>
        <v>0.33551886911152201</v>
      </c>
      <c r="I617" s="10">
        <f t="shared" si="97"/>
        <v>4.2559072950582033E-4</v>
      </c>
      <c r="J617" s="20">
        <f t="shared" si="95"/>
        <v>0</v>
      </c>
      <c r="K617" s="10">
        <f t="shared" si="98"/>
        <v>3.1825689543860669E-3</v>
      </c>
      <c r="L617" s="10">
        <f t="shared" si="99"/>
        <v>1.9095413726315513E-3</v>
      </c>
    </row>
    <row r="618" spans="1:12" x14ac:dyDescent="0.2">
      <c r="A618" s="14">
        <v>0.55300000000000005</v>
      </c>
      <c r="B618" s="10">
        <f t="shared" si="89"/>
        <v>0.21279940690876617</v>
      </c>
      <c r="C618" s="10">
        <f t="shared" si="90"/>
        <v>1.1278368566164617E-2</v>
      </c>
      <c r="D618" s="10">
        <f t="shared" si="91"/>
        <v>1.2129244607943463</v>
      </c>
      <c r="E618" s="10">
        <f t="shared" si="92"/>
        <v>3.3633061412192928</v>
      </c>
      <c r="F618" s="10">
        <f t="shared" si="96"/>
        <v>1.0720727963594801E-2</v>
      </c>
      <c r="G618" s="10">
        <f t="shared" si="93"/>
        <v>-0.68141269672425797</v>
      </c>
      <c r="H618" s="10">
        <f t="shared" si="94"/>
        <v>0.33594607629218809</v>
      </c>
      <c r="I618" s="10">
        <f t="shared" si="97"/>
        <v>4.2720718066607821E-4</v>
      </c>
      <c r="J618" s="20">
        <f t="shared" si="95"/>
        <v>0</v>
      </c>
      <c r="K618" s="10">
        <f t="shared" si="98"/>
        <v>3.192647464002718E-3</v>
      </c>
      <c r="L618" s="10">
        <f t="shared" si="99"/>
        <v>1.9155884784015642E-3</v>
      </c>
    </row>
    <row r="619" spans="1:12" x14ac:dyDescent="0.2">
      <c r="A619" s="14">
        <v>0.55400000000000005</v>
      </c>
      <c r="B619" s="10">
        <f t="shared" si="89"/>
        <v>0.21684573472721994</v>
      </c>
      <c r="C619" s="10">
        <f t="shared" si="90"/>
        <v>1.1709669675269888E-2</v>
      </c>
      <c r="D619" s="10">
        <f t="shared" si="91"/>
        <v>1.2161272174288504</v>
      </c>
      <c r="E619" s="10">
        <f t="shared" si="92"/>
        <v>3.3740952605160723</v>
      </c>
      <c r="F619" s="10">
        <f t="shared" si="96"/>
        <v>1.0789119296779504E-2</v>
      </c>
      <c r="G619" s="10">
        <f t="shared" si="93"/>
        <v>-0.67949104274355554</v>
      </c>
      <c r="H619" s="10">
        <f t="shared" si="94"/>
        <v>0.33637490604677023</v>
      </c>
      <c r="I619" s="10">
        <f t="shared" si="97"/>
        <v>4.2882975458213846E-4</v>
      </c>
      <c r="J619" s="20">
        <f t="shared" si="95"/>
        <v>0</v>
      </c>
      <c r="K619" s="10">
        <f t="shared" si="98"/>
        <v>3.2027566345040892E-3</v>
      </c>
      <c r="L619" s="10">
        <f t="shared" si="99"/>
        <v>1.9216539807024313E-3</v>
      </c>
    </row>
    <row r="620" spans="1:12" x14ac:dyDescent="0.2">
      <c r="A620" s="14">
        <v>0.55500000000000005</v>
      </c>
      <c r="B620" s="10">
        <f t="shared" si="89"/>
        <v>0.22089383158019443</v>
      </c>
      <c r="C620" s="10">
        <f t="shared" si="90"/>
        <v>1.2149160736910705E-2</v>
      </c>
      <c r="D620" s="10">
        <f t="shared" si="91"/>
        <v>1.2193401141073843</v>
      </c>
      <c r="E620" s="10">
        <f t="shared" si="92"/>
        <v>3.3849533135325056</v>
      </c>
      <c r="F620" s="10">
        <f t="shared" si="96"/>
        <v>1.0858053016433278E-2</v>
      </c>
      <c r="G620" s="10">
        <f t="shared" si="93"/>
        <v>-0.67756330473643522</v>
      </c>
      <c r="H620" s="10">
        <f t="shared" si="94"/>
        <v>0.33680536453315507</v>
      </c>
      <c r="I620" s="10">
        <f t="shared" si="97"/>
        <v>4.3045848638484374E-4</v>
      </c>
      <c r="J620" s="20">
        <f t="shared" si="95"/>
        <v>0</v>
      </c>
      <c r="K620" s="10">
        <f t="shared" si="98"/>
        <v>3.2128966785338609E-3</v>
      </c>
      <c r="L620" s="10">
        <f t="shared" si="99"/>
        <v>1.9277380071203165E-3</v>
      </c>
    </row>
    <row r="621" spans="1:12" x14ac:dyDescent="0.2">
      <c r="A621" s="14">
        <v>0.55600000000000005</v>
      </c>
      <c r="B621" s="10">
        <f t="shared" si="89"/>
        <v>0.22494373181835786</v>
      </c>
      <c r="C621" s="10">
        <f t="shared" si="90"/>
        <v>1.2596848981828052E-2</v>
      </c>
      <c r="D621" s="10">
        <f t="shared" si="91"/>
        <v>1.2225631819179261</v>
      </c>
      <c r="E621" s="10">
        <f t="shared" si="92"/>
        <v>3.3958808482304539</v>
      </c>
      <c r="F621" s="10">
        <f t="shared" si="96"/>
        <v>1.0927534697948271E-2</v>
      </c>
      <c r="G621" s="10">
        <f t="shared" si="93"/>
        <v>-0.67562946405010993</v>
      </c>
      <c r="H621" s="10">
        <f t="shared" si="94"/>
        <v>0.33723745794459092</v>
      </c>
      <c r="I621" s="10">
        <f t="shared" si="97"/>
        <v>4.3209341143585211E-4</v>
      </c>
      <c r="J621" s="20">
        <f t="shared" si="95"/>
        <v>0</v>
      </c>
      <c r="K621" s="10">
        <f t="shared" si="98"/>
        <v>3.2230678105418242E-3</v>
      </c>
      <c r="L621" s="10">
        <f t="shared" si="99"/>
        <v>1.9338406863252944E-3</v>
      </c>
    </row>
    <row r="622" spans="1:12" x14ac:dyDescent="0.2">
      <c r="A622" s="14">
        <v>0.55700000000000005</v>
      </c>
      <c r="B622" s="10">
        <f t="shared" si="89"/>
        <v>0.22899546988214853</v>
      </c>
      <c r="C622" s="10">
        <f t="shared" si="90"/>
        <v>1.3052741783282478E-2</v>
      </c>
      <c r="D622" s="10">
        <f t="shared" si="91"/>
        <v>1.22579645216473</v>
      </c>
      <c r="E622" s="10">
        <f t="shared" si="92"/>
        <v>3.4068784182158907</v>
      </c>
      <c r="F622" s="10">
        <f t="shared" si="96"/>
        <v>1.0997569985436773E-2</v>
      </c>
      <c r="G622" s="10">
        <f t="shared" si="93"/>
        <v>-0.6736895019020277</v>
      </c>
      <c r="H622" s="10">
        <f t="shared" si="94"/>
        <v>0.33767119250992006</v>
      </c>
      <c r="I622" s="10">
        <f t="shared" si="97"/>
        <v>4.3373456532913579E-4</v>
      </c>
      <c r="J622" s="20">
        <f t="shared" si="95"/>
        <v>0</v>
      </c>
      <c r="K622" s="10">
        <f t="shared" si="98"/>
        <v>3.2332702468038654E-3</v>
      </c>
      <c r="L622" s="10">
        <f t="shared" si="99"/>
        <v>1.9399621480822304E-3</v>
      </c>
    </row>
    <row r="623" spans="1:12" x14ac:dyDescent="0.2">
      <c r="A623" s="14">
        <v>0.55800000000000005</v>
      </c>
      <c r="B623" s="10">
        <f t="shared" si="89"/>
        <v>0.23304908030361296</v>
      </c>
      <c r="C623" s="10">
        <f t="shared" si="90"/>
        <v>1.3516846657609563E-2</v>
      </c>
      <c r="D623" s="10">
        <f t="shared" si="91"/>
        <v>1.2290399563701719</v>
      </c>
      <c r="E623" s="10">
        <f t="shared" si="92"/>
        <v>3.4179465828086211</v>
      </c>
      <c r="F623" s="10">
        <f t="shared" si="96"/>
        <v>1.1068164592730412E-2</v>
      </c>
      <c r="G623" s="10">
        <f t="shared" si="93"/>
        <v>-0.6717433993787626</v>
      </c>
      <c r="H623" s="10">
        <f t="shared" si="94"/>
        <v>0.33810657449381382</v>
      </c>
      <c r="I623" s="10">
        <f t="shared" si="97"/>
        <v>4.3538198389375671E-4</v>
      </c>
      <c r="J623" s="20">
        <f t="shared" si="95"/>
        <v>0</v>
      </c>
      <c r="K623" s="10">
        <f t="shared" si="98"/>
        <v>3.2435042054419494E-3</v>
      </c>
      <c r="L623" s="10">
        <f t="shared" si="99"/>
        <v>1.946102523265103E-3</v>
      </c>
    </row>
    <row r="624" spans="1:12" x14ac:dyDescent="0.2">
      <c r="A624" s="14">
        <v>0.55900000000000005</v>
      </c>
      <c r="B624" s="10">
        <f t="shared" si="89"/>
        <v>0.23710459770825335</v>
      </c>
      <c r="C624" s="10">
        <f t="shared" si="90"/>
        <v>1.398917126478696E-2</v>
      </c>
      <c r="D624" s="10">
        <f t="shared" si="91"/>
        <v>1.2322937262766189</v>
      </c>
      <c r="E624" s="10">
        <f t="shared" si="92"/>
        <v>3.4290859071130226</v>
      </c>
      <c r="F624" s="10">
        <f t="shared" si="96"/>
        <v>1.1139324304401566E-2</v>
      </c>
      <c r="G624" s="10">
        <f t="shared" si="93"/>
        <v>-0.66979113743489438</v>
      </c>
      <c r="H624" s="10">
        <f t="shared" si="94"/>
        <v>0.33854361019700879</v>
      </c>
      <c r="I624" s="10">
        <f t="shared" si="97"/>
        <v>4.3703570319497675E-4</v>
      </c>
      <c r="J624" s="20">
        <f t="shared" si="95"/>
        <v>0</v>
      </c>
      <c r="K624" s="10">
        <f t="shared" si="98"/>
        <v>3.2537699064469905E-3</v>
      </c>
      <c r="L624" s="10">
        <f t="shared" si="99"/>
        <v>1.9522619438682165E-3</v>
      </c>
    </row>
    <row r="625" spans="1:12" x14ac:dyDescent="0.2">
      <c r="A625" s="14">
        <v>0.56000000000000005</v>
      </c>
      <c r="B625" s="10">
        <f t="shared" si="89"/>
        <v>0.24116205681688824</v>
      </c>
      <c r="C625" s="10">
        <f t="shared" si="90"/>
        <v>1.4469723409013308E-2</v>
      </c>
      <c r="D625" s="10">
        <f t="shared" si="91"/>
        <v>1.2355577938483158</v>
      </c>
      <c r="E625" s="10">
        <f t="shared" si="92"/>
        <v>3.4402969620898154</v>
      </c>
      <c r="F625" s="10">
        <f t="shared" si="96"/>
        <v>1.1211054976792756E-2</v>
      </c>
      <c r="G625" s="10">
        <f t="shared" si="93"/>
        <v>-0.6678326968918763</v>
      </c>
      <c r="H625" s="10">
        <f t="shared" si="94"/>
        <v>0.33898230595654572</v>
      </c>
      <c r="I625" s="10">
        <f t="shared" si="97"/>
        <v>4.386957595369223E-4</v>
      </c>
      <c r="J625" s="20">
        <f t="shared" si="95"/>
        <v>0</v>
      </c>
      <c r="K625" s="10">
        <f t="shared" si="98"/>
        <v>3.2640675716968381E-3</v>
      </c>
      <c r="L625" s="10">
        <f t="shared" si="99"/>
        <v>1.9584405430180807E-3</v>
      </c>
    </row>
    <row r="626" spans="1:12" x14ac:dyDescent="0.2">
      <c r="A626" s="14">
        <v>0.56100000000000005</v>
      </c>
      <c r="B626" s="10">
        <f t="shared" si="89"/>
        <v>0.24522149244752528</v>
      </c>
      <c r="C626" s="10">
        <f t="shared" si="90"/>
        <v>1.4958511039299056E-2</v>
      </c>
      <c r="D626" s="10">
        <f t="shared" si="91"/>
        <v>1.2388321912732949</v>
      </c>
      <c r="E626" s="10">
        <f t="shared" si="92"/>
        <v>3.4515803246288872</v>
      </c>
      <c r="F626" s="10">
        <f t="shared" si="96"/>
        <v>1.1283362539071806E-2</v>
      </c>
      <c r="G626" s="10">
        <f t="shared" si="93"/>
        <v>-0.66586805843688879</v>
      </c>
      <c r="H626" s="10">
        <f t="shared" si="94"/>
        <v>0.33942266814601008</v>
      </c>
      <c r="I626" s="10">
        <f t="shared" si="97"/>
        <v>4.4036218946436056E-4</v>
      </c>
      <c r="J626" s="20">
        <f t="shared" si="95"/>
        <v>0</v>
      </c>
      <c r="K626" s="10">
        <f t="shared" si="98"/>
        <v>3.2743974249791474E-3</v>
      </c>
      <c r="L626" s="10">
        <f t="shared" si="99"/>
        <v>1.9646384549875107E-3</v>
      </c>
    </row>
    <row r="627" spans="1:12" x14ac:dyDescent="0.2">
      <c r="A627" s="14">
        <v>0.56200000000000006</v>
      </c>
      <c r="B627" s="10">
        <f t="shared" si="89"/>
        <v>0.2492829395172452</v>
      </c>
      <c r="C627" s="10">
        <f t="shared" si="90"/>
        <v>1.5455542250069216E-2</v>
      </c>
      <c r="D627" s="10">
        <f t="shared" si="91"/>
        <v>1.2421169509653074</v>
      </c>
      <c r="E627" s="10">
        <f t="shared" si="92"/>
        <v>3.462936577623188</v>
      </c>
      <c r="F627" s="10">
        <f t="shared" si="96"/>
        <v>1.1356252994300764E-2</v>
      </c>
      <c r="G627" s="10">
        <f t="shared" si="93"/>
        <v>-0.66389720262168139</v>
      </c>
      <c r="H627" s="10">
        <f t="shared" si="94"/>
        <v>0.33986470317577477</v>
      </c>
      <c r="I627" s="10">
        <f t="shared" si="97"/>
        <v>4.42035029764698E-4</v>
      </c>
      <c r="J627" s="20">
        <f t="shared" si="95"/>
        <v>0</v>
      </c>
      <c r="K627" s="10">
        <f t="shared" si="98"/>
        <v>3.2847596920124733E-3</v>
      </c>
      <c r="L627" s="10">
        <f t="shared" si="99"/>
        <v>1.9708558152073952E-3</v>
      </c>
    </row>
    <row r="628" spans="1:12" x14ac:dyDescent="0.2">
      <c r="A628" s="14">
        <v>0.56299999999999994</v>
      </c>
      <c r="B628" s="10">
        <f t="shared" si="89"/>
        <v>0.25334643304410004</v>
      </c>
      <c r="C628" s="10">
        <f t="shared" si="90"/>
        <v>1.596082528177829E-2</v>
      </c>
      <c r="D628" s="10">
        <f t="shared" si="91"/>
        <v>1.2454121055657748</v>
      </c>
      <c r="E628" s="10">
        <f t="shared" si="92"/>
        <v>3.4743663100437105</v>
      </c>
      <c r="F628" s="10">
        <f t="shared" si="96"/>
        <v>1.1429732420522587E-2</v>
      </c>
      <c r="G628" s="10">
        <f t="shared" si="93"/>
        <v>-0.66192010986140082</v>
      </c>
      <c r="H628" s="10">
        <f t="shared" si="94"/>
        <v>0.34030841749324509</v>
      </c>
      <c r="I628" s="10">
        <f t="shared" si="97"/>
        <v>4.4371431747031176E-4</v>
      </c>
      <c r="J628" s="20">
        <f t="shared" si="95"/>
        <v>0</v>
      </c>
      <c r="K628" s="10">
        <f t="shared" si="98"/>
        <v>3.2951546004673649E-3</v>
      </c>
      <c r="L628" s="10">
        <f t="shared" si="99"/>
        <v>1.9770927602805743E-3</v>
      </c>
    </row>
    <row r="629" spans="1:12" x14ac:dyDescent="0.2">
      <c r="A629" s="14">
        <v>0.56399999999999995</v>
      </c>
      <c r="B629" s="10">
        <f t="shared" si="89"/>
        <v>0.25741200814902443</v>
      </c>
      <c r="C629" s="10">
        <f t="shared" si="90"/>
        <v>1.6474368521537549E-2</v>
      </c>
      <c r="D629" s="10">
        <f t="shared" si="91"/>
        <v>1.2487176879457662</v>
      </c>
      <c r="E629" s="10">
        <f t="shared" si="92"/>
        <v>3.4858701170155886</v>
      </c>
      <c r="F629" s="10">
        <f t="shared" si="96"/>
        <v>1.1503806971878028E-2</v>
      </c>
      <c r="G629" s="10">
        <f t="shared" si="93"/>
        <v>-0.65993676043340599</v>
      </c>
      <c r="H629" s="10">
        <f t="shared" si="94"/>
        <v>0.34075381758310519</v>
      </c>
      <c r="I629" s="10">
        <f t="shared" si="97"/>
        <v>4.4540008986010404E-4</v>
      </c>
      <c r="J629" s="20">
        <f t="shared" si="95"/>
        <v>0</v>
      </c>
      <c r="K629" s="10">
        <f t="shared" si="98"/>
        <v>3.3055823799914563E-3</v>
      </c>
      <c r="L629" s="10">
        <f t="shared" si="99"/>
        <v>1.9833494279948294E-3</v>
      </c>
    </row>
    <row r="630" spans="1:12" x14ac:dyDescent="0.2">
      <c r="A630" s="14">
        <v>0.56499999999999995</v>
      </c>
      <c r="B630" s="10">
        <f t="shared" si="89"/>
        <v>0.26147970005775656</v>
      </c>
      <c r="C630" s="10">
        <f t="shared" si="90"/>
        <v>1.6996180503754163E-2</v>
      </c>
      <c r="D630" s="10">
        <f t="shared" si="91"/>
        <v>1.2520337312079919</v>
      </c>
      <c r="E630" s="10">
        <f t="shared" si="92"/>
        <v>3.497448599895296</v>
      </c>
      <c r="F630" s="10">
        <f t="shared" si="96"/>
        <v>1.1578482879707419E-2</v>
      </c>
      <c r="G630" s="10">
        <f t="shared" si="93"/>
        <v>-0.65794713447607056</v>
      </c>
      <c r="H630" s="10">
        <f t="shared" si="94"/>
        <v>0.34120090996756763</v>
      </c>
      <c r="I630" s="10">
        <f t="shared" si="97"/>
        <v>4.4709238446244415E-4</v>
      </c>
      <c r="J630" s="20">
        <f t="shared" si="95"/>
        <v>0</v>
      </c>
      <c r="K630" s="10">
        <f t="shared" si="98"/>
        <v>3.3160432622256764E-3</v>
      </c>
      <c r="L630" s="10">
        <f t="shared" si="99"/>
        <v>1.989625957335428E-3</v>
      </c>
    </row>
    <row r="631" spans="1:12" x14ac:dyDescent="0.2">
      <c r="A631" s="14">
        <v>0.56599999999999995</v>
      </c>
      <c r="B631" s="10">
        <f t="shared" si="89"/>
        <v>0.26554954410277792</v>
      </c>
      <c r="C631" s="10">
        <f t="shared" si="90"/>
        <v>1.7526269910783328E-2</v>
      </c>
      <c r="D631" s="10">
        <f t="shared" si="91"/>
        <v>1.2553602686888259</v>
      </c>
      <c r="E631" s="10">
        <f t="shared" si="92"/>
        <v>3.50910236634902</v>
      </c>
      <c r="F631" s="10">
        <f t="shared" si="96"/>
        <v>1.1653766453723957E-2</v>
      </c>
      <c r="G631" s="10">
        <f t="shared" si="93"/>
        <v>-0.65595121198757023</v>
      </c>
      <c r="H631" s="10">
        <f t="shared" si="94"/>
        <v>0.34164970120662402</v>
      </c>
      <c r="I631" s="10">
        <f t="shared" si="97"/>
        <v>4.4879123905638973E-4</v>
      </c>
      <c r="J631" s="20">
        <f t="shared" si="95"/>
        <v>0</v>
      </c>
      <c r="K631" s="10">
        <f t="shared" si="98"/>
        <v>3.326537480834002E-3</v>
      </c>
      <c r="L631" s="10">
        <f t="shared" si="99"/>
        <v>1.9959224885003346E-3</v>
      </c>
    </row>
    <row r="632" spans="1:12" x14ac:dyDescent="0.2">
      <c r="A632" s="14">
        <v>0.56699999999999995</v>
      </c>
      <c r="B632" s="10">
        <f t="shared" si="89"/>
        <v>0.26962157572526196</v>
      </c>
      <c r="C632" s="10">
        <f t="shared" si="90"/>
        <v>1.8064645573592539E-2</v>
      </c>
      <c r="D632" s="10">
        <f t="shared" si="91"/>
        <v>1.2586973339603464</v>
      </c>
      <c r="E632" s="10">
        <f t="shared" si="92"/>
        <v>3.5208320304321723</v>
      </c>
      <c r="F632" s="10">
        <f t="shared" si="96"/>
        <v>1.1729664083152347E-2</v>
      </c>
      <c r="G632" s="10">
        <f t="shared" si="93"/>
        <v>-0.6539489728246578</v>
      </c>
      <c r="H632" s="10">
        <f t="shared" si="94"/>
        <v>0.34210019789829871</v>
      </c>
      <c r="I632" s="10">
        <f t="shared" si="97"/>
        <v>4.5049669167468442E-4</v>
      </c>
      <c r="J632" s="20">
        <f t="shared" si="95"/>
        <v>0</v>
      </c>
      <c r="K632" s="10">
        <f t="shared" si="98"/>
        <v>3.3370652715205562E-3</v>
      </c>
      <c r="L632" s="10">
        <f t="shared" si="99"/>
        <v>2.0022391629124225E-3</v>
      </c>
    </row>
    <row r="633" spans="1:12" x14ac:dyDescent="0.2">
      <c r="A633" s="14">
        <v>0.56799999999999995</v>
      </c>
      <c r="B633" s="10">
        <f t="shared" si="89"/>
        <v>0.27369583047704077</v>
      </c>
      <c r="C633" s="10">
        <f t="shared" si="90"/>
        <v>1.8611316472438758E-2</v>
      </c>
      <c r="D633" s="10">
        <f t="shared" si="91"/>
        <v>1.262044960832404</v>
      </c>
      <c r="E633" s="10">
        <f t="shared" si="92"/>
        <v>3.5326382126701059</v>
      </c>
      <c r="F633" s="10">
        <f t="shared" si="96"/>
        <v>1.1806182237933616E-2</v>
      </c>
      <c r="G633" s="10">
        <f t="shared" si="93"/>
        <v>-0.65194039670142334</v>
      </c>
      <c r="H633" s="10">
        <f t="shared" si="94"/>
        <v>0.34255240667890402</v>
      </c>
      <c r="I633" s="10">
        <f t="shared" si="97"/>
        <v>4.5220878060531211E-4</v>
      </c>
      <c r="J633" s="20">
        <f t="shared" si="95"/>
        <v>0</v>
      </c>
      <c r="K633" s="10">
        <f t="shared" si="98"/>
        <v>3.3476268720575852E-3</v>
      </c>
      <c r="L633" s="10">
        <f t="shared" si="99"/>
        <v>2.0085761232344623E-3</v>
      </c>
    </row>
    <row r="634" spans="1:12" x14ac:dyDescent="0.2">
      <c r="A634" s="14">
        <v>0.56899999999999995</v>
      </c>
      <c r="B634" s="10">
        <f t="shared" si="89"/>
        <v>0.277772344022583</v>
      </c>
      <c r="C634" s="10">
        <f t="shared" si="90"/>
        <v>1.9166291737558214E-2</v>
      </c>
      <c r="D634" s="10">
        <f t="shared" si="91"/>
        <v>1.2654031833547097</v>
      </c>
      <c r="E634" s="10">
        <f t="shared" si="92"/>
        <v>3.5445215401400199</v>
      </c>
      <c r="F634" s="10">
        <f t="shared" si="96"/>
        <v>1.188332746991394E-2</v>
      </c>
      <c r="G634" s="10">
        <f t="shared" si="93"/>
        <v>-0.64992546318803979</v>
      </c>
      <c r="H634" s="10">
        <f t="shared" si="94"/>
        <v>0.34300633422329813</v>
      </c>
      <c r="I634" s="10">
        <f t="shared" si="97"/>
        <v>4.5392754439410599E-4</v>
      </c>
      <c r="J634" s="20">
        <f t="shared" si="95"/>
        <v>0</v>
      </c>
      <c r="K634" s="10">
        <f t="shared" si="98"/>
        <v>3.358222522305665E-3</v>
      </c>
      <c r="L634" s="10">
        <f t="shared" si="99"/>
        <v>2.0149335133835544E-3</v>
      </c>
    </row>
    <row r="635" spans="1:12" x14ac:dyDescent="0.2">
      <c r="A635" s="14">
        <v>0.56999999999999995</v>
      </c>
      <c r="B635" s="10">
        <f t="shared" si="89"/>
        <v>0.28185115214098749</v>
      </c>
      <c r="C635" s="10">
        <f t="shared" si="90"/>
        <v>1.972958064986911E-2</v>
      </c>
      <c r="D635" s="10">
        <f t="shared" si="91"/>
        <v>1.2687720358189492</v>
      </c>
      <c r="E635" s="10">
        <f t="shared" si="92"/>
        <v>3.5564826465540991</v>
      </c>
      <c r="F635" s="10">
        <f t="shared" si="96"/>
        <v>1.1961106414079214E-2</v>
      </c>
      <c r="G635" s="10">
        <f t="shared" si="93"/>
        <v>-0.64790415170949633</v>
      </c>
      <c r="H635" s="10">
        <f t="shared" si="94"/>
        <v>0.34346198724514482</v>
      </c>
      <c r="I635" s="10">
        <f t="shared" si="97"/>
        <v>4.5565302184669143E-4</v>
      </c>
      <c r="J635" s="20">
        <f t="shared" si="95"/>
        <v>0</v>
      </c>
      <c r="K635" s="10">
        <f t="shared" si="98"/>
        <v>3.3688524642394579E-3</v>
      </c>
      <c r="L635" s="10">
        <f t="shared" si="99"/>
        <v>2.0213114785434527E-3</v>
      </c>
    </row>
    <row r="636" spans="1:12" x14ac:dyDescent="0.2">
      <c r="A636" s="14">
        <v>0.57099999999999995</v>
      </c>
      <c r="B636" s="10">
        <f t="shared" si="89"/>
        <v>0.28593229072799298</v>
      </c>
      <c r="C636" s="10">
        <f t="shared" si="90"/>
        <v>2.0301192641687487E-2</v>
      </c>
      <c r="D636" s="10">
        <f t="shared" si="91"/>
        <v>1.2721515527609197</v>
      </c>
      <c r="E636" s="10">
        <f t="shared" si="92"/>
        <v>3.5685221723438909</v>
      </c>
      <c r="F636" s="10">
        <f t="shared" si="96"/>
        <v>1.2039525789791838E-2</v>
      </c>
      <c r="G636" s="10">
        <f t="shared" si="93"/>
        <v>-0.64587644154431378</v>
      </c>
      <c r="H636" s="10">
        <f t="shared" si="94"/>
        <v>0.34391937249717586</v>
      </c>
      <c r="I636" s="10">
        <f t="shared" si="97"/>
        <v>4.5738525203103952E-4</v>
      </c>
      <c r="J636" s="20">
        <f t="shared" si="95"/>
        <v>0</v>
      </c>
      <c r="K636" s="10">
        <f t="shared" si="98"/>
        <v>3.3795169419705839E-3</v>
      </c>
      <c r="L636" s="10">
        <f t="shared" si="99"/>
        <v>2.0277101651825502E-3</v>
      </c>
    </row>
    <row r="637" spans="1:12" x14ac:dyDescent="0.2">
      <c r="A637" s="14">
        <v>0.57199999999999995</v>
      </c>
      <c r="B637" s="10">
        <f t="shared" si="89"/>
        <v>0.29001579579800096</v>
      </c>
      <c r="C637" s="10">
        <f t="shared" si="90"/>
        <v>2.0881137297456057E-2</v>
      </c>
      <c r="D637" s="10">
        <f t="shared" si="91"/>
        <v>1.2755417689626947</v>
      </c>
      <c r="E637" s="10">
        <f t="shared" si="92"/>
        <v>3.5806407647459655</v>
      </c>
      <c r="F637" s="10">
        <f t="shared" si="96"/>
        <v>1.2118592402074579E-2</v>
      </c>
      <c r="G637" s="10">
        <f t="shared" si="93"/>
        <v>-0.64384231182324902</v>
      </c>
      <c r="H637" s="10">
        <f t="shared" si="94"/>
        <v>0.34437849677145521</v>
      </c>
      <c r="I637" s="10">
        <f t="shared" si="97"/>
        <v>4.5912427427935443E-4</v>
      </c>
      <c r="J637" s="20">
        <f t="shared" si="95"/>
        <v>0</v>
      </c>
      <c r="K637" s="10">
        <f t="shared" si="98"/>
        <v>3.3902162017749315E-3</v>
      </c>
      <c r="L637" s="10">
        <f t="shared" si="99"/>
        <v>2.0341297210647591E-3</v>
      </c>
    </row>
    <row r="638" spans="1:12" x14ac:dyDescent="0.2">
      <c r="A638" s="14">
        <v>0.57299999999999995</v>
      </c>
      <c r="B638" s="10">
        <f t="shared" si="89"/>
        <v>0.29410170348611481</v>
      </c>
      <c r="C638" s="10">
        <f t="shared" si="90"/>
        <v>2.1469424354486368E-2</v>
      </c>
      <c r="D638" s="10">
        <f t="shared" si="91"/>
        <v>1.2789427194548078</v>
      </c>
      <c r="E638" s="10">
        <f t="shared" si="92"/>
        <v>3.5928390778888408</v>
      </c>
      <c r="F638" s="10">
        <f t="shared" si="96"/>
        <v>1.2198313142875339E-2</v>
      </c>
      <c r="G638" s="10">
        <f t="shared" si="93"/>
        <v>-0.64180174152798108</v>
      </c>
      <c r="H638" s="10">
        <f t="shared" si="94"/>
        <v>0.34483936689964628</v>
      </c>
      <c r="I638" s="10">
        <f t="shared" si="97"/>
        <v>4.6087012819107098E-4</v>
      </c>
      <c r="J638" s="20">
        <f t="shared" si="95"/>
        <v>0</v>
      </c>
      <c r="K638" s="10">
        <f t="shared" si="98"/>
        <v>3.4009504921130862E-3</v>
      </c>
      <c r="L638" s="10">
        <f t="shared" si="99"/>
        <v>2.0405702952679405E-3</v>
      </c>
    </row>
    <row r="639" spans="1:12" x14ac:dyDescent="0.2">
      <c r="A639" s="14">
        <v>0.57399999999999995</v>
      </c>
      <c r="B639" s="10">
        <f t="shared" si="89"/>
        <v>0.29819005005019578</v>
      </c>
      <c r="C639" s="10">
        <f t="shared" si="90"/>
        <v>2.2066063703714472E-2</v>
      </c>
      <c r="D639" s="10">
        <f t="shared" si="91"/>
        <v>1.2823544395184689</v>
      </c>
      <c r="E639" s="10">
        <f t="shared" si="92"/>
        <v>3.6051177728812491</v>
      </c>
      <c r="F639" s="10">
        <f t="shared" si="96"/>
        <v>1.2278694992408301E-2</v>
      </c>
      <c r="G639" s="10">
        <f t="shared" si="93"/>
        <v>-0.6397547094897843</v>
      </c>
      <c r="H639" s="10">
        <f t="shared" si="94"/>
        <v>0.34530198975328041</v>
      </c>
      <c r="I639" s="10">
        <f t="shared" si="97"/>
        <v>4.6262285363413147E-4</v>
      </c>
      <c r="J639" s="20">
        <f t="shared" si="95"/>
        <v>0</v>
      </c>
      <c r="K639" s="10">
        <f t="shared" si="98"/>
        <v>3.4117200636611944E-3</v>
      </c>
      <c r="L639" s="10">
        <f t="shared" si="99"/>
        <v>2.0470320381967833E-3</v>
      </c>
    </row>
    <row r="640" spans="1:12" x14ac:dyDescent="0.2">
      <c r="A640" s="14">
        <v>0.57499999999999996</v>
      </c>
      <c r="B640" s="10">
        <f t="shared" si="89"/>
        <v>0.30228087187293351</v>
      </c>
      <c r="C640" s="10">
        <f t="shared" si="90"/>
        <v>2.2671065390470001E-2</v>
      </c>
      <c r="D640" s="10">
        <f t="shared" si="91"/>
        <v>1.2857769646878008</v>
      </c>
      <c r="E640" s="10">
        <f t="shared" si="92"/>
        <v>3.6174775179017127</v>
      </c>
      <c r="F640" s="10">
        <f t="shared" si="96"/>
        <v>1.2359745020463553E-2</v>
      </c>
      <c r="G640" s="10">
        <f t="shared" si="93"/>
        <v>-0.63770119438818518</v>
      </c>
      <c r="H640" s="10">
        <f t="shared" si="94"/>
        <v>0.34576637224402879</v>
      </c>
      <c r="I640" s="10">
        <f t="shared" si="97"/>
        <v>4.6438249074837179E-4</v>
      </c>
      <c r="J640" s="20">
        <f t="shared" si="95"/>
        <v>0</v>
      </c>
      <c r="K640" s="10">
        <f t="shared" si="98"/>
        <v>3.4225251693318359E-3</v>
      </c>
      <c r="L640" s="10">
        <f t="shared" si="99"/>
        <v>2.0535151015991238E-3</v>
      </c>
    </row>
    <row r="641" spans="1:12" x14ac:dyDescent="0.2">
      <c r="A641" s="14">
        <v>0.57599999999999996</v>
      </c>
      <c r="B641" s="10">
        <f t="shared" si="89"/>
        <v>0.30637420546393324</v>
      </c>
      <c r="C641" s="10">
        <f t="shared" si="90"/>
        <v>2.3284439615258914E-2</v>
      </c>
      <c r="D641" s="10">
        <f t="shared" si="91"/>
        <v>1.2892103307521028</v>
      </c>
      <c r="E641" s="10">
        <f t="shared" si="92"/>
        <v>3.6299189882894902</v>
      </c>
      <c r="F641" s="10">
        <f t="shared" si="96"/>
        <v>1.2441470387777542E-2</v>
      </c>
      <c r="G641" s="10">
        <f t="shared" si="93"/>
        <v>-0.63564117474960402</v>
      </c>
      <c r="H641" s="10">
        <f t="shared" si="94"/>
        <v>0.34623252132397597</v>
      </c>
      <c r="I641" s="10">
        <f t="shared" si="97"/>
        <v>4.661490799471868E-4</v>
      </c>
      <c r="J641" s="20">
        <f t="shared" si="95"/>
        <v>0</v>
      </c>
      <c r="K641" s="10">
        <f t="shared" si="98"/>
        <v>3.4333660643020014E-3</v>
      </c>
      <c r="L641" s="10">
        <f t="shared" si="99"/>
        <v>2.0600196385811564E-3</v>
      </c>
    </row>
    <row r="642" spans="1:12" x14ac:dyDescent="0.2">
      <c r="A642" s="14">
        <v>0.57699999999999996</v>
      </c>
      <c r="B642" s="10">
        <f t="shared" ref="B642:B705" si="100">LN(A642/(1-A642))</f>
        <v>0.31047008746182148</v>
      </c>
      <c r="C642" s="10">
        <f t="shared" ref="C642:C705" si="101">(A642-0.5)*B642</f>
        <v>2.390619673456024E-2</v>
      </c>
      <c r="D642" s="10">
        <f t="shared" ref="D642:D705" si="102">$B$45+$B$46*B642+$B$47*C642</f>
        <v>1.2926545737581434</v>
      </c>
      <c r="E642" s="10">
        <f t="shared" ref="E642:E705" si="103">$B$14+EXP(D642)</f>
        <v>3.6424428666369071</v>
      </c>
      <c r="F642" s="10">
        <f t="shared" si="96"/>
        <v>1.2523878347416861E-2</v>
      </c>
      <c r="G642" s="10">
        <f t="shared" ref="G642:G705" si="104">$C$45+$C$46*B642+$C$47*C642</f>
        <v>-0.63357462894597982</v>
      </c>
      <c r="H642" s="10">
        <f t="shared" ref="H642:H705" si="105">$C$14+($C$15-$C$14)/(1+EXP(-G642))</f>
        <v>0.34670044398589656</v>
      </c>
      <c r="I642" s="10">
        <f t="shared" si="97"/>
        <v>4.679226619205834E-4</v>
      </c>
      <c r="J642" s="20">
        <f t="shared" ref="J642:J705" si="106">G642-($B$22+$B$21*D642)</f>
        <v>0</v>
      </c>
      <c r="K642" s="10">
        <f t="shared" si="98"/>
        <v>3.4442430060406259E-3</v>
      </c>
      <c r="L642" s="10">
        <f t="shared" si="99"/>
        <v>2.0665458036241979E-3</v>
      </c>
    </row>
    <row r="643" spans="1:12" x14ac:dyDescent="0.2">
      <c r="A643" s="14">
        <v>0.57799999999999996</v>
      </c>
      <c r="B643" s="10">
        <f t="shared" si="100"/>
        <v>0.31456855463636552</v>
      </c>
      <c r="C643" s="10">
        <f t="shared" si="101"/>
        <v>2.4536347261636497E-2</v>
      </c>
      <c r="D643" s="10">
        <f t="shared" si="102"/>
        <v>1.2961097300124762</v>
      </c>
      <c r="E643" s="10">
        <f t="shared" si="103"/>
        <v>3.6550498428830824</v>
      </c>
      <c r="F643" s="10">
        <f t="shared" ref="F643:F706" si="107">E643-E642</f>
        <v>1.260697624617535E-2</v>
      </c>
      <c r="G643" s="10">
        <f t="shared" si="104"/>
        <v>-0.63150153519338015</v>
      </c>
      <c r="H643" s="10">
        <f t="shared" si="105"/>
        <v>0.3471701472635334</v>
      </c>
      <c r="I643" s="10">
        <f t="shared" ref="I643:I706" si="108">H643-H642</f>
        <v>4.6970327763684594E-4</v>
      </c>
      <c r="J643" s="20">
        <f t="shared" si="106"/>
        <v>0</v>
      </c>
      <c r="K643" s="10">
        <f t="shared" ref="K643:K706" si="109">D643-D642</f>
        <v>3.4551562543327918E-3</v>
      </c>
      <c r="L643" s="10">
        <f t="shared" ref="L643:L706" si="110">G643-G642</f>
        <v>2.0730937525996751E-3</v>
      </c>
    </row>
    <row r="644" spans="1:12" x14ac:dyDescent="0.2">
      <c r="A644" s="14">
        <v>0.57899999999999996</v>
      </c>
      <c r="B644" s="10">
        <f t="shared" si="100"/>
        <v>0.31866964389061359</v>
      </c>
      <c r="C644" s="10">
        <f t="shared" si="101"/>
        <v>2.5174901867358459E-2</v>
      </c>
      <c r="D644" s="10">
        <f t="shared" si="102"/>
        <v>1.2995758360837848</v>
      </c>
      <c r="E644" s="10">
        <f t="shared" si="103"/>
        <v>3.6677406144090932</v>
      </c>
      <c r="F644" s="10">
        <f t="shared" si="107"/>
        <v>1.2690771526010725E-2</v>
      </c>
      <c r="G644" s="10">
        <f t="shared" si="104"/>
        <v>-0.62942187155059481</v>
      </c>
      <c r="H644" s="10">
        <f t="shared" si="105"/>
        <v>0.34764163823187882</v>
      </c>
      <c r="I644" s="10">
        <f t="shared" si="108"/>
        <v>4.714909683454227E-4</v>
      </c>
      <c r="J644" s="20">
        <f t="shared" si="106"/>
        <v>0</v>
      </c>
      <c r="K644" s="10">
        <f t="shared" si="109"/>
        <v>3.4661060713085945E-3</v>
      </c>
      <c r="L644" s="10">
        <f t="shared" si="110"/>
        <v>2.0796636427853343E-3</v>
      </c>
    </row>
    <row r="645" spans="1:12" x14ac:dyDescent="0.2">
      <c r="A645" s="14">
        <v>0.57999999999999996</v>
      </c>
      <c r="B645" s="10">
        <f t="shared" si="100"/>
        <v>0.32277339226305085</v>
      </c>
      <c r="C645" s="10">
        <f t="shared" si="101"/>
        <v>2.5821871381044054E-2</v>
      </c>
      <c r="D645" s="10">
        <f t="shared" si="102"/>
        <v>1.3030529288052564</v>
      </c>
      <c r="E645" s="10">
        <f t="shared" si="103"/>
        <v>3.6805158861345975</v>
      </c>
      <c r="F645" s="10">
        <f t="shared" si="107"/>
        <v>1.27752717255043E-2</v>
      </c>
      <c r="G645" s="10">
        <f t="shared" si="104"/>
        <v>-0.62733561591771192</v>
      </c>
      <c r="H645" s="10">
        <f t="shared" si="105"/>
        <v>0.34811492400745864</v>
      </c>
      <c r="I645" s="10">
        <f t="shared" si="108"/>
        <v>4.7328577557981255E-4</v>
      </c>
      <c r="J645" s="20">
        <f t="shared" si="106"/>
        <v>0</v>
      </c>
      <c r="K645" s="10">
        <f t="shared" si="109"/>
        <v>3.4770927214715641E-3</v>
      </c>
      <c r="L645" s="10">
        <f t="shared" si="110"/>
        <v>2.0862556328828941E-3</v>
      </c>
    </row>
    <row r="646" spans="1:12" x14ac:dyDescent="0.2">
      <c r="A646" s="14">
        <v>0.58099999999999996</v>
      </c>
      <c r="B646" s="10">
        <f t="shared" si="100"/>
        <v>0.32687983692977335</v>
      </c>
      <c r="C646" s="10">
        <f t="shared" si="101"/>
        <v>2.647726679131163E-2</v>
      </c>
      <c r="D646" s="10">
        <f t="shared" si="102"/>
        <v>1.306541045276979</v>
      </c>
      <c r="E646" s="10">
        <f t="shared" si="103"/>
        <v>3.6933763706159271</v>
      </c>
      <c r="F646" s="10">
        <f t="shared" si="107"/>
        <v>1.2860484481329593E-2</v>
      </c>
      <c r="G646" s="10">
        <f t="shared" si="104"/>
        <v>-0.62524274603467833</v>
      </c>
      <c r="H646" s="10">
        <f t="shared" si="105"/>
        <v>0.3485900117486177</v>
      </c>
      <c r="I646" s="10">
        <f t="shared" si="108"/>
        <v>4.7508774115906371E-4</v>
      </c>
      <c r="J646" s="20">
        <f t="shared" si="106"/>
        <v>0</v>
      </c>
      <c r="K646" s="10">
        <f t="shared" si="109"/>
        <v>3.4881164717226465E-3</v>
      </c>
      <c r="L646" s="10">
        <f t="shared" si="110"/>
        <v>2.0928698830335879E-3</v>
      </c>
    </row>
    <row r="647" spans="1:12" x14ac:dyDescent="0.2">
      <c r="A647" s="14">
        <v>0.58199999999999996</v>
      </c>
      <c r="B647" s="10">
        <f t="shared" si="100"/>
        <v>0.33098901520668139</v>
      </c>
      <c r="C647" s="10">
        <f t="shared" si="101"/>
        <v>2.714109924694786E-2</v>
      </c>
      <c r="D647" s="10">
        <f t="shared" si="102"/>
        <v>1.3100402228683725</v>
      </c>
      <c r="E647" s="10">
        <f t="shared" si="103"/>
        <v>3.7063227881457013</v>
      </c>
      <c r="F647" s="10">
        <f t="shared" si="107"/>
        <v>1.2946417529774212E-2</v>
      </c>
      <c r="G647" s="10">
        <f t="shared" si="104"/>
        <v>-0.62314323947984218</v>
      </c>
      <c r="H647" s="10">
        <f t="shared" si="105"/>
        <v>0.34906690865580903</v>
      </c>
      <c r="I647" s="10">
        <f t="shared" si="108"/>
        <v>4.7689690719132649E-4</v>
      </c>
      <c r="J647" s="20">
        <f t="shared" si="106"/>
        <v>0</v>
      </c>
      <c r="K647" s="10">
        <f t="shared" si="109"/>
        <v>3.4991775913935097E-3</v>
      </c>
      <c r="L647" s="10">
        <f t="shared" si="110"/>
        <v>2.0995065548361502E-3</v>
      </c>
    </row>
    <row r="648" spans="1:12" x14ac:dyDescent="0.2">
      <c r="A648" s="14">
        <v>0.58299999999999996</v>
      </c>
      <c r="B648" s="10">
        <f t="shared" si="100"/>
        <v>0.33510096455169075</v>
      </c>
      <c r="C648" s="10">
        <f t="shared" si="101"/>
        <v>2.781338005779032E-2</v>
      </c>
      <c r="D648" s="10">
        <f t="shared" si="102"/>
        <v>1.3135504992206437</v>
      </c>
      <c r="E648" s="10">
        <f t="shared" si="103"/>
        <v>3.7193558668539661</v>
      </c>
      <c r="F648" s="10">
        <f t="shared" si="107"/>
        <v>1.3033078708264867E-2</v>
      </c>
      <c r="G648" s="10">
        <f t="shared" si="104"/>
        <v>-0.62103707366847949</v>
      </c>
      <c r="H648" s="10">
        <f t="shared" si="105"/>
        <v>0.34954562197188466</v>
      </c>
      <c r="I648" s="10">
        <f t="shared" si="108"/>
        <v>4.7871331607562961E-4</v>
      </c>
      <c r="J648" s="20">
        <f t="shared" si="106"/>
        <v>0</v>
      </c>
      <c r="K648" s="10">
        <f t="shared" si="109"/>
        <v>3.5102763522711911E-3</v>
      </c>
      <c r="L648" s="10">
        <f t="shared" si="110"/>
        <v>2.1061658113626924E-3</v>
      </c>
    </row>
    <row r="649" spans="1:12" x14ac:dyDescent="0.2">
      <c r="A649" s="14">
        <v>0.58399999999999996</v>
      </c>
      <c r="B649" s="10">
        <f t="shared" si="100"/>
        <v>0.3392157225669637</v>
      </c>
      <c r="C649" s="10">
        <f t="shared" si="101"/>
        <v>2.8494120695624937E-2</v>
      </c>
      <c r="D649" s="10">
        <f t="shared" si="102"/>
        <v>1.3170719122492738</v>
      </c>
      <c r="E649" s="10">
        <f t="shared" si="103"/>
        <v>3.7324763428109007</v>
      </c>
      <c r="F649" s="10">
        <f t="shared" si="107"/>
        <v>1.3120475956934552E-2</v>
      </c>
      <c r="G649" s="10">
        <f t="shared" si="104"/>
        <v>-0.61892422585130136</v>
      </c>
      <c r="H649" s="10">
        <f t="shared" si="105"/>
        <v>0.35002615898238998</v>
      </c>
      <c r="I649" s="10">
        <f t="shared" si="108"/>
        <v>4.8053701050532194E-4</v>
      </c>
      <c r="J649" s="20">
        <f t="shared" si="106"/>
        <v>0</v>
      </c>
      <c r="K649" s="10">
        <f t="shared" si="109"/>
        <v>3.5214130286300716E-3</v>
      </c>
      <c r="L649" s="10">
        <f t="shared" si="110"/>
        <v>2.1128478171781317E-3</v>
      </c>
    </row>
    <row r="650" spans="1:12" x14ac:dyDescent="0.2">
      <c r="A650" s="14">
        <v>0.58499999999999996</v>
      </c>
      <c r="B650" s="10">
        <f t="shared" si="100"/>
        <v>0.34333332700115804</v>
      </c>
      <c r="C650" s="10">
        <f t="shared" si="101"/>
        <v>2.918333279509842E-2</v>
      </c>
      <c r="D650" s="10">
        <f t="shared" si="102"/>
        <v>1.3206045001465327</v>
      </c>
      <c r="E650" s="10">
        <f t="shared" si="103"/>
        <v>3.7456849601311091</v>
      </c>
      <c r="F650" s="10">
        <f t="shared" si="107"/>
        <v>1.3208617320208393E-2</v>
      </c>
      <c r="G650" s="10">
        <f t="shared" si="104"/>
        <v>-0.61680467311294596</v>
      </c>
      <c r="H650" s="10">
        <f t="shared" si="105"/>
        <v>0.35050852701585944</v>
      </c>
      <c r="I650" s="10">
        <f t="shared" si="108"/>
        <v>4.8236803346946022E-4</v>
      </c>
      <c r="J650" s="20">
        <f t="shared" si="106"/>
        <v>0</v>
      </c>
      <c r="K650" s="10">
        <f t="shared" si="109"/>
        <v>3.5325878972589653E-3</v>
      </c>
      <c r="L650" s="10">
        <f t="shared" si="110"/>
        <v>2.1195527383554014E-3</v>
      </c>
    </row>
    <row r="651" spans="1:12" x14ac:dyDescent="0.2">
      <c r="A651" s="14">
        <v>0.58599999999999997</v>
      </c>
      <c r="B651" s="10">
        <f t="shared" si="100"/>
        <v>0.34745381575169815</v>
      </c>
      <c r="C651" s="10">
        <f t="shared" si="101"/>
        <v>2.9881028154646029E-2</v>
      </c>
      <c r="D651" s="10">
        <f t="shared" si="102"/>
        <v>1.3241483013840265</v>
      </c>
      <c r="E651" s="10">
        <f t="shared" si="103"/>
        <v>3.7589824710795341</v>
      </c>
      <c r="F651" s="10">
        <f t="shared" si="107"/>
        <v>1.3297510948425018E-2</v>
      </c>
      <c r="G651" s="10">
        <f t="shared" si="104"/>
        <v>-0.61467839237044986</v>
      </c>
      <c r="H651" s="10">
        <f t="shared" si="105"/>
        <v>0.35099273344411647</v>
      </c>
      <c r="I651" s="10">
        <f t="shared" si="108"/>
        <v>4.8420642825702798E-4</v>
      </c>
      <c r="J651" s="20">
        <f t="shared" si="106"/>
        <v>0</v>
      </c>
      <c r="K651" s="10">
        <f t="shared" si="109"/>
        <v>3.54380123749376E-3</v>
      </c>
      <c r="L651" s="10">
        <f t="shared" si="110"/>
        <v>2.1262807424961006E-3</v>
      </c>
    </row>
    <row r="652" spans="1:12" x14ac:dyDescent="0.2">
      <c r="A652" s="14">
        <v>0.58699999999999997</v>
      </c>
      <c r="B652" s="10">
        <f t="shared" si="100"/>
        <v>0.3515772268670635</v>
      </c>
      <c r="C652" s="10">
        <f t="shared" si="101"/>
        <v>3.0587218737434512E-2</v>
      </c>
      <c r="D652" s="10">
        <f t="shared" si="102"/>
        <v>1.3277033547152706</v>
      </c>
      <c r="E652" s="10">
        <f t="shared" si="103"/>
        <v>3.7723696361790111</v>
      </c>
      <c r="F652" s="10">
        <f t="shared" si="107"/>
        <v>1.3387165099477016E-2</v>
      </c>
      <c r="G652" s="10">
        <f t="shared" si="104"/>
        <v>-0.61254536037170326</v>
      </c>
      <c r="H652" s="10">
        <f t="shared" si="105"/>
        <v>0.35147878568257468</v>
      </c>
      <c r="I652" s="10">
        <f t="shared" si="108"/>
        <v>4.8605223845821222E-4</v>
      </c>
      <c r="J652" s="20">
        <f t="shared" si="106"/>
        <v>0</v>
      </c>
      <c r="K652" s="10">
        <f t="shared" si="109"/>
        <v>3.5550533312440624E-3</v>
      </c>
      <c r="L652" s="10">
        <f t="shared" si="110"/>
        <v>2.1330319987465929E-3</v>
      </c>
    </row>
    <row r="653" spans="1:12" x14ac:dyDescent="0.2">
      <c r="A653" s="14">
        <v>0.58799999999999997</v>
      </c>
      <c r="B653" s="10">
        <f t="shared" si="100"/>
        <v>0.35570359854910039</v>
      </c>
      <c r="C653" s="10">
        <f t="shared" si="101"/>
        <v>3.1301916672320823E-2</v>
      </c>
      <c r="D653" s="10">
        <f t="shared" si="102"/>
        <v>1.3312696991783</v>
      </c>
      <c r="E653" s="10">
        <f t="shared" si="103"/>
        <v>3.7858472243195109</v>
      </c>
      <c r="F653" s="10">
        <f t="shared" si="107"/>
        <v>1.3477588140499819E-2</v>
      </c>
      <c r="G653" s="10">
        <f t="shared" si="104"/>
        <v>-0.61040555369388572</v>
      </c>
      <c r="H653" s="10">
        <f t="shared" si="105"/>
        <v>0.35196669119054269</v>
      </c>
      <c r="I653" s="10">
        <f t="shared" si="108"/>
        <v>4.8790550796801169E-4</v>
      </c>
      <c r="J653" s="20">
        <f t="shared" si="106"/>
        <v>0</v>
      </c>
      <c r="K653" s="10">
        <f t="shared" si="109"/>
        <v>3.5663444630293917E-3</v>
      </c>
      <c r="L653" s="10">
        <f t="shared" si="110"/>
        <v>2.1398066778175462E-3</v>
      </c>
    </row>
    <row r="654" spans="1:12" x14ac:dyDescent="0.2">
      <c r="A654" s="14">
        <v>0.58899999999999997</v>
      </c>
      <c r="B654" s="10">
        <f t="shared" si="100"/>
        <v>0.35983296915535207</v>
      </c>
      <c r="C654" s="10">
        <f t="shared" si="101"/>
        <v>3.2025134254826323E-2</v>
      </c>
      <c r="D654" s="10">
        <f t="shared" si="102"/>
        <v>1.3348473740983047</v>
      </c>
      <c r="E654" s="10">
        <f t="shared" si="103"/>
        <v>3.799416012869075</v>
      </c>
      <c r="F654" s="10">
        <f t="shared" si="107"/>
        <v>1.3568788549564115E-2</v>
      </c>
      <c r="G654" s="10">
        <f t="shared" si="104"/>
        <v>-0.60825894874188302</v>
      </c>
      <c r="H654" s="10">
        <f t="shared" si="105"/>
        <v>0.35245645747153109</v>
      </c>
      <c r="I654" s="10">
        <f t="shared" si="108"/>
        <v>4.897662809884018E-4</v>
      </c>
      <c r="J654" s="20">
        <f t="shared" si="106"/>
        <v>0</v>
      </c>
      <c r="K654" s="10">
        <f t="shared" si="109"/>
        <v>3.5776749200047142E-3</v>
      </c>
      <c r="L654" s="10">
        <f t="shared" si="110"/>
        <v>2.1466049520026953E-3</v>
      </c>
    </row>
    <row r="655" spans="1:12" x14ac:dyDescent="0.2">
      <c r="A655" s="14">
        <v>0.59</v>
      </c>
      <c r="B655" s="10">
        <f t="shared" si="100"/>
        <v>0.36396537720141148</v>
      </c>
      <c r="C655" s="10">
        <f t="shared" si="101"/>
        <v>3.2756883948127022E-2</v>
      </c>
      <c r="D655" s="10">
        <f t="shared" si="102"/>
        <v>1.3384364190902995</v>
      </c>
      <c r="E655" s="10">
        <f t="shared" si="103"/>
        <v>3.8130767877864922</v>
      </c>
      <c r="F655" s="10">
        <f t="shared" si="107"/>
        <v>1.3660774917417129E-2</v>
      </c>
      <c r="G655" s="10">
        <f t="shared" si="104"/>
        <v>-0.60610552174668608</v>
      </c>
      <c r="H655" s="10">
        <f t="shared" si="105"/>
        <v>0.3529480920735627</v>
      </c>
      <c r="I655" s="10">
        <f t="shared" si="108"/>
        <v>4.916346020316098E-4</v>
      </c>
      <c r="J655" s="20">
        <f t="shared" si="106"/>
        <v>0</v>
      </c>
      <c r="K655" s="10">
        <f t="shared" si="109"/>
        <v>3.5890449919948608E-3</v>
      </c>
      <c r="L655" s="10">
        <f t="shared" si="110"/>
        <v>2.1534269951969387E-3</v>
      </c>
    </row>
    <row r="656" spans="1:12" x14ac:dyDescent="0.2">
      <c r="A656" s="14">
        <v>0.59099999999999997</v>
      </c>
      <c r="B656" s="10">
        <f t="shared" si="100"/>
        <v>0.36810086136329628</v>
      </c>
      <c r="C656" s="10">
        <f t="shared" si="101"/>
        <v>3.3497178384059953E-2</v>
      </c>
      <c r="D656" s="10">
        <f t="shared" si="102"/>
        <v>1.3420368740618278</v>
      </c>
      <c r="E656" s="10">
        <f t="shared" si="103"/>
        <v>3.826830343735752</v>
      </c>
      <c r="F656" s="10">
        <f t="shared" si="107"/>
        <v>1.3753555949259866E-2</v>
      </c>
      <c r="G656" s="10">
        <f t="shared" si="104"/>
        <v>-0.60394524876376898</v>
      </c>
      <c r="H656" s="10">
        <f t="shared" si="105"/>
        <v>0.35344160258948526</v>
      </c>
      <c r="I656" s="10">
        <f t="shared" si="108"/>
        <v>4.9351051592255724E-4</v>
      </c>
      <c r="J656" s="20">
        <f t="shared" si="106"/>
        <v>0</v>
      </c>
      <c r="K656" s="10">
        <f t="shared" si="109"/>
        <v>3.6004549715282774E-3</v>
      </c>
      <c r="L656" s="10">
        <f t="shared" si="110"/>
        <v>2.1602729829170997E-3</v>
      </c>
    </row>
    <row r="657" spans="1:12" x14ac:dyDescent="0.2">
      <c r="A657" s="14">
        <v>0.59199999999999997</v>
      </c>
      <c r="B657" s="10">
        <f t="shared" si="100"/>
        <v>0.3722394604798438</v>
      </c>
      <c r="C657" s="10">
        <f t="shared" si="101"/>
        <v>3.424603036414562E-2</v>
      </c>
      <c r="D657" s="10">
        <f t="shared" si="102"/>
        <v>1.3456487792156953</v>
      </c>
      <c r="E657" s="10">
        <f t="shared" si="103"/>
        <v>3.8406774842022928</v>
      </c>
      <c r="F657" s="10">
        <f t="shared" si="107"/>
        <v>1.3847140466540786E-2</v>
      </c>
      <c r="G657" s="10">
        <f t="shared" si="104"/>
        <v>-0.60177810567144863</v>
      </c>
      <c r="H657" s="10">
        <f t="shared" si="105"/>
        <v>0.35393699665728706</v>
      </c>
      <c r="I657" s="10">
        <f t="shared" si="108"/>
        <v>4.9539406780180206E-4</v>
      </c>
      <c r="J657" s="20">
        <f t="shared" si="106"/>
        <v>0</v>
      </c>
      <c r="K657" s="10">
        <f t="shared" si="109"/>
        <v>3.6119051538674452E-3</v>
      </c>
      <c r="L657" s="10">
        <f t="shared" si="110"/>
        <v>2.1671430923203561E-3</v>
      </c>
    </row>
    <row r="658" spans="1:12" x14ac:dyDescent="0.2">
      <c r="A658" s="14">
        <v>0.59299999999999997</v>
      </c>
      <c r="B658" s="10">
        <f t="shared" si="100"/>
        <v>0.37638121355513038</v>
      </c>
      <c r="C658" s="10">
        <f t="shared" si="101"/>
        <v>3.5003452860627116E-2</v>
      </c>
      <c r="D658" s="10">
        <f t="shared" si="102"/>
        <v>1.3492721750527361</v>
      </c>
      <c r="E658" s="10">
        <f t="shared" si="103"/>
        <v>3.8546190216110752</v>
      </c>
      <c r="F658" s="10">
        <f t="shared" si="107"/>
        <v>1.3941537408782345E-2</v>
      </c>
      <c r="G658" s="10">
        <f t="shared" si="104"/>
        <v>-0.59960406816922407</v>
      </c>
      <c r="H658" s="10">
        <f t="shared" si="105"/>
        <v>0.35443428196041565</v>
      </c>
      <c r="I658" s="10">
        <f t="shared" si="108"/>
        <v>4.9728530312859176E-4</v>
      </c>
      <c r="J658" s="20">
        <f t="shared" si="106"/>
        <v>0</v>
      </c>
      <c r="K658" s="10">
        <f t="shared" si="109"/>
        <v>3.6233958370408548E-3</v>
      </c>
      <c r="L658" s="10">
        <f t="shared" si="110"/>
        <v>2.1740375022245573E-3</v>
      </c>
    </row>
    <row r="659" spans="1:12" x14ac:dyDescent="0.2">
      <c r="A659" s="14">
        <v>0.59399999999999997</v>
      </c>
      <c r="B659" s="10">
        <f t="shared" si="100"/>
        <v>0.3805261597609122</v>
      </c>
      <c r="C659" s="10">
        <f t="shared" si="101"/>
        <v>3.5769459017525734E-2</v>
      </c>
      <c r="D659" s="10">
        <f t="shared" si="102"/>
        <v>1.3529071023746164</v>
      </c>
      <c r="E659" s="10">
        <f t="shared" si="103"/>
        <v>3.8686557774465373</v>
      </c>
      <c r="F659" s="10">
        <f t="shared" si="107"/>
        <v>1.4036755835462156E-2</v>
      </c>
      <c r="G659" s="10">
        <f t="shared" si="104"/>
        <v>-0.59742311177609586</v>
      </c>
      <c r="H659" s="10">
        <f t="shared" si="105"/>
        <v>0.3549334662280989</v>
      </c>
      <c r="I659" s="10">
        <f t="shared" si="108"/>
        <v>4.991842676832503E-4</v>
      </c>
      <c r="J659" s="20">
        <f t="shared" si="106"/>
        <v>0</v>
      </c>
      <c r="K659" s="10">
        <f t="shared" si="109"/>
        <v>3.6349273218803102E-3</v>
      </c>
      <c r="L659" s="10">
        <f t="shared" si="110"/>
        <v>2.1809563931282083E-3</v>
      </c>
    </row>
    <row r="660" spans="1:12" x14ac:dyDescent="0.2">
      <c r="A660" s="14">
        <v>0.59499999999999997</v>
      </c>
      <c r="B660" s="10">
        <f t="shared" si="100"/>
        <v>0.38467433843909055</v>
      </c>
      <c r="C660" s="10">
        <f t="shared" si="101"/>
        <v>3.6544062151713588E-2</v>
      </c>
      <c r="D660" s="10">
        <f t="shared" si="102"/>
        <v>1.3565536022866684</v>
      </c>
      <c r="E660" s="10">
        <f t="shared" si="103"/>
        <v>3.8827885823744421</v>
      </c>
      <c r="F660" s="10">
        <f t="shared" si="107"/>
        <v>1.4132804927904807E-2</v>
      </c>
      <c r="G660" s="10">
        <f t="shared" si="104"/>
        <v>-0.59523521182886452</v>
      </c>
      <c r="H660" s="10">
        <f t="shared" si="105"/>
        <v>0.35543455723566969</v>
      </c>
      <c r="I660" s="10">
        <f t="shared" si="108"/>
        <v>5.010910075707864E-4</v>
      </c>
      <c r="J660" s="20">
        <f t="shared" si="106"/>
        <v>0</v>
      </c>
      <c r="K660" s="10">
        <f t="shared" si="109"/>
        <v>3.6464999120520147E-3</v>
      </c>
      <c r="L660" s="10">
        <f t="shared" si="110"/>
        <v>2.1878999472313421E-3</v>
      </c>
    </row>
    <row r="661" spans="1:12" x14ac:dyDescent="0.2">
      <c r="A661" s="14">
        <v>0.59599999999999997</v>
      </c>
      <c r="B661" s="10">
        <f t="shared" si="100"/>
        <v>0.38882578910419952</v>
      </c>
      <c r="C661" s="10">
        <f t="shared" si="101"/>
        <v>3.7327275754003145E-2</v>
      </c>
      <c r="D661" s="10">
        <f t="shared" si="102"/>
        <v>1.3602117162007614</v>
      </c>
      <c r="E661" s="10">
        <f t="shared" si="103"/>
        <v>3.897018276365662</v>
      </c>
      <c r="F661" s="10">
        <f t="shared" si="107"/>
        <v>1.4229693991219872E-2</v>
      </c>
      <c r="G661" s="10">
        <f t="shared" si="104"/>
        <v>-0.59304034348040902</v>
      </c>
      <c r="H661" s="10">
        <f t="shared" si="105"/>
        <v>0.35593756280489303</v>
      </c>
      <c r="I661" s="10">
        <f t="shared" si="108"/>
        <v>5.0300556922333595E-4</v>
      </c>
      <c r="J661" s="20">
        <f t="shared" si="106"/>
        <v>0</v>
      </c>
      <c r="K661" s="10">
        <f t="shared" si="109"/>
        <v>3.6581139140929864E-3</v>
      </c>
      <c r="L661" s="10">
        <f t="shared" si="110"/>
        <v>2.1948683484555032E-3</v>
      </c>
    </row>
    <row r="662" spans="1:12" x14ac:dyDescent="0.2">
      <c r="A662" s="14">
        <v>0.59699999999999998</v>
      </c>
      <c r="B662" s="10">
        <f t="shared" si="100"/>
        <v>0.39298055144591904</v>
      </c>
      <c r="C662" s="10">
        <f t="shared" si="101"/>
        <v>3.8119113490254139E-2</v>
      </c>
      <c r="D662" s="10">
        <f t="shared" si="102"/>
        <v>1.3638814858382045</v>
      </c>
      <c r="E662" s="10">
        <f t="shared" si="103"/>
        <v>3.9113457088219272</v>
      </c>
      <c r="F662" s="10">
        <f t="shared" si="107"/>
        <v>1.4327432456265221E-2</v>
      </c>
      <c r="G662" s="10">
        <f t="shared" si="104"/>
        <v>-0.59083848169794295</v>
      </c>
      <c r="H662" s="10">
        <f t="shared" si="105"/>
        <v>0.35644249080429646</v>
      </c>
      <c r="I662" s="10">
        <f t="shared" si="108"/>
        <v>5.0492799940343724E-4</v>
      </c>
      <c r="J662" s="20">
        <f t="shared" si="106"/>
        <v>0</v>
      </c>
      <c r="K662" s="10">
        <f t="shared" si="109"/>
        <v>3.6697696374430322E-3</v>
      </c>
      <c r="L662" s="10">
        <f t="shared" si="110"/>
        <v>2.2018617824660636E-3</v>
      </c>
    </row>
    <row r="663" spans="1:12" x14ac:dyDescent="0.2">
      <c r="A663" s="14">
        <v>0.59799999999999998</v>
      </c>
      <c r="B663" s="10">
        <f t="shared" si="100"/>
        <v>0.39713866533161052</v>
      </c>
      <c r="C663" s="10">
        <f t="shared" si="101"/>
        <v>3.8919589202497822E-2</v>
      </c>
      <c r="D663" s="10">
        <f t="shared" si="102"/>
        <v>1.3675629532326909</v>
      </c>
      <c r="E663" s="10">
        <f t="shared" si="103"/>
        <v>3.9257717387036029</v>
      </c>
      <c r="F663" s="10">
        <f t="shared" si="107"/>
        <v>1.4426029881675628E-2</v>
      </c>
      <c r="G663" s="10">
        <f t="shared" si="104"/>
        <v>-0.58862960126125119</v>
      </c>
      <c r="H663" s="10">
        <f t="shared" si="105"/>
        <v>0.35694934914950338</v>
      </c>
      <c r="I663" s="10">
        <f t="shared" si="108"/>
        <v>5.0685834520691753E-4</v>
      </c>
      <c r="J663" s="20">
        <f t="shared" si="106"/>
        <v>0</v>
      </c>
      <c r="K663" s="10">
        <f t="shared" si="109"/>
        <v>3.6814673944864929E-3</v>
      </c>
      <c r="L663" s="10">
        <f t="shared" si="110"/>
        <v>2.2088804366917625E-3</v>
      </c>
    </row>
    <row r="664" spans="1:12" x14ac:dyDescent="0.2">
      <c r="A664" s="14">
        <v>0.59899999999999998</v>
      </c>
      <c r="B664" s="10">
        <f t="shared" si="100"/>
        <v>0.40130017080888009</v>
      </c>
      <c r="C664" s="10">
        <f t="shared" si="101"/>
        <v>3.972871691007912E-2</v>
      </c>
      <c r="D664" s="10">
        <f t="shared" si="102"/>
        <v>1.3712561607332718</v>
      </c>
      <c r="E664" s="10">
        <f t="shared" si="103"/>
        <v>3.9402972346594791</v>
      </c>
      <c r="F664" s="10">
        <f t="shared" si="107"/>
        <v>1.4525495955876266E-2</v>
      </c>
      <c r="G664" s="10">
        <f t="shared" si="104"/>
        <v>-0.58641367676090272</v>
      </c>
      <c r="H664" s="10">
        <f t="shared" si="105"/>
        <v>0.35745814580356938</v>
      </c>
      <c r="I664" s="10">
        <f t="shared" si="108"/>
        <v>5.0879665406600161E-4</v>
      </c>
      <c r="J664" s="20">
        <f t="shared" si="106"/>
        <v>0</v>
      </c>
      <c r="K664" s="10">
        <f t="shared" si="109"/>
        <v>3.6932075005808862E-3</v>
      </c>
      <c r="L664" s="10">
        <f t="shared" si="110"/>
        <v>2.2159245003484651E-3</v>
      </c>
    </row>
    <row r="665" spans="1:12" x14ac:dyDescent="0.2">
      <c r="A665" s="14">
        <v>0.6</v>
      </c>
      <c r="B665" s="10">
        <f t="shared" si="100"/>
        <v>0.40546510810816422</v>
      </c>
      <c r="C665" s="10">
        <f t="shared" si="101"/>
        <v>4.0546510810816415E-2</v>
      </c>
      <c r="D665" s="10">
        <f t="shared" si="102"/>
        <v>1.3749611510073703</v>
      </c>
      <c r="E665" s="10">
        <f t="shared" si="103"/>
        <v>3.9549230751586681</v>
      </c>
      <c r="F665" s="10">
        <f t="shared" si="107"/>
        <v>1.4625840499189025E-2</v>
      </c>
      <c r="G665" s="10">
        <f t="shared" si="104"/>
        <v>-0.58419068259644369</v>
      </c>
      <c r="H665" s="10">
        <f t="shared" si="105"/>
        <v>0.3579688887773218</v>
      </c>
      <c r="I665" s="10">
        <f t="shared" si="108"/>
        <v>5.107429737524205E-4</v>
      </c>
      <c r="J665" s="20">
        <f t="shared" si="106"/>
        <v>0</v>
      </c>
      <c r="K665" s="10">
        <f t="shared" si="109"/>
        <v>3.7049902740984297E-3</v>
      </c>
      <c r="L665" s="10">
        <f t="shared" si="110"/>
        <v>2.2229941644590356E-3</v>
      </c>
    </row>
    <row r="666" spans="1:12" x14ac:dyDescent="0.2">
      <c r="A666" s="14">
        <v>0.60099999999999998</v>
      </c>
      <c r="B666" s="10">
        <f t="shared" si="100"/>
        <v>0.409633517645344</v>
      </c>
      <c r="C666" s="10">
        <f t="shared" si="101"/>
        <v>4.1372985282179739E-2</v>
      </c>
      <c r="D666" s="10">
        <f t="shared" si="102"/>
        <v>1.3786779670438338</v>
      </c>
      <c r="E666" s="10">
        <f t="shared" si="103"/>
        <v>3.9696501486246141</v>
      </c>
      <c r="F666" s="10">
        <f t="shared" si="107"/>
        <v>1.4727073465945928E-2</v>
      </c>
      <c r="G666" s="10">
        <f t="shared" si="104"/>
        <v>-0.58196059297456548</v>
      </c>
      <c r="H666" s="10">
        <f t="shared" si="105"/>
        <v>0.35848158612970255</v>
      </c>
      <c r="I666" s="10">
        <f t="shared" si="108"/>
        <v>5.126973523807421E-4</v>
      </c>
      <c r="J666" s="20">
        <f t="shared" si="106"/>
        <v>0</v>
      </c>
      <c r="K666" s="10">
        <f t="shared" si="109"/>
        <v>3.7168160364635661E-3</v>
      </c>
      <c r="L666" s="10">
        <f t="shared" si="110"/>
        <v>2.2300896218782063E-3</v>
      </c>
    </row>
    <row r="667" spans="1:12" x14ac:dyDescent="0.2">
      <c r="A667" s="14">
        <v>0.60199999999999998</v>
      </c>
      <c r="B667" s="10">
        <f t="shared" si="100"/>
        <v>0.41380544002438319</v>
      </c>
      <c r="C667" s="10">
        <f t="shared" si="101"/>
        <v>4.2208154882487074E-2</v>
      </c>
      <c r="D667" s="10">
        <f t="shared" si="102"/>
        <v>1.3824066521560212</v>
      </c>
      <c r="E667" s="10">
        <f t="shared" si="103"/>
        <v>3.9844793535712579</v>
      </c>
      <c r="F667" s="10">
        <f t="shared" si="107"/>
        <v>1.4829204946643859E-2</v>
      </c>
      <c r="G667" s="10">
        <f t="shared" si="104"/>
        <v>-0.57972338190725314</v>
      </c>
      <c r="H667" s="10">
        <f t="shared" si="105"/>
        <v>0.35899624596811336</v>
      </c>
      <c r="I667" s="10">
        <f t="shared" si="108"/>
        <v>5.1465983841081364E-4</v>
      </c>
      <c r="J667" s="20">
        <f t="shared" si="106"/>
        <v>0</v>
      </c>
      <c r="K667" s="10">
        <f t="shared" si="109"/>
        <v>3.7286851121873799E-3</v>
      </c>
      <c r="L667" s="10">
        <f t="shared" si="110"/>
        <v>2.2372110673123391E-3</v>
      </c>
    </row>
    <row r="668" spans="1:12" x14ac:dyDescent="0.2">
      <c r="A668" s="14">
        <v>0.60299999999999998</v>
      </c>
      <c r="B668" s="10">
        <f t="shared" si="100"/>
        <v>0.41798091603999493</v>
      </c>
      <c r="C668" s="10">
        <f t="shared" si="101"/>
        <v>4.3052034352119468E-2</v>
      </c>
      <c r="D668" s="10">
        <f t="shared" si="102"/>
        <v>1.3861472499849299</v>
      </c>
      <c r="E668" s="10">
        <f t="shared" si="103"/>
        <v>3.9994115987414065</v>
      </c>
      <c r="F668" s="10">
        <f t="shared" si="107"/>
        <v>1.4932245170148573E-2</v>
      </c>
      <c r="G668" s="10">
        <f t="shared" si="104"/>
        <v>-0.57747902320990785</v>
      </c>
      <c r="H668" s="10">
        <f t="shared" si="105"/>
        <v>0.35951287644876573</v>
      </c>
      <c r="I668" s="10">
        <f t="shared" si="108"/>
        <v>5.1663048065236916E-4</v>
      </c>
      <c r="J668" s="20">
        <f t="shared" si="106"/>
        <v>0</v>
      </c>
      <c r="K668" s="10">
        <f t="shared" si="109"/>
        <v>3.7405978289086761E-3</v>
      </c>
      <c r="L668" s="10">
        <f t="shared" si="110"/>
        <v>2.2443586973452945E-3</v>
      </c>
    </row>
    <row r="669" spans="1:12" x14ac:dyDescent="0.2">
      <c r="A669" s="14">
        <v>0.60399999999999998</v>
      </c>
      <c r="B669" s="10">
        <f t="shared" si="100"/>
        <v>0.42215998668033428</v>
      </c>
      <c r="C669" s="10">
        <f t="shared" si="101"/>
        <v>4.3904638614754757E-2</v>
      </c>
      <c r="D669" s="10">
        <f t="shared" si="102"/>
        <v>1.3898998045023614</v>
      </c>
      <c r="E669" s="10">
        <f t="shared" si="103"/>
        <v>4.0144478032473412</v>
      </c>
      <c r="F669" s="10">
        <f t="shared" si="107"/>
        <v>1.503620450593468E-2</v>
      </c>
      <c r="G669" s="10">
        <f t="shared" si="104"/>
        <v>-0.57522749049944899</v>
      </c>
      <c r="H669" s="10">
        <f t="shared" si="105"/>
        <v>0.36003148577703242</v>
      </c>
      <c r="I669" s="10">
        <f t="shared" si="108"/>
        <v>5.1860932826669481E-4</v>
      </c>
      <c r="J669" s="20">
        <f t="shared" si="106"/>
        <v>0</v>
      </c>
      <c r="K669" s="10">
        <f t="shared" si="109"/>
        <v>3.7525545174315056E-3</v>
      </c>
      <c r="L669" s="10">
        <f t="shared" si="110"/>
        <v>2.2515327104588589E-3</v>
      </c>
    </row>
    <row r="670" spans="1:12" x14ac:dyDescent="0.2">
      <c r="A670" s="14">
        <v>0.60499999999999998</v>
      </c>
      <c r="B670" s="10">
        <f t="shared" si="100"/>
        <v>0.42634269312971956</v>
      </c>
      <c r="C670" s="10">
        <f t="shared" si="101"/>
        <v>4.4765982778620546E-2</v>
      </c>
      <c r="D670" s="10">
        <f t="shared" si="102"/>
        <v>1.3936643600141276</v>
      </c>
      <c r="E670" s="10">
        <f t="shared" si="103"/>
        <v>4.0295888967137117</v>
      </c>
      <c r="F670" s="10">
        <f t="shared" si="107"/>
        <v>1.5141093466370492E-2</v>
      </c>
      <c r="G670" s="10">
        <f t="shared" si="104"/>
        <v>-0.57296875719238916</v>
      </c>
      <c r="H670" s="10">
        <f t="shared" si="105"/>
        <v>0.36055208220780338</v>
      </c>
      <c r="I670" s="10">
        <f t="shared" si="108"/>
        <v>5.2059643077095874E-4</v>
      </c>
      <c r="J670" s="20">
        <f t="shared" si="106"/>
        <v>0</v>
      </c>
      <c r="K670" s="10">
        <f t="shared" si="109"/>
        <v>3.7645555117662433E-3</v>
      </c>
      <c r="L670" s="10">
        <f t="shared" si="110"/>
        <v>2.2587333070598348E-3</v>
      </c>
    </row>
    <row r="671" spans="1:12" x14ac:dyDescent="0.2">
      <c r="A671" s="14">
        <v>0.60599999999999998</v>
      </c>
      <c r="B671" s="10">
        <f t="shared" si="100"/>
        <v>0.43052907677138053</v>
      </c>
      <c r="C671" s="10">
        <f t="shared" si="101"/>
        <v>4.5636082137766328E-2</v>
      </c>
      <c r="D671" s="10">
        <f t="shared" si="102"/>
        <v>1.3974409611632952</v>
      </c>
      <c r="E671" s="10">
        <f t="shared" si="103"/>
        <v>4.0448358194227527</v>
      </c>
      <c r="F671" s="10">
        <f t="shared" si="107"/>
        <v>1.5246922709041044E-2</v>
      </c>
      <c r="G671" s="10">
        <f t="shared" si="104"/>
        <v>-0.57070279650288869</v>
      </c>
      <c r="H671" s="10">
        <f t="shared" si="105"/>
        <v>0.36107467404584448</v>
      </c>
      <c r="I671" s="10">
        <f t="shared" si="108"/>
        <v>5.2259183804109766E-4</v>
      </c>
      <c r="J671" s="20">
        <f t="shared" si="106"/>
        <v>0</v>
      </c>
      <c r="K671" s="10">
        <f t="shared" si="109"/>
        <v>3.7766011491675577E-3</v>
      </c>
      <c r="L671" s="10">
        <f t="shared" si="110"/>
        <v>2.265960689500468E-3</v>
      </c>
    </row>
    <row r="672" spans="1:12" x14ac:dyDescent="0.2">
      <c r="A672" s="14">
        <v>0.60699999999999998</v>
      </c>
      <c r="B672" s="10">
        <f t="shared" si="100"/>
        <v>0.43471917919023695</v>
      </c>
      <c r="C672" s="10">
        <f t="shared" si="101"/>
        <v>4.6514952173355349E-2</v>
      </c>
      <c r="D672" s="10">
        <f t="shared" si="102"/>
        <v>1.401229652933472</v>
      </c>
      <c r="E672" s="10">
        <f t="shared" si="103"/>
        <v>4.0601895224618678</v>
      </c>
      <c r="F672" s="10">
        <f t="shared" si="107"/>
        <v>1.5353703039115096E-2</v>
      </c>
      <c r="G672" s="10">
        <f t="shared" si="104"/>
        <v>-0.56842958144078259</v>
      </c>
      <c r="H672" s="10">
        <f t="shared" si="105"/>
        <v>0.36159926964615996</v>
      </c>
      <c r="I672" s="10">
        <f t="shared" si="108"/>
        <v>5.2459560031548058E-4</v>
      </c>
      <c r="J672" s="20">
        <f t="shared" si="106"/>
        <v>0</v>
      </c>
      <c r="K672" s="10">
        <f t="shared" si="109"/>
        <v>3.7886917701768219E-3</v>
      </c>
      <c r="L672" s="10">
        <f t="shared" si="110"/>
        <v>2.2732150621060931E-3</v>
      </c>
    </row>
    <row r="673" spans="1:12" x14ac:dyDescent="0.2">
      <c r="A673" s="14">
        <v>0.60799999999999998</v>
      </c>
      <c r="B673" s="10">
        <f t="shared" si="100"/>
        <v>0.43891304217570443</v>
      </c>
      <c r="C673" s="10">
        <f t="shared" si="101"/>
        <v>4.7402608554976071E-2</v>
      </c>
      <c r="D673" s="10">
        <f t="shared" si="102"/>
        <v>1.4050304806521348</v>
      </c>
      <c r="E673" s="10">
        <f t="shared" si="103"/>
        <v>4.0756509678736368</v>
      </c>
      <c r="F673" s="10">
        <f t="shared" si="107"/>
        <v>1.546144541176897E-2</v>
      </c>
      <c r="G673" s="10">
        <f t="shared" si="104"/>
        <v>-0.56614908480958492</v>
      </c>
      <c r="H673" s="10">
        <f t="shared" si="105"/>
        <v>0.36212587741435787</v>
      </c>
      <c r="I673" s="10">
        <f t="shared" si="108"/>
        <v>5.2660776819790645E-4</v>
      </c>
      <c r="J673" s="20">
        <f t="shared" si="106"/>
        <v>0</v>
      </c>
      <c r="K673" s="10">
        <f t="shared" si="109"/>
        <v>3.800827718662747E-3</v>
      </c>
      <c r="L673" s="10">
        <f t="shared" si="110"/>
        <v>2.2804966311976704E-3</v>
      </c>
    </row>
    <row r="674" spans="1:12" x14ac:dyDescent="0.2">
      <c r="A674" s="14">
        <v>0.60899999999999999</v>
      </c>
      <c r="B674" s="10">
        <f t="shared" si="100"/>
        <v>0.44311070772453115</v>
      </c>
      <c r="C674" s="10">
        <f t="shared" si="101"/>
        <v>4.8299067141973892E-2</v>
      </c>
      <c r="D674" s="10">
        <f t="shared" si="102"/>
        <v>1.4088434899939979</v>
      </c>
      <c r="E674" s="10">
        <f t="shared" si="103"/>
        <v>4.0912211288082663</v>
      </c>
      <c r="F674" s="10">
        <f t="shared" si="107"/>
        <v>1.5570160934629484E-2</v>
      </c>
      <c r="G674" s="10">
        <f t="shared" si="104"/>
        <v>-0.56386127920446705</v>
      </c>
      <c r="H674" s="10">
        <f t="shared" si="105"/>
        <v>0.36265450580701936</v>
      </c>
      <c r="I674" s="10">
        <f t="shared" si="108"/>
        <v>5.2862839266148987E-4</v>
      </c>
      <c r="J674" s="20">
        <f t="shared" si="106"/>
        <v>0</v>
      </c>
      <c r="K674" s="10">
        <f t="shared" si="109"/>
        <v>3.8130093418631272E-3</v>
      </c>
      <c r="L674" s="10">
        <f t="shared" si="110"/>
        <v>2.2878056051178763E-3</v>
      </c>
    </row>
    <row r="675" spans="1:12" x14ac:dyDescent="0.2">
      <c r="A675" s="14">
        <v>0.61</v>
      </c>
      <c r="B675" s="10">
        <f t="shared" si="100"/>
        <v>0.44731221804366483</v>
      </c>
      <c r="C675" s="10">
        <f t="shared" si="101"/>
        <v>4.9204343984803126E-2</v>
      </c>
      <c r="D675" s="10">
        <f t="shared" si="102"/>
        <v>1.4126687269844265</v>
      </c>
      <c r="E675" s="10">
        <f t="shared" si="103"/>
        <v>4.1069009896785653</v>
      </c>
      <c r="F675" s="10">
        <f t="shared" si="107"/>
        <v>1.5679860870299045E-2</v>
      </c>
      <c r="G675" s="10">
        <f t="shared" si="104"/>
        <v>-0.56156613701020985</v>
      </c>
      <c r="H675" s="10">
        <f t="shared" si="105"/>
        <v>0.36318516333207113</v>
      </c>
      <c r="I675" s="10">
        <f t="shared" si="108"/>
        <v>5.3065752505176977E-4</v>
      </c>
      <c r="J675" s="20">
        <f t="shared" si="106"/>
        <v>0</v>
      </c>
      <c r="K675" s="10">
        <f t="shared" si="109"/>
        <v>3.8252369904285821E-3</v>
      </c>
      <c r="L675" s="10">
        <f t="shared" si="110"/>
        <v>2.2951421942571937E-3</v>
      </c>
    </row>
    <row r="676" spans="1:12" x14ac:dyDescent="0.2">
      <c r="A676" s="14">
        <v>0.61099999999999999</v>
      </c>
      <c r="B676" s="10">
        <f t="shared" si="100"/>
        <v>0.45151761555314895</v>
      </c>
      <c r="C676" s="10">
        <f t="shared" si="101"/>
        <v>5.0118455326399532E-2</v>
      </c>
      <c r="D676" s="10">
        <f t="shared" si="102"/>
        <v>1.4165062380028897</v>
      </c>
      <c r="E676" s="10">
        <f t="shared" si="103"/>
        <v>4.1226915463174532</v>
      </c>
      <c r="F676" s="10">
        <f t="shared" si="107"/>
        <v>1.5790556638887843E-2</v>
      </c>
      <c r="G676" s="10">
        <f t="shared" si="104"/>
        <v>-0.55926363039913196</v>
      </c>
      <c r="H676" s="10">
        <f t="shared" si="105"/>
        <v>0.36371785854916133</v>
      </c>
      <c r="I676" s="10">
        <f t="shared" si="108"/>
        <v>5.3269521709020662E-4</v>
      </c>
      <c r="J676" s="20">
        <f t="shared" si="106"/>
        <v>0</v>
      </c>
      <c r="K676" s="10">
        <f t="shared" si="109"/>
        <v>3.8375110184631911E-3</v>
      </c>
      <c r="L676" s="10">
        <f t="shared" si="110"/>
        <v>2.3025066110778925E-3</v>
      </c>
    </row>
    <row r="677" spans="1:12" x14ac:dyDescent="0.2">
      <c r="A677" s="14">
        <v>0.61199999999999999</v>
      </c>
      <c r="B677" s="10">
        <f t="shared" si="100"/>
        <v>0.45572694288905263</v>
      </c>
      <c r="C677" s="10">
        <f t="shared" si="101"/>
        <v>5.1041417603573891E-2</v>
      </c>
      <c r="D677" s="10">
        <f t="shared" si="102"/>
        <v>1.4203560697864621</v>
      </c>
      <c r="E677" s="10">
        <f t="shared" si="103"/>
        <v>4.1385938061380925</v>
      </c>
      <c r="F677" s="10">
        <f t="shared" si="107"/>
        <v>1.5902259820639308E-2</v>
      </c>
      <c r="G677" s="10">
        <f t="shared" si="104"/>
        <v>-0.5569537313289884</v>
      </c>
      <c r="H677" s="10">
        <f t="shared" si="105"/>
        <v>0.36425260007003984</v>
      </c>
      <c r="I677" s="10">
        <f t="shared" si="108"/>
        <v>5.3474152087851223E-4</v>
      </c>
      <c r="J677" s="20">
        <f t="shared" si="106"/>
        <v>0</v>
      </c>
      <c r="K677" s="10">
        <f t="shared" si="109"/>
        <v>3.8498317835724549E-3</v>
      </c>
      <c r="L677" s="10">
        <f t="shared" si="110"/>
        <v>2.3098990701435618E-3</v>
      </c>
    </row>
    <row r="678" spans="1:12" x14ac:dyDescent="0.2">
      <c r="A678" s="14">
        <v>0.61299999999999999</v>
      </c>
      <c r="B678" s="10">
        <f t="shared" si="100"/>
        <v>0.4599402429064296</v>
      </c>
      <c r="C678" s="10">
        <f t="shared" si="101"/>
        <v>5.1973247448426539E-2</v>
      </c>
      <c r="D678" s="10">
        <f t="shared" si="102"/>
        <v>1.4242182694333656</v>
      </c>
      <c r="E678" s="10">
        <f t="shared" si="103"/>
        <v>4.1546087882966551</v>
      </c>
      <c r="F678" s="10">
        <f t="shared" si="107"/>
        <v>1.6014982158562674E-2</v>
      </c>
      <c r="G678" s="10">
        <f t="shared" si="104"/>
        <v>-0.55463641154084642</v>
      </c>
      <c r="H678" s="10">
        <f t="shared" si="105"/>
        <v>0.36478939655894083</v>
      </c>
      <c r="I678" s="10">
        <f t="shared" si="108"/>
        <v>5.3679648890098131E-4</v>
      </c>
      <c r="J678" s="20">
        <f t="shared" si="106"/>
        <v>0</v>
      </c>
      <c r="K678" s="10">
        <f t="shared" si="109"/>
        <v>3.8621996469034858E-3</v>
      </c>
      <c r="L678" s="10">
        <f t="shared" si="110"/>
        <v>2.3173197881419805E-3</v>
      </c>
    </row>
    <row r="679" spans="1:12" x14ac:dyDescent="0.2">
      <c r="A679" s="14">
        <v>0.61399999999999999</v>
      </c>
      <c r="B679" s="10">
        <f t="shared" si="100"/>
        <v>0.46415755868231151</v>
      </c>
      <c r="C679" s="10">
        <f t="shared" si="101"/>
        <v>5.2913961689783511E-2</v>
      </c>
      <c r="D679" s="10">
        <f t="shared" si="102"/>
        <v>1.4280928844065586</v>
      </c>
      <c r="E679" s="10">
        <f t="shared" si="103"/>
        <v>4.1707375238577953</v>
      </c>
      <c r="F679" s="10">
        <f t="shared" si="107"/>
        <v>1.612873556114014E-2</v>
      </c>
      <c r="G679" s="10">
        <f t="shared" si="104"/>
        <v>-0.55231164255693055</v>
      </c>
      <c r="H679" s="10">
        <f t="shared" si="105"/>
        <v>0.3653282567329702</v>
      </c>
      <c r="I679" s="10">
        <f t="shared" si="108"/>
        <v>5.3886017402937636E-4</v>
      </c>
      <c r="J679" s="20">
        <f t="shared" si="106"/>
        <v>0</v>
      </c>
      <c r="K679" s="10">
        <f t="shared" si="109"/>
        <v>3.8746149731929691E-3</v>
      </c>
      <c r="L679" s="10">
        <f t="shared" si="110"/>
        <v>2.3247689839158703E-3</v>
      </c>
    </row>
    <row r="680" spans="1:12" x14ac:dyDescent="0.2">
      <c r="A680" s="14">
        <v>0.61499999999999999</v>
      </c>
      <c r="B680" s="10">
        <f t="shared" si="100"/>
        <v>0.46837893351873361</v>
      </c>
      <c r="C680" s="10">
        <f t="shared" si="101"/>
        <v>5.3863577354654364E-2</v>
      </c>
      <c r="D680" s="10">
        <f t="shared" si="102"/>
        <v>1.4319799625373721</v>
      </c>
      <c r="E680" s="10">
        <f t="shared" si="103"/>
        <v>4.1869810559628879</v>
      </c>
      <c r="F680" s="10">
        <f t="shared" si="107"/>
        <v>1.6243532105092662E-2</v>
      </c>
      <c r="G680" s="10">
        <f t="shared" si="104"/>
        <v>-0.54997939567844245</v>
      </c>
      <c r="H680" s="10">
        <f t="shared" si="105"/>
        <v>0.36586918936249579</v>
      </c>
      <c r="I680" s="10">
        <f t="shared" si="108"/>
        <v>5.4093262952559229E-4</v>
      </c>
      <c r="J680" s="20">
        <f t="shared" si="106"/>
        <v>0</v>
      </c>
      <c r="K680" s="10">
        <f t="shared" si="109"/>
        <v>3.8870781308135705E-3</v>
      </c>
      <c r="L680" s="10">
        <f t="shared" si="110"/>
        <v>2.3322468784880979E-3</v>
      </c>
    </row>
    <row r="681" spans="1:12" x14ac:dyDescent="0.2">
      <c r="A681" s="14">
        <v>0.61599999999999999</v>
      </c>
      <c r="B681" s="10">
        <f t="shared" si="100"/>
        <v>0.47260441094579281</v>
      </c>
      <c r="C681" s="10">
        <f t="shared" si="101"/>
        <v>5.4822111669711959E-2</v>
      </c>
      <c r="D681" s="10">
        <f t="shared" si="102"/>
        <v>1.4358795520291894</v>
      </c>
      <c r="E681" s="10">
        <f t="shared" si="103"/>
        <v>4.2033404400010532</v>
      </c>
      <c r="F681" s="10">
        <f t="shared" si="107"/>
        <v>1.6359384038165281E-2</v>
      </c>
      <c r="G681" s="10">
        <f t="shared" si="104"/>
        <v>-0.54763964198335213</v>
      </c>
      <c r="H681" s="10">
        <f t="shared" si="105"/>
        <v>0.36641220327154211</v>
      </c>
      <c r="I681" s="10">
        <f t="shared" si="108"/>
        <v>5.430139090463193E-4</v>
      </c>
      <c r="J681" s="20">
        <f t="shared" si="106"/>
        <v>0</v>
      </c>
      <c r="K681" s="10">
        <f t="shared" si="109"/>
        <v>3.8995894918172347E-3</v>
      </c>
      <c r="L681" s="10">
        <f t="shared" si="110"/>
        <v>2.3397536950903186E-3</v>
      </c>
    </row>
    <row r="682" spans="1:12" x14ac:dyDescent="0.2">
      <c r="A682" s="14">
        <v>0.61699999999999999</v>
      </c>
      <c r="B682" s="10">
        <f t="shared" si="100"/>
        <v>0.47683403472474178</v>
      </c>
      <c r="C682" s="10">
        <f t="shared" si="101"/>
        <v>5.5789582062794787E-2</v>
      </c>
      <c r="D682" s="10">
        <f t="shared" si="102"/>
        <v>1.4397917014611761</v>
      </c>
      <c r="E682" s="10">
        <f t="shared" si="103"/>
        <v>4.2198167437830634</v>
      </c>
      <c r="F682" s="10">
        <f t="shared" si="107"/>
        <v>1.6476303782010149E-2</v>
      </c>
      <c r="G682" s="10">
        <f t="shared" si="104"/>
        <v>-0.54529235232416007</v>
      </c>
      <c r="H682" s="10">
        <f t="shared" si="105"/>
        <v>0.36695730733818827</v>
      </c>
      <c r="I682" s="10">
        <f t="shared" si="108"/>
        <v>5.4510406664615152E-4</v>
      </c>
      <c r="J682" s="20">
        <f t="shared" si="106"/>
        <v>0</v>
      </c>
      <c r="K682" s="10">
        <f t="shared" si="109"/>
        <v>3.9121494319867001E-3</v>
      </c>
      <c r="L682" s="10">
        <f t="shared" si="110"/>
        <v>2.3472896591920644E-3</v>
      </c>
    </row>
    <row r="683" spans="1:12" x14ac:dyDescent="0.2">
      <c r="A683" s="14">
        <v>0.61799999999999999</v>
      </c>
      <c r="B683" s="10">
        <f t="shared" si="100"/>
        <v>0.48106784885111553</v>
      </c>
      <c r="C683" s="10">
        <f t="shared" si="101"/>
        <v>5.6766006164431629E-2</v>
      </c>
      <c r="D683" s="10">
        <f t="shared" si="102"/>
        <v>1.4437164597920567</v>
      </c>
      <c r="E683" s="10">
        <f t="shared" si="103"/>
        <v>4.2364110477181498</v>
      </c>
      <c r="F683" s="10">
        <f t="shared" si="107"/>
        <v>1.659430393508643E-2</v>
      </c>
      <c r="G683" s="10">
        <f t="shared" si="104"/>
        <v>-0.54293749732563168</v>
      </c>
      <c r="H683" s="10">
        <f t="shared" si="105"/>
        <v>0.36750451049496968</v>
      </c>
      <c r="I683" s="10">
        <f t="shared" si="108"/>
        <v>5.4720315678141729E-4</v>
      </c>
      <c r="J683" s="20">
        <f t="shared" si="106"/>
        <v>0</v>
      </c>
      <c r="K683" s="10">
        <f t="shared" si="109"/>
        <v>3.9247583308805734E-3</v>
      </c>
      <c r="L683" s="10">
        <f t="shared" si="110"/>
        <v>2.3548549985283884E-3</v>
      </c>
    </row>
    <row r="684" spans="1:12" x14ac:dyDescent="0.2">
      <c r="A684" s="14">
        <v>0.61899999999999999</v>
      </c>
      <c r="B684" s="10">
        <f t="shared" si="100"/>
        <v>0.48530589755789505</v>
      </c>
      <c r="C684" s="10">
        <f t="shared" si="101"/>
        <v>5.7751401809389508E-2</v>
      </c>
      <c r="D684" s="10">
        <f t="shared" si="102"/>
        <v>1.4476538763639411</v>
      </c>
      <c r="E684" s="10">
        <f t="shared" si="103"/>
        <v>4.2531244449937935</v>
      </c>
      <c r="F684" s="10">
        <f t="shared" si="107"/>
        <v>1.6713397275643693E-2</v>
      </c>
      <c r="G684" s="10">
        <f t="shared" si="104"/>
        <v>-0.54057504738250117</v>
      </c>
      <c r="H684" s="10">
        <f t="shared" si="105"/>
        <v>0.36805382172928447</v>
      </c>
      <c r="I684" s="10">
        <f t="shared" si="108"/>
        <v>5.4931123431478657E-4</v>
      </c>
      <c r="J684" s="20">
        <f t="shared" si="106"/>
        <v>0</v>
      </c>
      <c r="K684" s="10">
        <f t="shared" si="109"/>
        <v>3.9374165718844001E-3</v>
      </c>
      <c r="L684" s="10">
        <f t="shared" si="110"/>
        <v>2.3624499431305068E-3</v>
      </c>
    </row>
    <row r="685" spans="1:12" x14ac:dyDescent="0.2">
      <c r="A685" s="14">
        <v>0.62</v>
      </c>
      <c r="B685" s="10">
        <f t="shared" si="100"/>
        <v>0.48954822531870579</v>
      </c>
      <c r="C685" s="10">
        <f t="shared" si="101"/>
        <v>5.8745787038244693E-2</v>
      </c>
      <c r="D685" s="10">
        <f t="shared" si="102"/>
        <v>1.4516040009061992</v>
      </c>
      <c r="E685" s="10">
        <f t="shared" si="103"/>
        <v>4.2699580417585423</v>
      </c>
      <c r="F685" s="10">
        <f t="shared" si="107"/>
        <v>1.6833596764748826E-2</v>
      </c>
      <c r="G685" s="10">
        <f t="shared" si="104"/>
        <v>-0.53820497265714617</v>
      </c>
      <c r="H685" s="10">
        <f t="shared" si="105"/>
        <v>0.3686052500838029</v>
      </c>
      <c r="I685" s="10">
        <f t="shared" si="108"/>
        <v>5.5142835451843508E-4</v>
      </c>
      <c r="J685" s="20">
        <f t="shared" si="106"/>
        <v>0</v>
      </c>
      <c r="K685" s="10">
        <f t="shared" si="109"/>
        <v>3.9501245422581821E-3</v>
      </c>
      <c r="L685" s="10">
        <f t="shared" si="110"/>
        <v>2.3700747253549981E-3</v>
      </c>
    </row>
    <row r="686" spans="1:12" x14ac:dyDescent="0.2">
      <c r="A686" s="14">
        <v>0.621</v>
      </c>
      <c r="B686" s="10">
        <f t="shared" si="100"/>
        <v>0.49379487685105233</v>
      </c>
      <c r="C686" s="10">
        <f t="shared" si="101"/>
        <v>5.9749180098977332E-2</v>
      </c>
      <c r="D686" s="10">
        <f t="shared" si="102"/>
        <v>1.4555668835393869</v>
      </c>
      <c r="E686" s="10">
        <f t="shared" si="103"/>
        <v>4.2869129573079094</v>
      </c>
      <c r="F686" s="10">
        <f t="shared" si="107"/>
        <v>1.6954915549367122E-2</v>
      </c>
      <c r="G686" s="10">
        <f t="shared" si="104"/>
        <v>-0.53582724307723362</v>
      </c>
      <c r="H686" s="10">
        <f t="shared" si="105"/>
        <v>0.36915880465688072</v>
      </c>
      <c r="I686" s="10">
        <f t="shared" si="108"/>
        <v>5.5355457307781908E-4</v>
      </c>
      <c r="J686" s="20">
        <f t="shared" si="106"/>
        <v>0</v>
      </c>
      <c r="K686" s="10">
        <f t="shared" si="109"/>
        <v>3.9628826331876699E-3</v>
      </c>
      <c r="L686" s="10">
        <f t="shared" si="110"/>
        <v>2.3777295799125575E-3</v>
      </c>
    </row>
    <row r="687" spans="1:12" x14ac:dyDescent="0.2">
      <c r="A687" s="14">
        <v>0.622</v>
      </c>
      <c r="B687" s="10">
        <f t="shared" si="100"/>
        <v>0.4980458971195918</v>
      </c>
      <c r="C687" s="10">
        <f t="shared" si="101"/>
        <v>6.0761599448590199E-2</v>
      </c>
      <c r="D687" s="10">
        <f t="shared" si="102"/>
        <v>1.4595425747792246</v>
      </c>
      <c r="E687" s="10">
        <f t="shared" si="103"/>
        <v>4.3039903242734425</v>
      </c>
      <c r="F687" s="10">
        <f t="shared" si="107"/>
        <v>1.7077366965533081E-2</v>
      </c>
      <c r="G687" s="10">
        <f t="shared" si="104"/>
        <v>-0.5334418283333312</v>
      </c>
      <c r="H687" s="10">
        <f t="shared" si="105"/>
        <v>0.36971449460297773</v>
      </c>
      <c r="I687" s="10">
        <f t="shared" si="108"/>
        <v>5.5568994609700439E-4</v>
      </c>
      <c r="J687" s="20">
        <f t="shared" si="106"/>
        <v>0</v>
      </c>
      <c r="K687" s="10">
        <f t="shared" si="109"/>
        <v>3.9756912398376532E-3</v>
      </c>
      <c r="L687" s="10">
        <f t="shared" si="110"/>
        <v>2.3854147439024143E-3</v>
      </c>
    </row>
    <row r="688" spans="1:12" x14ac:dyDescent="0.2">
      <c r="A688" s="14">
        <v>0.623</v>
      </c>
      <c r="B688" s="10">
        <f t="shared" si="100"/>
        <v>0.50230133133944244</v>
      </c>
      <c r="C688" s="10">
        <f t="shared" si="101"/>
        <v>6.178306375475142E-2</v>
      </c>
      <c r="D688" s="10">
        <f t="shared" si="102"/>
        <v>1.4635311255406231</v>
      </c>
      <c r="E688" s="10">
        <f t="shared" si="103"/>
        <v>4.3211912888149753</v>
      </c>
      <c r="F688" s="10">
        <f t="shared" si="107"/>
        <v>1.7200964541532748E-2</v>
      </c>
      <c r="G688" s="10">
        <f t="shared" si="104"/>
        <v>-0.53104869787649178</v>
      </c>
      <c r="H688" s="10">
        <f t="shared" si="105"/>
        <v>0.37027232913307906</v>
      </c>
      <c r="I688" s="10">
        <f t="shared" si="108"/>
        <v>5.5783453010133099E-4</v>
      </c>
      <c r="J688" s="20">
        <f t="shared" si="106"/>
        <v>0</v>
      </c>
      <c r="K688" s="10">
        <f t="shared" si="109"/>
        <v>3.9885507613985904E-3</v>
      </c>
      <c r="L688" s="10">
        <f t="shared" si="110"/>
        <v>2.3931304568394207E-3</v>
      </c>
    </row>
    <row r="689" spans="1:12" x14ac:dyDescent="0.2">
      <c r="A689" s="14">
        <v>0.624</v>
      </c>
      <c r="B689" s="10">
        <f t="shared" si="100"/>
        <v>0.50656122497953315</v>
      </c>
      <c r="C689" s="10">
        <f t="shared" si="101"/>
        <v>6.2813591897462107E-2</v>
      </c>
      <c r="D689" s="10">
        <f t="shared" si="102"/>
        <v>1.4675325871417699</v>
      </c>
      <c r="E689" s="10">
        <f t="shared" si="103"/>
        <v>4.3385170108161866</v>
      </c>
      <c r="F689" s="10">
        <f t="shared" si="107"/>
        <v>1.7325722001211297E-2</v>
      </c>
      <c r="G689" s="10">
        <f t="shared" si="104"/>
        <v>-0.52864782091580376</v>
      </c>
      <c r="H689" s="10">
        <f t="shared" si="105"/>
        <v>0.37083231751512086</v>
      </c>
      <c r="I689" s="10">
        <f t="shared" si="108"/>
        <v>5.5998838204179835E-4</v>
      </c>
      <c r="J689" s="20">
        <f t="shared" si="106"/>
        <v>0</v>
      </c>
      <c r="K689" s="10">
        <f t="shared" si="109"/>
        <v>4.001461601146783E-3</v>
      </c>
      <c r="L689" s="10">
        <f t="shared" si="110"/>
        <v>2.4008769606880254E-3</v>
      </c>
    </row>
    <row r="690" spans="1:12" x14ac:dyDescent="0.2">
      <c r="A690" s="14">
        <v>0.625</v>
      </c>
      <c r="B690" s="10">
        <f t="shared" si="100"/>
        <v>0.51082562376599072</v>
      </c>
      <c r="C690" s="10">
        <f t="shared" si="101"/>
        <v>6.385320297074884E-2</v>
      </c>
      <c r="D690" s="10">
        <f t="shared" si="102"/>
        <v>1.4715470113082612</v>
      </c>
      <c r="E690" s="10">
        <f t="shared" si="103"/>
        <v>4.3559686640834672</v>
      </c>
      <c r="F690" s="10">
        <f t="shared" si="107"/>
        <v>1.7451653267280598E-2</v>
      </c>
      <c r="G690" s="10">
        <f t="shared" si="104"/>
        <v>-0.52623916641590895</v>
      </c>
      <c r="H690" s="10">
        <f t="shared" si="105"/>
        <v>0.37139446907442086</v>
      </c>
      <c r="I690" s="10">
        <f t="shared" si="108"/>
        <v>5.6215155930000593E-4</v>
      </c>
      <c r="J690" s="20">
        <f t="shared" si="106"/>
        <v>0</v>
      </c>
      <c r="K690" s="10">
        <f t="shared" si="109"/>
        <v>4.0144241664912261E-3</v>
      </c>
      <c r="L690" s="10">
        <f t="shared" si="110"/>
        <v>2.4086544998948023E-3</v>
      </c>
    </row>
    <row r="691" spans="1:12" x14ac:dyDescent="0.2">
      <c r="A691" s="14">
        <v>0.626</v>
      </c>
      <c r="B691" s="10">
        <f t="shared" si="100"/>
        <v>0.51509457368556666</v>
      </c>
      <c r="C691" s="10">
        <f t="shared" si="101"/>
        <v>6.4901916284381397E-2</v>
      </c>
      <c r="D691" s="10">
        <f t="shared" si="102"/>
        <v>1.4755744501772929</v>
      </c>
      <c r="E691" s="10">
        <f t="shared" si="103"/>
        <v>4.3735474365482077</v>
      </c>
      <c r="F691" s="10">
        <f t="shared" si="107"/>
        <v>1.7578772464740489E-2</v>
      </c>
      <c r="G691" s="10">
        <f t="shared" si="104"/>
        <v>-0.52382270309448997</v>
      </c>
      <c r="H691" s="10">
        <f t="shared" si="105"/>
        <v>0.37195879319411251</v>
      </c>
      <c r="I691" s="10">
        <f t="shared" si="108"/>
        <v>5.6432411969165042E-4</v>
      </c>
      <c r="J691" s="20">
        <f t="shared" si="106"/>
        <v>0</v>
      </c>
      <c r="K691" s="10">
        <f t="shared" si="109"/>
        <v>4.0274388690317853E-3</v>
      </c>
      <c r="L691" s="10">
        <f t="shared" si="110"/>
        <v>2.4164633214189823E-3</v>
      </c>
    </row>
    <row r="692" spans="1:12" x14ac:dyDescent="0.2">
      <c r="A692" s="14">
        <v>0.627</v>
      </c>
      <c r="B692" s="10">
        <f t="shared" si="100"/>
        <v>0.51936812098910512</v>
      </c>
      <c r="C692" s="10">
        <f t="shared" si="101"/>
        <v>6.5959751365616354E-2</v>
      </c>
      <c r="D692" s="10">
        <f t="shared" si="102"/>
        <v>1.479614956301907</v>
      </c>
      <c r="E692" s="10">
        <f t="shared" si="103"/>
        <v>4.3912545304725592</v>
      </c>
      <c r="F692" s="10">
        <f t="shared" si="107"/>
        <v>1.7707093924351547E-2</v>
      </c>
      <c r="G692" s="10">
        <f t="shared" si="104"/>
        <v>-0.52139839941972166</v>
      </c>
      <c r="H692" s="10">
        <f t="shared" si="105"/>
        <v>0.37252529931558337</v>
      </c>
      <c r="I692" s="10">
        <f t="shared" si="108"/>
        <v>5.6650612147085555E-4</v>
      </c>
      <c r="J692" s="20">
        <f t="shared" si="106"/>
        <v>0</v>
      </c>
      <c r="K692" s="10">
        <f t="shared" si="109"/>
        <v>4.0405061246140406E-3</v>
      </c>
      <c r="L692" s="10">
        <f t="shared" si="110"/>
        <v>2.4243036747683133E-3</v>
      </c>
    </row>
    <row r="693" spans="1:12" x14ac:dyDescent="0.2">
      <c r="A693" s="14">
        <v>0.628</v>
      </c>
      <c r="B693" s="10">
        <f t="shared" si="100"/>
        <v>0.5236463121950522</v>
      </c>
      <c r="C693" s="10">
        <f t="shared" si="101"/>
        <v>6.7026727960966689E-2</v>
      </c>
      <c r="D693" s="10">
        <f t="shared" si="102"/>
        <v>1.483668582655292</v>
      </c>
      <c r="E693" s="10">
        <f t="shared" si="103"/>
        <v>4.4090911626587266</v>
      </c>
      <c r="F693" s="10">
        <f t="shared" si="107"/>
        <v>1.7836632186167378E-2</v>
      </c>
      <c r="G693" s="10">
        <f t="shared" si="104"/>
        <v>-0.51896622360769062</v>
      </c>
      <c r="H693" s="10">
        <f t="shared" si="105"/>
        <v>0.37309399693891832</v>
      </c>
      <c r="I693" s="10">
        <f t="shared" si="108"/>
        <v>5.6869762333494611E-4</v>
      </c>
      <c r="J693" s="20">
        <f t="shared" si="106"/>
        <v>0</v>
      </c>
      <c r="K693" s="10">
        <f t="shared" si="109"/>
        <v>4.0536263533850203E-3</v>
      </c>
      <c r="L693" s="10">
        <f t="shared" si="110"/>
        <v>2.4321758120310344E-3</v>
      </c>
    </row>
    <row r="694" spans="1:12" x14ac:dyDescent="0.2">
      <c r="A694" s="14">
        <v>0.629</v>
      </c>
      <c r="B694" s="10">
        <f t="shared" si="100"/>
        <v>0.52792919409300543</v>
      </c>
      <c r="C694" s="10">
        <f t="shared" si="101"/>
        <v>6.81028660379977E-2</v>
      </c>
      <c r="D694" s="10">
        <f t="shared" si="102"/>
        <v>1.4877353826351429</v>
      </c>
      <c r="E694" s="10">
        <f t="shared" si="103"/>
        <v>4.4270585646618823</v>
      </c>
      <c r="F694" s="10">
        <f t="shared" si="107"/>
        <v>1.7967402003155719E-2</v>
      </c>
      <c r="G694" s="10">
        <f t="shared" si="104"/>
        <v>-0.51652614361978022</v>
      </c>
      <c r="H694" s="10">
        <f t="shared" si="105"/>
        <v>0.37366489562334637</v>
      </c>
      <c r="I694" s="10">
        <f t="shared" si="108"/>
        <v>5.7089868442805614E-4</v>
      </c>
      <c r="J694" s="20">
        <f t="shared" si="106"/>
        <v>0</v>
      </c>
      <c r="K694" s="10">
        <f t="shared" si="109"/>
        <v>4.0667999798509324E-3</v>
      </c>
      <c r="L694" s="10">
        <f t="shared" si="110"/>
        <v>2.440079987910404E-3</v>
      </c>
    </row>
    <row r="695" spans="1:12" x14ac:dyDescent="0.2">
      <c r="A695" s="14">
        <v>0.63</v>
      </c>
      <c r="B695" s="10">
        <f t="shared" si="100"/>
        <v>0.53221681374730823</v>
      </c>
      <c r="C695" s="10">
        <f t="shared" si="101"/>
        <v>6.9188185787150067E-2</v>
      </c>
      <c r="D695" s="10">
        <f t="shared" si="102"/>
        <v>1.4918154100680765</v>
      </c>
      <c r="E695" s="10">
        <f t="shared" si="103"/>
        <v>4.4451579830067454</v>
      </c>
      <c r="F695" s="10">
        <f t="shared" si="107"/>
        <v>1.8099418344863061E-2</v>
      </c>
      <c r="G695" s="10">
        <f t="shared" si="104"/>
        <v>-0.51407812716001988</v>
      </c>
      <c r="H695" s="10">
        <f t="shared" si="105"/>
        <v>0.37423800498769277</v>
      </c>
      <c r="I695" s="10">
        <f t="shared" si="108"/>
        <v>5.7310936434640247E-4</v>
      </c>
      <c r="J695" s="20">
        <f t="shared" si="106"/>
        <v>0</v>
      </c>
      <c r="K695" s="10">
        <f t="shared" si="109"/>
        <v>4.080027432933564E-3</v>
      </c>
      <c r="L695" s="10">
        <f t="shared" si="110"/>
        <v>2.4480164597603382E-3</v>
      </c>
    </row>
    <row r="696" spans="1:12" x14ac:dyDescent="0.2">
      <c r="A696" s="14">
        <v>0.63100000000000001</v>
      </c>
      <c r="B696" s="10">
        <f t="shared" si="100"/>
        <v>0.536509218500686</v>
      </c>
      <c r="C696" s="10">
        <f t="shared" si="101"/>
        <v>7.0282707623589874E-2</v>
      </c>
      <c r="D696" s="10">
        <f t="shared" si="102"/>
        <v>1.4959087192141098</v>
      </c>
      <c r="E696" s="10">
        <f t="shared" si="103"/>
        <v>4.4633906794079499</v>
      </c>
      <c r="F696" s="10">
        <f t="shared" si="107"/>
        <v>1.8232696401204507E-2</v>
      </c>
      <c r="G696" s="10">
        <f t="shared" si="104"/>
        <v>-0.51162214167239983</v>
      </c>
      <c r="H696" s="10">
        <f t="shared" si="105"/>
        <v>0.374813334710835</v>
      </c>
      <c r="I696" s="10">
        <f t="shared" si="108"/>
        <v>5.7532972314222608E-4</v>
      </c>
      <c r="J696" s="20">
        <f t="shared" si="106"/>
        <v>0</v>
      </c>
      <c r="K696" s="10">
        <f t="shared" si="109"/>
        <v>4.0933091460333415E-3</v>
      </c>
      <c r="L696" s="10">
        <f t="shared" si="110"/>
        <v>2.4559854876200493E-3</v>
      </c>
    </row>
    <row r="697" spans="1:12" x14ac:dyDescent="0.2">
      <c r="A697" s="14">
        <v>0.63200000000000001</v>
      </c>
      <c r="B697" s="10">
        <f t="shared" si="100"/>
        <v>0.54080645597792654</v>
      </c>
      <c r="C697" s="10">
        <f t="shared" si="101"/>
        <v>7.1386452189086305E-2</v>
      </c>
      <c r="D697" s="10">
        <f t="shared" si="102"/>
        <v>1.5000153647711929</v>
      </c>
      <c r="E697" s="10">
        <f t="shared" si="103"/>
        <v>4.4817579309942008</v>
      </c>
      <c r="F697" s="10">
        <f t="shared" si="107"/>
        <v>1.8367251586250966E-2</v>
      </c>
      <c r="G697" s="10">
        <f t="shared" si="104"/>
        <v>-0.50915815433815015</v>
      </c>
      <c r="H697" s="10">
        <f t="shared" si="105"/>
        <v>0.37539089453216334</v>
      </c>
      <c r="I697" s="10">
        <f t="shared" si="108"/>
        <v>5.7755982132834394E-4</v>
      </c>
      <c r="J697" s="20">
        <f t="shared" si="106"/>
        <v>0</v>
      </c>
      <c r="K697" s="10">
        <f t="shared" si="109"/>
        <v>4.1066455570830662E-3</v>
      </c>
      <c r="L697" s="10">
        <f t="shared" si="110"/>
        <v>2.4639873342496843E-3</v>
      </c>
    </row>
    <row r="698" spans="1:12" x14ac:dyDescent="0.2">
      <c r="A698" s="14">
        <v>0.63300000000000001</v>
      </c>
      <c r="B698" s="10">
        <f t="shared" si="100"/>
        <v>0.54510857408960589</v>
      </c>
      <c r="C698" s="10">
        <f t="shared" si="101"/>
        <v>7.2499440353917588E-2</v>
      </c>
      <c r="D698" s="10">
        <f t="shared" si="102"/>
        <v>1.5041354018798079</v>
      </c>
      <c r="E698" s="10">
        <f t="shared" si="103"/>
        <v>4.5002610305363806</v>
      </c>
      <c r="F698" s="10">
        <f t="shared" si="107"/>
        <v>1.8503099542179768E-2</v>
      </c>
      <c r="G698" s="10">
        <f t="shared" si="104"/>
        <v>-0.50668613207298108</v>
      </c>
      <c r="H698" s="10">
        <f t="shared" si="105"/>
        <v>0.37597069425204649</v>
      </c>
      <c r="I698" s="10">
        <f t="shared" si="108"/>
        <v>5.7979971988314505E-4</v>
      </c>
      <c r="J698" s="20">
        <f t="shared" si="106"/>
        <v>0</v>
      </c>
      <c r="K698" s="10">
        <f t="shared" si="109"/>
        <v>4.1200371086149712E-3</v>
      </c>
      <c r="L698" s="10">
        <f t="shared" si="110"/>
        <v>2.4720222651690715E-3</v>
      </c>
    </row>
    <row r="699" spans="1:12" x14ac:dyDescent="0.2">
      <c r="A699" s="14">
        <v>0.63400000000000001</v>
      </c>
      <c r="B699" s="10">
        <f t="shared" si="100"/>
        <v>0.54941562103585972</v>
      </c>
      <c r="C699" s="10">
        <f t="shared" si="101"/>
        <v>7.3621693218805212E-2</v>
      </c>
      <c r="D699" s="10">
        <f t="shared" si="102"/>
        <v>1.508268886127627</v>
      </c>
      <c r="E699" s="10">
        <f t="shared" si="103"/>
        <v>4.5189012866796165</v>
      </c>
      <c r="F699" s="10">
        <f t="shared" si="107"/>
        <v>1.8640256143235945E-2</v>
      </c>
      <c r="G699" s="10">
        <f t="shared" si="104"/>
        <v>-0.50420604152428972</v>
      </c>
      <c r="H699" s="10">
        <f t="shared" si="105"/>
        <v>0.37655274373230113</v>
      </c>
      <c r="I699" s="10">
        <f t="shared" si="108"/>
        <v>5.8204948025464276E-4</v>
      </c>
      <c r="J699" s="20">
        <f t="shared" si="106"/>
        <v>0</v>
      </c>
      <c r="K699" s="10">
        <f t="shared" si="109"/>
        <v>4.1334842478191192E-3</v>
      </c>
      <c r="L699" s="10">
        <f t="shared" si="110"/>
        <v>2.4800905486913605E-3</v>
      </c>
    </row>
    <row r="700" spans="1:12" x14ac:dyDescent="0.2">
      <c r="A700" s="14">
        <v>0.63500000000000001</v>
      </c>
      <c r="B700" s="10">
        <f t="shared" si="100"/>
        <v>0.55372764531020013</v>
      </c>
      <c r="C700" s="10">
        <f t="shared" si="101"/>
        <v>7.4753232116877025E-2</v>
      </c>
      <c r="D700" s="10">
        <f t="shared" si="102"/>
        <v>1.5124158735542335</v>
      </c>
      <c r="E700" s="10">
        <f t="shared" si="103"/>
        <v>4.5376800241794246</v>
      </c>
      <c r="F700" s="10">
        <f t="shared" si="107"/>
        <v>1.8778737499808074E-2</v>
      </c>
      <c r="G700" s="10">
        <f t="shared" si="104"/>
        <v>-0.50171784906832573</v>
      </c>
      <c r="H700" s="10">
        <f t="shared" si="105"/>
        <v>0.3771370528966671</v>
      </c>
      <c r="I700" s="10">
        <f t="shared" si="108"/>
        <v>5.8430916436597036E-4</v>
      </c>
      <c r="J700" s="20">
        <f t="shared" si="106"/>
        <v>0</v>
      </c>
      <c r="K700" s="10">
        <f t="shared" si="109"/>
        <v>4.1469874266064632E-3</v>
      </c>
      <c r="L700" s="10">
        <f t="shared" si="110"/>
        <v>2.488192455963989E-3</v>
      </c>
    </row>
    <row r="701" spans="1:12" x14ac:dyDescent="0.2">
      <c r="A701" s="14">
        <v>0.63600000000000001</v>
      </c>
      <c r="B701" s="10">
        <f t="shared" si="100"/>
        <v>0.55804469570338144</v>
      </c>
      <c r="C701" s="10">
        <f t="shared" si="101"/>
        <v>7.5894078615659888E-2</v>
      </c>
      <c r="D701" s="10">
        <f t="shared" si="102"/>
        <v>1.5165764206559078</v>
      </c>
      <c r="E701" s="10">
        <f t="shared" si="103"/>
        <v>4.5565985841420051</v>
      </c>
      <c r="F701" s="10">
        <f t="shared" si="107"/>
        <v>1.8918559962580517E-2</v>
      </c>
      <c r="G701" s="10">
        <f t="shared" si="104"/>
        <v>-0.49922152080732096</v>
      </c>
      <c r="H701" s="10">
        <f t="shared" si="105"/>
        <v>0.37772363173128654</v>
      </c>
      <c r="I701" s="10">
        <f t="shared" si="108"/>
        <v>5.8657883461943339E-4</v>
      </c>
      <c r="J701" s="20">
        <f t="shared" si="106"/>
        <v>0</v>
      </c>
      <c r="K701" s="10">
        <f t="shared" si="109"/>
        <v>4.16054710167435E-3</v>
      </c>
      <c r="L701" s="10">
        <f t="shared" si="110"/>
        <v>2.4963282610047655E-3</v>
      </c>
    </row>
    <row r="702" spans="1:12" x14ac:dyDescent="0.2">
      <c r="A702" s="14">
        <v>0.63700000000000001</v>
      </c>
      <c r="B702" s="10">
        <f t="shared" si="100"/>
        <v>0.56236682130731264</v>
      </c>
      <c r="C702" s="10">
        <f t="shared" si="101"/>
        <v>7.7044254519101837E-2</v>
      </c>
      <c r="D702" s="10">
        <f t="shared" si="102"/>
        <v>1.5207505843904792</v>
      </c>
      <c r="E702" s="10">
        <f t="shared" si="103"/>
        <v>4.5756583242687761</v>
      </c>
      <c r="F702" s="10">
        <f t="shared" si="107"/>
        <v>1.9059740126770919E-2</v>
      </c>
      <c r="G702" s="10">
        <f t="shared" si="104"/>
        <v>-0.49671702256657829</v>
      </c>
      <c r="H702" s="10">
        <f t="shared" si="105"/>
        <v>0.37831249028518787</v>
      </c>
      <c r="I702" s="10">
        <f t="shared" si="108"/>
        <v>5.8885855390133912E-4</v>
      </c>
      <c r="J702" s="20">
        <f t="shared" si="106"/>
        <v>0</v>
      </c>
      <c r="K702" s="10">
        <f t="shared" si="109"/>
        <v>4.1741637345713567E-3</v>
      </c>
      <c r="L702" s="10">
        <f t="shared" si="110"/>
        <v>2.5044982407426697E-3</v>
      </c>
    </row>
    <row r="703" spans="1:12" x14ac:dyDescent="0.2">
      <c r="A703" s="14">
        <v>0.63800000000000001</v>
      </c>
      <c r="B703" s="10">
        <f t="shared" si="100"/>
        <v>0.56669407151901885</v>
      </c>
      <c r="C703" s="10">
        <f t="shared" si="101"/>
        <v>7.8203781869624608E-2</v>
      </c>
      <c r="D703" s="10">
        <f t="shared" si="102"/>
        <v>1.5249384221822391</v>
      </c>
      <c r="E703" s="10">
        <f t="shared" si="103"/>
        <v>4.5948606191052095</v>
      </c>
      <c r="F703" s="10">
        <f t="shared" si="107"/>
        <v>1.9202294836433431E-2</v>
      </c>
      <c r="G703" s="10">
        <f t="shared" si="104"/>
        <v>-0.49420431989152241</v>
      </c>
      <c r="H703" s="10">
        <f t="shared" si="105"/>
        <v>0.37890363867077576</v>
      </c>
      <c r="I703" s="10">
        <f t="shared" si="108"/>
        <v>5.9114838558788074E-4</v>
      </c>
      <c r="J703" s="20">
        <f t="shared" si="106"/>
        <v>0</v>
      </c>
      <c r="K703" s="10">
        <f t="shared" si="109"/>
        <v>4.1878377917599074E-3</v>
      </c>
      <c r="L703" s="10">
        <f t="shared" si="110"/>
        <v>2.5127026750558779E-3</v>
      </c>
    </row>
    <row r="704" spans="1:12" x14ac:dyDescent="0.2">
      <c r="A704" s="14">
        <v>0.63900000000000001</v>
      </c>
      <c r="B704" s="10">
        <f t="shared" si="100"/>
        <v>0.57102649604465394</v>
      </c>
      <c r="C704" s="10">
        <f t="shared" si="101"/>
        <v>7.9372682950206899E-2</v>
      </c>
      <c r="D704" s="10">
        <f t="shared" si="102"/>
        <v>1.529139991926928</v>
      </c>
      <c r="E704" s="10">
        <f t="shared" si="103"/>
        <v>4.6142068602941029</v>
      </c>
      <c r="F704" s="10">
        <f t="shared" si="107"/>
        <v>1.9346241188893387E-2</v>
      </c>
      <c r="G704" s="10">
        <f t="shared" si="104"/>
        <v>-0.49168337804470907</v>
      </c>
      <c r="H704" s="10">
        <f t="shared" si="105"/>
        <v>0.37949708706432456</v>
      </c>
      <c r="I704" s="10">
        <f t="shared" si="108"/>
        <v>5.9344839354880108E-4</v>
      </c>
      <c r="J704" s="20">
        <f t="shared" si="106"/>
        <v>0</v>
      </c>
      <c r="K704" s="10">
        <f t="shared" si="109"/>
        <v>4.2015697446888822E-3</v>
      </c>
      <c r="L704" s="10">
        <f t="shared" si="110"/>
        <v>2.5209418468133404E-3</v>
      </c>
    </row>
    <row r="705" spans="1:12" x14ac:dyDescent="0.2">
      <c r="A705" s="14">
        <v>0.64</v>
      </c>
      <c r="B705" s="10">
        <f t="shared" si="100"/>
        <v>0.57536414490356191</v>
      </c>
      <c r="C705" s="10">
        <f t="shared" si="101"/>
        <v>8.055098028649868E-2</v>
      </c>
      <c r="D705" s="10">
        <f t="shared" si="102"/>
        <v>1.5333553519967862</v>
      </c>
      <c r="E705" s="10">
        <f t="shared" si="103"/>
        <v>4.633698456833331</v>
      </c>
      <c r="F705" s="10">
        <f t="shared" si="107"/>
        <v>1.9491596539228162E-2</v>
      </c>
      <c r="G705" s="10">
        <f t="shared" si="104"/>
        <v>-0.48915416200279416</v>
      </c>
      <c r="H705" s="10">
        <f t="shared" si="105"/>
        <v>0.38009284570647772</v>
      </c>
      <c r="I705" s="10">
        <f t="shared" si="108"/>
        <v>5.9575864215316576E-4</v>
      </c>
      <c r="J705" s="20">
        <f t="shared" si="106"/>
        <v>0</v>
      </c>
      <c r="K705" s="10">
        <f t="shared" si="109"/>
        <v>4.2153600698582316E-3</v>
      </c>
      <c r="L705" s="10">
        <f t="shared" si="110"/>
        <v>2.5292160419149168E-3</v>
      </c>
    </row>
    <row r="706" spans="1:12" x14ac:dyDescent="0.2">
      <c r="A706" s="14">
        <v>0.64100000000000001</v>
      </c>
      <c r="B706" s="10">
        <f t="shared" ref="B706:B769" si="111">LN(A706/(1-A706))</f>
        <v>0.57970706843239128</v>
      </c>
      <c r="C706" s="10">
        <f t="shared" ref="C706:C769" si="112">(A706-0.5)*B706</f>
        <v>8.1738696648967185E-2</v>
      </c>
      <c r="D706" s="10">
        <f t="shared" ref="D706:D769" si="113">$B$45+$B$46*B706+$B$47*C706</f>
        <v>1.537584561245674</v>
      </c>
      <c r="E706" s="10">
        <f t="shared" ref="E706:E769" si="114">$B$14+EXP(D706)</f>
        <v>4.653336835338191</v>
      </c>
      <c r="F706" s="10">
        <f t="shared" si="107"/>
        <v>1.9638378504859944E-2</v>
      </c>
      <c r="G706" s="10">
        <f t="shared" ref="G706:G769" si="115">$C$45+$C$46*B706+$C$47*C706</f>
        <v>-0.48661663645346132</v>
      </c>
      <c r="H706" s="10">
        <f t="shared" ref="H706:H769" si="116">$C$14+($C$15-$C$14)/(1+EXP(-G706))</f>
        <v>0.38069092490275219</v>
      </c>
      <c r="I706" s="10">
        <f t="shared" si="108"/>
        <v>5.9807919627447026E-4</v>
      </c>
      <c r="J706" s="20">
        <f t="shared" ref="J706:J769" si="117">G706-($B$22+$B$21*D706)</f>
        <v>0</v>
      </c>
      <c r="K706" s="10">
        <f t="shared" si="109"/>
        <v>4.2292092488878108E-3</v>
      </c>
      <c r="L706" s="10">
        <f t="shared" si="110"/>
        <v>2.5375255493328419E-3</v>
      </c>
    </row>
    <row r="707" spans="1:12" x14ac:dyDescent="0.2">
      <c r="A707" s="14">
        <v>0.64200000000000002</v>
      </c>
      <c r="B707" s="10">
        <f t="shared" si="111"/>
        <v>0.58405531728926097</v>
      </c>
      <c r="C707" s="10">
        <f t="shared" si="112"/>
        <v>8.2935855055075072E-2</v>
      </c>
      <c r="D707" s="10">
        <f t="shared" si="113"/>
        <v>1.5418276790142662</v>
      </c>
      <c r="E707" s="10">
        <f t="shared" si="114"/>
        <v>4.6731234403084496</v>
      </c>
      <c r="F707" s="10">
        <f t="shared" ref="F707:F770" si="118">E707-E706</f>
        <v>1.9786604970258637E-2</v>
      </c>
      <c r="G707" s="10">
        <f t="shared" si="115"/>
        <v>-0.48407076579230612</v>
      </c>
      <c r="H707" s="10">
        <f t="shared" si="116"/>
        <v>0.3812913350240475</v>
      </c>
      <c r="I707" s="10">
        <f t="shared" ref="I707:I770" si="119">H707-H706</f>
        <v>6.004101212953028E-4</v>
      </c>
      <c r="J707" s="20">
        <f t="shared" si="117"/>
        <v>0</v>
      </c>
      <c r="K707" s="10">
        <f t="shared" ref="K707:K770" si="120">D707-D706</f>
        <v>4.2431177685922083E-3</v>
      </c>
      <c r="L707" s="10">
        <f t="shared" ref="L707:L770" si="121">G707-G706</f>
        <v>2.5458706611551918E-3</v>
      </c>
    </row>
    <row r="708" spans="1:12" x14ac:dyDescent="0.2">
      <c r="A708" s="14">
        <v>0.64300000000000002</v>
      </c>
      <c r="B708" s="10">
        <f t="shared" si="111"/>
        <v>0.58840894245798037</v>
      </c>
      <c r="C708" s="10">
        <f t="shared" si="112"/>
        <v>8.4142478771491197E-2</v>
      </c>
      <c r="D708" s="10">
        <f t="shared" si="113"/>
        <v>1.546084765135312</v>
      </c>
      <c r="E708" s="10">
        <f t="shared" si="114"/>
        <v>4.693059734400145</v>
      </c>
      <c r="F708" s="10">
        <f t="shared" si="118"/>
        <v>1.9936294091695395E-2</v>
      </c>
      <c r="G708" s="10">
        <f t="shared" si="115"/>
        <v>-0.4815165141196785</v>
      </c>
      <c r="H708" s="10">
        <f t="shared" si="116"/>
        <v>0.38189408650716072</v>
      </c>
      <c r="I708" s="10">
        <f t="shared" si="119"/>
        <v>6.0275148311322857E-4</v>
      </c>
      <c r="J708" s="20">
        <f t="shared" si="117"/>
        <v>0</v>
      </c>
      <c r="K708" s="10">
        <f t="shared" si="120"/>
        <v>4.2570861210458055E-3</v>
      </c>
      <c r="L708" s="10">
        <f t="shared" si="121"/>
        <v>2.5542516726276276E-3</v>
      </c>
    </row>
    <row r="709" spans="1:12" x14ac:dyDescent="0.2">
      <c r="A709" s="14">
        <v>0.64400000000000002</v>
      </c>
      <c r="B709" s="10">
        <f t="shared" si="111"/>
        <v>0.59276799525232327</v>
      </c>
      <c r="C709" s="10">
        <f t="shared" si="112"/>
        <v>8.5358591316334553E-2</v>
      </c>
      <c r="D709" s="10">
        <f t="shared" si="113"/>
        <v>1.5503558799389749</v>
      </c>
      <c r="E709" s="10">
        <f t="shared" si="114"/>
        <v>4.7131471987023001</v>
      </c>
      <c r="F709" s="10">
        <f t="shared" si="118"/>
        <v>2.0087464302155134E-2</v>
      </c>
      <c r="G709" s="10">
        <f t="shared" si="115"/>
        <v>-0.47895384523748075</v>
      </c>
      <c r="H709" s="10">
        <f t="shared" si="116"/>
        <v>0.38249918985530601</v>
      </c>
      <c r="I709" s="10">
        <f t="shared" si="119"/>
        <v>6.051033481452861E-4</v>
      </c>
      <c r="J709" s="20">
        <f t="shared" si="117"/>
        <v>0</v>
      </c>
      <c r="K709" s="10">
        <f t="shared" si="120"/>
        <v>4.2711148036629343E-3</v>
      </c>
      <c r="L709" s="10">
        <f t="shared" si="121"/>
        <v>2.5626688821977495E-3</v>
      </c>
    </row>
    <row r="710" spans="1:12" x14ac:dyDescent="0.2">
      <c r="A710" s="14">
        <v>0.64500000000000002</v>
      </c>
      <c r="B710" s="10">
        <f t="shared" si="111"/>
        <v>0.59713252732035682</v>
      </c>
      <c r="C710" s="10">
        <f t="shared" si="112"/>
        <v>8.6584216461451743E-2</v>
      </c>
      <c r="D710" s="10">
        <f t="shared" si="113"/>
        <v>1.5546410842582405</v>
      </c>
      <c r="E710" s="10">
        <f t="shared" si="114"/>
        <v>4.7333873330185954</v>
      </c>
      <c r="F710" s="10">
        <f t="shared" si="118"/>
        <v>2.0240134316295233E-2</v>
      </c>
      <c r="G710" s="10">
        <f t="shared" si="115"/>
        <v>-0.47638272264592141</v>
      </c>
      <c r="H710" s="10">
        <f t="shared" si="116"/>
        <v>0.38310665563864021</v>
      </c>
      <c r="I710" s="10">
        <f t="shared" si="119"/>
        <v>6.0746578333420453E-4</v>
      </c>
      <c r="J710" s="20">
        <f t="shared" si="117"/>
        <v>0</v>
      </c>
      <c r="K710" s="10">
        <f t="shared" si="120"/>
        <v>4.2852043192656009E-3</v>
      </c>
      <c r="L710" s="10">
        <f t="shared" si="121"/>
        <v>2.5711225915593383E-3</v>
      </c>
    </row>
    <row r="711" spans="1:12" x14ac:dyDescent="0.2">
      <c r="A711" s="14">
        <v>0.64600000000000002</v>
      </c>
      <c r="B711" s="10">
        <f t="shared" si="111"/>
        <v>0.6015025906488275</v>
      </c>
      <c r="C711" s="10">
        <f t="shared" si="112"/>
        <v>8.7819378234728823E-2</v>
      </c>
      <c r="D711" s="10">
        <f t="shared" si="113"/>
        <v>1.5589404394344035</v>
      </c>
      <c r="E711" s="10">
        <f t="shared" si="114"/>
        <v>4.7537816561541426</v>
      </c>
      <c r="F711" s="10">
        <f t="shared" si="118"/>
        <v>2.0394323135547232E-2</v>
      </c>
      <c r="G711" s="10">
        <f t="shared" si="115"/>
        <v>-0.47380310954022353</v>
      </c>
      <c r="H711" s="10">
        <f t="shared" si="116"/>
        <v>0.38371649449479339</v>
      </c>
      <c r="I711" s="10">
        <f t="shared" si="119"/>
        <v>6.0983885615317757E-4</v>
      </c>
      <c r="J711" s="20">
        <f t="shared" si="117"/>
        <v>0</v>
      </c>
      <c r="K711" s="10">
        <f t="shared" si="120"/>
        <v>4.2993551761629778E-3</v>
      </c>
      <c r="L711" s="10">
        <f t="shared" si="121"/>
        <v>2.5796131056978755E-3</v>
      </c>
    </row>
    <row r="712" spans="1:12" x14ac:dyDescent="0.2">
      <c r="A712" s="14">
        <v>0.64700000000000002</v>
      </c>
      <c r="B712" s="10">
        <f t="shared" si="111"/>
        <v>0.60587823756760384</v>
      </c>
      <c r="C712" s="10">
        <f t="shared" si="112"/>
        <v>8.9064100922437772E-2</v>
      </c>
      <c r="D712" s="10">
        <f t="shared" si="113"/>
        <v>1.5632540073226302</v>
      </c>
      <c r="E712" s="10">
        <f t="shared" si="114"/>
        <v>4.7743317062074464</v>
      </c>
      <c r="F712" s="10">
        <f t="shared" si="118"/>
        <v>2.0550050053303792E-2</v>
      </c>
      <c r="G712" s="10">
        <f t="shared" si="115"/>
        <v>-0.47121496880728764</v>
      </c>
      <c r="H712" s="10">
        <f t="shared" si="116"/>
        <v>0.38432871712940492</v>
      </c>
      <c r="I712" s="10">
        <f t="shared" si="119"/>
        <v>6.122226346115256E-4</v>
      </c>
      <c r="J712" s="20">
        <f t="shared" si="117"/>
        <v>0</v>
      </c>
      <c r="K712" s="10">
        <f t="shared" si="120"/>
        <v>4.313567888226677E-3</v>
      </c>
      <c r="L712" s="10">
        <f t="shared" si="121"/>
        <v>2.5881407329358952E-3</v>
      </c>
    </row>
    <row r="713" spans="1:12" x14ac:dyDescent="0.2">
      <c r="A713" s="14">
        <v>0.64800000000000002</v>
      </c>
      <c r="B713" s="10">
        <f t="shared" si="111"/>
        <v>0.61025952075417766</v>
      </c>
      <c r="C713" s="10">
        <f t="shared" si="112"/>
        <v>9.0318409071618311E-2</v>
      </c>
      <c r="D713" s="10">
        <f t="shared" si="113"/>
        <v>1.567581850297598</v>
      </c>
      <c r="E713" s="10">
        <f t="shared" si="114"/>
        <v>4.7950390408676666</v>
      </c>
      <c r="F713" s="10">
        <f t="shared" si="118"/>
        <v>2.0707334660220234E-2</v>
      </c>
      <c r="G713" s="10">
        <f t="shared" si="115"/>
        <v>-0.46861826302230697</v>
      </c>
      <c r="H713" s="10">
        <f t="shared" si="116"/>
        <v>0.38494333431666544</v>
      </c>
      <c r="I713" s="10">
        <f t="shared" si="119"/>
        <v>6.1461718726052439E-4</v>
      </c>
      <c r="J713" s="20">
        <f t="shared" si="117"/>
        <v>0</v>
      </c>
      <c r="K713" s="10">
        <f t="shared" si="120"/>
        <v>4.3278429749677993E-3</v>
      </c>
      <c r="L713" s="10">
        <f t="shared" si="121"/>
        <v>2.5967057849806685E-3</v>
      </c>
    </row>
    <row r="714" spans="1:12" x14ac:dyDescent="0.2">
      <c r="A714" s="14">
        <v>0.64900000000000002</v>
      </c>
      <c r="B714" s="10">
        <f t="shared" si="111"/>
        <v>0.61464649323822429</v>
      </c>
      <c r="C714" s="10">
        <f t="shared" si="112"/>
        <v>9.1582327492495438E-2</v>
      </c>
      <c r="D714" s="10">
        <f t="shared" si="113"/>
        <v>1.5719240312592155</v>
      </c>
      <c r="E714" s="10">
        <f t="shared" si="114"/>
        <v>4.815905237717292</v>
      </c>
      <c r="F714" s="10">
        <f t="shared" si="118"/>
        <v>2.0866196849625318E-2</v>
      </c>
      <c r="G714" s="10">
        <f t="shared" si="115"/>
        <v>-0.46601295444533641</v>
      </c>
      <c r="H714" s="10">
        <f t="shared" si="116"/>
        <v>0.38556035689986418</v>
      </c>
      <c r="I714" s="10">
        <f t="shared" si="119"/>
        <v>6.1702258319873415E-4</v>
      </c>
      <c r="J714" s="20">
        <f t="shared" si="117"/>
        <v>0</v>
      </c>
      <c r="K714" s="10">
        <f t="shared" si="120"/>
        <v>4.3421809616175366E-3</v>
      </c>
      <c r="L714" s="10">
        <f t="shared" si="121"/>
        <v>2.6053085769705553E-3</v>
      </c>
    </row>
    <row r="715" spans="1:12" x14ac:dyDescent="0.2">
      <c r="A715" s="14">
        <v>0.65</v>
      </c>
      <c r="B715" s="10">
        <f t="shared" si="111"/>
        <v>0.61903920840622362</v>
      </c>
      <c r="C715" s="10">
        <f t="shared" si="112"/>
        <v>9.2855881260933554E-2</v>
      </c>
      <c r="D715" s="10">
        <f t="shared" si="113"/>
        <v>1.5762806136384226</v>
      </c>
      <c r="E715" s="10">
        <f t="shared" si="114"/>
        <v>4.8369318945403483</v>
      </c>
      <c r="F715" s="10">
        <f t="shared" si="118"/>
        <v>2.1026656823056378E-2</v>
      </c>
      <c r="G715" s="10">
        <f t="shared" si="115"/>
        <v>-0.46339900501781223</v>
      </c>
      <c r="H715" s="10">
        <f t="shared" si="116"/>
        <v>0.38617979579194206</v>
      </c>
      <c r="I715" s="10">
        <f t="shared" si="119"/>
        <v>6.1943889207788372E-4</v>
      </c>
      <c r="J715" s="20">
        <f t="shared" si="117"/>
        <v>0</v>
      </c>
      <c r="K715" s="10">
        <f t="shared" si="120"/>
        <v>4.3565823792071079E-3</v>
      </c>
      <c r="L715" s="10">
        <f t="shared" si="121"/>
        <v>2.613949427524187E-3</v>
      </c>
    </row>
    <row r="716" spans="1:12" x14ac:dyDescent="0.2">
      <c r="A716" s="14">
        <v>0.65100000000000002</v>
      </c>
      <c r="B716" s="10">
        <f t="shared" si="111"/>
        <v>0.62343772000614217</v>
      </c>
      <c r="C716" s="10">
        <f t="shared" si="112"/>
        <v>9.4139095720927476E-2</v>
      </c>
      <c r="D716" s="10">
        <f t="shared" si="113"/>
        <v>1.5806516614030721</v>
      </c>
      <c r="E716" s="10">
        <f t="shared" si="114"/>
        <v>4.8581206296362378</v>
      </c>
      <c r="F716" s="10">
        <f t="shared" si="118"/>
        <v>2.1188735095889477E-2</v>
      </c>
      <c r="G716" s="10">
        <f t="shared" si="115"/>
        <v>-0.46077637635902258</v>
      </c>
      <c r="H716" s="10">
        <f t="shared" si="116"/>
        <v>0.38680166197605048</v>
      </c>
      <c r="I716" s="10">
        <f t="shared" si="119"/>
        <v>6.2186618410842165E-4</v>
      </c>
      <c r="J716" s="20">
        <f t="shared" si="117"/>
        <v>0</v>
      </c>
      <c r="K716" s="10">
        <f t="shared" si="120"/>
        <v>4.3710477646494716E-3</v>
      </c>
      <c r="L716" s="10">
        <f t="shared" si="121"/>
        <v>2.6226286587896497E-3</v>
      </c>
    </row>
    <row r="717" spans="1:12" x14ac:dyDescent="0.2">
      <c r="A717" s="14">
        <v>0.65200000000000002</v>
      </c>
      <c r="B717" s="10">
        <f t="shared" si="111"/>
        <v>0.62784208215217874</v>
      </c>
      <c r="C717" s="10">
        <f t="shared" si="112"/>
        <v>9.5431996487131188E-2</v>
      </c>
      <c r="D717" s="10">
        <f t="shared" si="113"/>
        <v>1.5850372390638949</v>
      </c>
      <c r="E717" s="10">
        <f t="shared" si="114"/>
        <v>4.879473082139353</v>
      </c>
      <c r="F717" s="10">
        <f t="shared" si="118"/>
        <v>2.1352452503115238E-2</v>
      </c>
      <c r="G717" s="10">
        <f t="shared" si="115"/>
        <v>-0.45814502976252897</v>
      </c>
      <c r="H717" s="10">
        <f t="shared" si="116"/>
        <v>0.38742596650611644</v>
      </c>
      <c r="I717" s="10">
        <f t="shared" si="119"/>
        <v>6.2430453006595554E-4</v>
      </c>
      <c r="J717" s="20">
        <f t="shared" si="117"/>
        <v>0</v>
      </c>
      <c r="K717" s="10">
        <f t="shared" si="120"/>
        <v>4.3855776608228147E-3</v>
      </c>
      <c r="L717" s="10">
        <f t="shared" si="121"/>
        <v>2.6313465964936111E-3</v>
      </c>
    </row>
    <row r="718" spans="1:12" x14ac:dyDescent="0.2">
      <c r="A718" s="14">
        <v>0.65300000000000002</v>
      </c>
      <c r="B718" s="10">
        <f t="shared" si="111"/>
        <v>0.63225234932957197</v>
      </c>
      <c r="C718" s="10">
        <f t="shared" si="112"/>
        <v>9.6734609447424527E-2</v>
      </c>
      <c r="D718" s="10">
        <f t="shared" si="113"/>
        <v>1.5894374116805503</v>
      </c>
      <c r="E718" s="10">
        <f t="shared" si="114"/>
        <v>4.9009909123445636</v>
      </c>
      <c r="F718" s="10">
        <f t="shared" si="118"/>
        <v>2.1517830205210586E-2</v>
      </c>
      <c r="G718" s="10">
        <f t="shared" si="115"/>
        <v>-0.45550492619253569</v>
      </c>
      <c r="H718" s="10">
        <f t="shared" si="116"/>
        <v>0.3880527205074128</v>
      </c>
      <c r="I718" s="10">
        <f t="shared" si="119"/>
        <v>6.2675400129635905E-4</v>
      </c>
      <c r="J718" s="20">
        <f t="shared" si="117"/>
        <v>0</v>
      </c>
      <c r="K718" s="10">
        <f t="shared" si="120"/>
        <v>4.4001726166553734E-3</v>
      </c>
      <c r="L718" s="10">
        <f t="shared" si="121"/>
        <v>2.6401035699932796E-3</v>
      </c>
    </row>
    <row r="719" spans="1:12" x14ac:dyDescent="0.2">
      <c r="A719" s="14">
        <v>0.65400000000000003</v>
      </c>
      <c r="B719" s="10">
        <f t="shared" si="111"/>
        <v>0.6366685763994745</v>
      </c>
      <c r="C719" s="10">
        <f t="shared" si="112"/>
        <v>9.8046960765519095E-2</v>
      </c>
      <c r="D719" s="10">
        <f t="shared" si="113"/>
        <v>1.5938522448677626</v>
      </c>
      <c r="E719" s="10">
        <f t="shared" si="114"/>
        <v>4.9226758020387269</v>
      </c>
      <c r="F719" s="10">
        <f t="shared" si="118"/>
        <v>2.1684889694163267E-2</v>
      </c>
      <c r="G719" s="10">
        <f t="shared" si="115"/>
        <v>-0.45285602628020832</v>
      </c>
      <c r="H719" s="10">
        <f t="shared" si="116"/>
        <v>0.38868193517713567</v>
      </c>
      <c r="I719" s="10">
        <f t="shared" si="119"/>
        <v>6.2921466972287732E-4</v>
      </c>
      <c r="J719" s="20">
        <f t="shared" si="117"/>
        <v>0</v>
      </c>
      <c r="K719" s="10">
        <f t="shared" si="120"/>
        <v>4.4148331872122526E-3</v>
      </c>
      <c r="L719" s="10">
        <f t="shared" si="121"/>
        <v>2.6488999123273627E-3</v>
      </c>
    </row>
    <row r="720" spans="1:12" x14ac:dyDescent="0.2">
      <c r="A720" s="14">
        <v>0.65500000000000003</v>
      </c>
      <c r="B720" s="10">
        <f t="shared" si="111"/>
        <v>0.64109081860389228</v>
      </c>
      <c r="C720" s="10">
        <f t="shared" si="112"/>
        <v>9.9369076883603316E-2</v>
      </c>
      <c r="D720" s="10">
        <f t="shared" si="113"/>
        <v>1.5982818048015441</v>
      </c>
      <c r="E720" s="10">
        <f t="shared" si="114"/>
        <v>4.9445294548383236</v>
      </c>
      <c r="F720" s="10">
        <f t="shared" si="118"/>
        <v>2.1853652799596723E-2</v>
      </c>
      <c r="G720" s="10">
        <f t="shared" si="115"/>
        <v>-0.4501982903199393</v>
      </c>
      <c r="H720" s="10">
        <f t="shared" si="116"/>
        <v>0.38931362178498669</v>
      </c>
      <c r="I720" s="10">
        <f t="shared" si="119"/>
        <v>6.3168660785101194E-4</v>
      </c>
      <c r="J720" s="20">
        <f t="shared" si="117"/>
        <v>0</v>
      </c>
      <c r="K720" s="10">
        <f t="shared" si="120"/>
        <v>4.4295599337815794E-3</v>
      </c>
      <c r="L720" s="10">
        <f t="shared" si="121"/>
        <v>2.6577359602690254E-3</v>
      </c>
    </row>
    <row r="721" spans="1:12" x14ac:dyDescent="0.2">
      <c r="A721" s="14">
        <v>0.65600000000000003</v>
      </c>
      <c r="B721" s="10">
        <f t="shared" si="111"/>
        <v>0.64551913157069085</v>
      </c>
      <c r="C721" s="10">
        <f t="shared" si="112"/>
        <v>0.10070098452502779</v>
      </c>
      <c r="D721" s="10">
        <f t="shared" si="113"/>
        <v>1.6027261582255086</v>
      </c>
      <c r="E721" s="10">
        <f t="shared" si="114"/>
        <v>4.9665535965333696</v>
      </c>
      <c r="F721" s="10">
        <f t="shared" si="118"/>
        <v>2.2024141695045962E-2</v>
      </c>
      <c r="G721" s="10">
        <f t="shared" si="115"/>
        <v>-0.44753167826556056</v>
      </c>
      <c r="H721" s="10">
        <f t="shared" si="116"/>
        <v>0.38994779167376209</v>
      </c>
      <c r="I721" s="10">
        <f t="shared" si="119"/>
        <v>6.3416988877540437E-4</v>
      </c>
      <c r="J721" s="20">
        <f t="shared" si="117"/>
        <v>0</v>
      </c>
      <c r="K721" s="10">
        <f t="shared" si="120"/>
        <v>4.4443534239644311E-3</v>
      </c>
      <c r="L721" s="10">
        <f t="shared" si="121"/>
        <v>2.6666120543787364E-3</v>
      </c>
    </row>
    <row r="722" spans="1:12" x14ac:dyDescent="0.2">
      <c r="A722" s="14">
        <v>0.65700000000000003</v>
      </c>
      <c r="B722" s="10">
        <f t="shared" si="111"/>
        <v>0.64995357131867071</v>
      </c>
      <c r="C722" s="10">
        <f t="shared" si="112"/>
        <v>0.10204271069703132</v>
      </c>
      <c r="D722" s="10">
        <f t="shared" si="113"/>
        <v>1.6071853724572753</v>
      </c>
      <c r="E722" s="10">
        <f t="shared" si="114"/>
        <v>4.9887499754377336</v>
      </c>
      <c r="F722" s="10">
        <f t="shared" si="118"/>
        <v>2.2196378904363989E-2</v>
      </c>
      <c r="G722" s="10">
        <f t="shared" si="115"/>
        <v>-0.44485614972650056</v>
      </c>
      <c r="H722" s="10">
        <f t="shared" si="116"/>
        <v>0.39058445625994875</v>
      </c>
      <c r="I722" s="10">
        <f t="shared" si="119"/>
        <v>6.3666458618666377E-4</v>
      </c>
      <c r="J722" s="20">
        <f t="shared" si="117"/>
        <v>0</v>
      </c>
      <c r="K722" s="10">
        <f t="shared" si="120"/>
        <v>4.4592142317667616E-3</v>
      </c>
      <c r="L722" s="10">
        <f t="shared" si="121"/>
        <v>2.6755285390600014E-3</v>
      </c>
    </row>
    <row r="723" spans="1:12" x14ac:dyDescent="0.2">
      <c r="A723" s="14">
        <v>0.65800000000000003</v>
      </c>
      <c r="B723" s="10">
        <f t="shared" si="111"/>
        <v>0.65439419426271217</v>
      </c>
      <c r="C723" s="10">
        <f t="shared" si="112"/>
        <v>0.10339428269350855</v>
      </c>
      <c r="D723" s="10">
        <f t="shared" si="113"/>
        <v>1.6116595153949649</v>
      </c>
      <c r="E723" s="10">
        <f t="shared" si="114"/>
        <v>5.0111203627459933</v>
      </c>
      <c r="F723" s="10">
        <f t="shared" si="118"/>
        <v>2.2370387308259687E-2</v>
      </c>
      <c r="G723" s="10">
        <f t="shared" si="115"/>
        <v>-0.44217166396388685</v>
      </c>
      <c r="H723" s="10">
        <f t="shared" si="116"/>
        <v>0.39122362703432523</v>
      </c>
      <c r="I723" s="10">
        <f t="shared" si="119"/>
        <v>6.3917077437647407E-4</v>
      </c>
      <c r="J723" s="20">
        <f t="shared" si="117"/>
        <v>0</v>
      </c>
      <c r="K723" s="10">
        <f t="shared" si="120"/>
        <v>4.4741429376895514E-3</v>
      </c>
      <c r="L723" s="10">
        <f t="shared" si="121"/>
        <v>2.6844857626137086E-3</v>
      </c>
    </row>
    <row r="724" spans="1:12" x14ac:dyDescent="0.2">
      <c r="A724" s="14">
        <v>0.65900000000000003</v>
      </c>
      <c r="B724" s="10">
        <f t="shared" si="111"/>
        <v>0.65884105721899056</v>
      </c>
      <c r="C724" s="10">
        <f t="shared" si="112"/>
        <v>0.10475572809781952</v>
      </c>
      <c r="D724" s="10">
        <f t="shared" si="113"/>
        <v>1.6161486555237892</v>
      </c>
      <c r="E724" s="10">
        <f t="shared" si="114"/>
        <v>5.0336665528969764</v>
      </c>
      <c r="F724" s="10">
        <f t="shared" si="118"/>
        <v>2.2546190150983136E-2</v>
      </c>
      <c r="G724" s="10">
        <f t="shared" si="115"/>
        <v>-0.43947817988659221</v>
      </c>
      <c r="H724" s="10">
        <f t="shared" si="116"/>
        <v>0.39186531556256993</v>
      </c>
      <c r="I724" s="10">
        <f t="shared" si="119"/>
        <v>6.4168852824469935E-4</v>
      </c>
      <c r="J724" s="20">
        <f t="shared" si="117"/>
        <v>0</v>
      </c>
      <c r="K724" s="10">
        <f t="shared" si="120"/>
        <v>4.4891401288242871E-3</v>
      </c>
      <c r="L724" s="10">
        <f t="shared" si="121"/>
        <v>2.6934840772946389E-3</v>
      </c>
    </row>
    <row r="725" spans="1:12" x14ac:dyDescent="0.2">
      <c r="A725" s="14">
        <v>0.66</v>
      </c>
      <c r="B725" s="10">
        <f t="shared" si="111"/>
        <v>0.66329421741026429</v>
      </c>
      <c r="C725" s="10">
        <f t="shared" si="112"/>
        <v>0.1061270747856423</v>
      </c>
      <c r="D725" s="10">
        <f t="shared" si="113"/>
        <v>1.6206528619227376</v>
      </c>
      <c r="E725" s="10">
        <f t="shared" si="114"/>
        <v>5.0563903639441303</v>
      </c>
      <c r="F725" s="10">
        <f t="shared" si="118"/>
        <v>2.272381104715393E-2</v>
      </c>
      <c r="G725" s="10">
        <f t="shared" si="115"/>
        <v>-0.43677565604722329</v>
      </c>
      <c r="H725" s="10">
        <f t="shared" si="116"/>
        <v>0.39250953348587636</v>
      </c>
      <c r="I725" s="10">
        <f t="shared" si="119"/>
        <v>6.4421792330643379E-4</v>
      </c>
      <c r="J725" s="20">
        <f t="shared" si="117"/>
        <v>0</v>
      </c>
      <c r="K725" s="10">
        <f t="shared" si="120"/>
        <v>4.5042063989484404E-3</v>
      </c>
      <c r="L725" s="10">
        <f t="shared" si="121"/>
        <v>2.7025238393689199E-3</v>
      </c>
    </row>
    <row r="726" spans="1:12" x14ac:dyDescent="0.2">
      <c r="A726" s="14">
        <v>0.66100000000000003</v>
      </c>
      <c r="B726" s="10">
        <f t="shared" si="111"/>
        <v>0.66775373247123615</v>
      </c>
      <c r="C726" s="10">
        <f t="shared" si="112"/>
        <v>0.10750835092786905</v>
      </c>
      <c r="D726" s="10">
        <f t="shared" si="113"/>
        <v>1.6251722042713583</v>
      </c>
      <c r="E726" s="10">
        <f t="shared" si="114"/>
        <v>5.0792936379328628</v>
      </c>
      <c r="F726" s="10">
        <f t="shared" si="118"/>
        <v>2.2903273988732487E-2</v>
      </c>
      <c r="G726" s="10">
        <f t="shared" si="115"/>
        <v>-0.43406405063805081</v>
      </c>
      <c r="H726" s="10">
        <f t="shared" si="116"/>
        <v>0.3931562925215738</v>
      </c>
      <c r="I726" s="10">
        <f t="shared" si="119"/>
        <v>6.4675903569744175E-4</v>
      </c>
      <c r="J726" s="20">
        <f t="shared" si="117"/>
        <v>0</v>
      </c>
      <c r="K726" s="10">
        <f t="shared" si="120"/>
        <v>4.5193423486207251E-3</v>
      </c>
      <c r="L726" s="10">
        <f t="shared" si="121"/>
        <v>2.7116054091724795E-3</v>
      </c>
    </row>
    <row r="727" spans="1:12" x14ac:dyDescent="0.2">
      <c r="A727" s="14">
        <v>0.66200000000000003</v>
      </c>
      <c r="B727" s="10">
        <f t="shared" si="111"/>
        <v>0.67221966045398951</v>
      </c>
      <c r="C727" s="10">
        <f t="shared" si="112"/>
        <v>0.10889958499354632</v>
      </c>
      <c r="D727" s="10">
        <f t="shared" si="113"/>
        <v>1.6297067528566416</v>
      </c>
      <c r="E727" s="10">
        <f t="shared" si="114"/>
        <v>5.1023782412850194</v>
      </c>
      <c r="F727" s="10">
        <f t="shared" si="118"/>
        <v>2.3084603352156563E-2</v>
      </c>
      <c r="G727" s="10">
        <f t="shared" si="115"/>
        <v>-0.43134332148688098</v>
      </c>
      <c r="H727" s="10">
        <f t="shared" si="116"/>
        <v>0.39380560446375562</v>
      </c>
      <c r="I727" s="10">
        <f t="shared" si="119"/>
        <v>6.4931194218181831E-4</v>
      </c>
      <c r="J727" s="20">
        <f t="shared" si="117"/>
        <v>0</v>
      </c>
      <c r="K727" s="10">
        <f t="shared" si="120"/>
        <v>4.5345485852832379E-3</v>
      </c>
      <c r="L727" s="10">
        <f t="shared" si="121"/>
        <v>2.7207291511698317E-3</v>
      </c>
    </row>
    <row r="728" spans="1:12" x14ac:dyDescent="0.2">
      <c r="A728" s="14">
        <v>0.66300000000000003</v>
      </c>
      <c r="B728" s="10">
        <f t="shared" si="111"/>
        <v>0.67669205983350089</v>
      </c>
      <c r="C728" s="10">
        <f t="shared" si="112"/>
        <v>0.11030080575286066</v>
      </c>
      <c r="D728" s="10">
        <f t="shared" si="113"/>
        <v>1.6342565785800014</v>
      </c>
      <c r="E728" s="10">
        <f t="shared" si="114"/>
        <v>5.1256460651906401</v>
      </c>
      <c r="F728" s="10">
        <f t="shared" si="118"/>
        <v>2.3267823905620766E-2</v>
      </c>
      <c r="G728" s="10">
        <f t="shared" si="115"/>
        <v>-0.42861342605286501</v>
      </c>
      <c r="H728" s="10">
        <f t="shared" si="116"/>
        <v>0.39445748118391427</v>
      </c>
      <c r="I728" s="10">
        <f t="shared" si="119"/>
        <v>6.5187672015865061E-4</v>
      </c>
      <c r="J728" s="20">
        <f t="shared" si="117"/>
        <v>0</v>
      </c>
      <c r="K728" s="10">
        <f t="shared" si="120"/>
        <v>4.5498257233598238E-3</v>
      </c>
      <c r="L728" s="10">
        <f t="shared" si="121"/>
        <v>2.729895434015972E-3</v>
      </c>
    </row>
    <row r="729" spans="1:12" x14ac:dyDescent="0.2">
      <c r="A729" s="14">
        <v>0.66400000000000003</v>
      </c>
      <c r="B729" s="10">
        <f t="shared" si="111"/>
        <v>0.68117098951322974</v>
      </c>
      <c r="C729" s="10">
        <f t="shared" si="112"/>
        <v>0.1117120422801697</v>
      </c>
      <c r="D729" s="10">
        <f t="shared" si="113"/>
        <v>1.6388217529643605</v>
      </c>
      <c r="E729" s="10">
        <f t="shared" si="114"/>
        <v>5.1490990260071605</v>
      </c>
      <c r="F729" s="10">
        <f t="shared" si="118"/>
        <v>2.3452960816520374E-2</v>
      </c>
      <c r="G729" s="10">
        <f t="shared" si="115"/>
        <v>-0.42587432142224957</v>
      </c>
      <c r="H729" s="10">
        <f t="shared" si="116"/>
        <v>0.3951119346315829</v>
      </c>
      <c r="I729" s="10">
        <f t="shared" si="119"/>
        <v>6.5445344766862368E-4</v>
      </c>
      <c r="J729" s="20">
        <f t="shared" si="117"/>
        <v>0</v>
      </c>
      <c r="K729" s="10">
        <f t="shared" si="120"/>
        <v>4.5651743843591053E-3</v>
      </c>
      <c r="L729" s="10">
        <f t="shared" si="121"/>
        <v>2.739104630615441E-3</v>
      </c>
    </row>
    <row r="730" spans="1:12" x14ac:dyDescent="0.2">
      <c r="A730" s="14">
        <v>0.66500000000000004</v>
      </c>
      <c r="B730" s="10">
        <f t="shared" si="111"/>
        <v>0.68565650883078788</v>
      </c>
      <c r="C730" s="10">
        <f t="shared" si="112"/>
        <v>0.11313332395708002</v>
      </c>
      <c r="D730" s="10">
        <f t="shared" si="113"/>
        <v>1.6434023481613389</v>
      </c>
      <c r="E730" s="10">
        <f t="shared" si="114"/>
        <v>5.1727390656662102</v>
      </c>
      <c r="F730" s="10">
        <f t="shared" si="118"/>
        <v>2.3640039659049705E-2</v>
      </c>
      <c r="G730" s="10">
        <f t="shared" si="115"/>
        <v>-0.42312596430406246</v>
      </c>
      <c r="H730" s="10">
        <f t="shared" si="116"/>
        <v>0.39576897683498408</v>
      </c>
      <c r="I730" s="10">
        <f t="shared" si="119"/>
        <v>6.5704220340118136E-4</v>
      </c>
      <c r="J730" s="20">
        <f t="shared" si="117"/>
        <v>0</v>
      </c>
      <c r="K730" s="10">
        <f t="shared" si="120"/>
        <v>4.5805951969783987E-3</v>
      </c>
      <c r="L730" s="10">
        <f t="shared" si="121"/>
        <v>2.7483571181871058E-3</v>
      </c>
    </row>
    <row r="731" spans="1:12" x14ac:dyDescent="0.2">
      <c r="A731" s="14">
        <v>0.66600000000000004</v>
      </c>
      <c r="B731" s="10">
        <f t="shared" si="111"/>
        <v>0.69014867756368892</v>
      </c>
      <c r="C731" s="10">
        <f t="shared" si="112"/>
        <v>0.11456468047557239</v>
      </c>
      <c r="D731" s="10">
        <f t="shared" si="113"/>
        <v>1.6479984369585499</v>
      </c>
      <c r="E731" s="10">
        <f t="shared" si="114"/>
        <v>5.1965681520882052</v>
      </c>
      <c r="F731" s="10">
        <f t="shared" si="118"/>
        <v>2.3829086421994994E-2</v>
      </c>
      <c r="G731" s="10">
        <f t="shared" si="115"/>
        <v>-0.42036831102573591</v>
      </c>
      <c r="H731" s="10">
        <f t="shared" si="116"/>
        <v>0.39642861990168571</v>
      </c>
      <c r="I731" s="10">
        <f t="shared" si="119"/>
        <v>6.5964306670163175E-4</v>
      </c>
      <c r="J731" s="20">
        <f t="shared" si="117"/>
        <v>0</v>
      </c>
      <c r="K731" s="10">
        <f t="shared" si="120"/>
        <v>4.5960887972109621E-3</v>
      </c>
      <c r="L731" s="10">
        <f t="shared" si="121"/>
        <v>2.757653278326555E-3</v>
      </c>
    </row>
    <row r="732" spans="1:12" x14ac:dyDescent="0.2">
      <c r="A732" s="14">
        <v>0.66700000000000004</v>
      </c>
      <c r="B732" s="10">
        <f t="shared" si="111"/>
        <v>0.69464755593518002</v>
      </c>
      <c r="C732" s="10">
        <f t="shared" si="112"/>
        <v>0.11600614184117509</v>
      </c>
      <c r="D732" s="10">
        <f t="shared" si="113"/>
        <v>1.6526100927870024</v>
      </c>
      <c r="E732" s="10">
        <f t="shared" si="114"/>
        <v>5.2205882796048702</v>
      </c>
      <c r="F732" s="10">
        <f t="shared" si="118"/>
        <v>2.4020127516664935E-2</v>
      </c>
      <c r="G732" s="10">
        <f t="shared" si="115"/>
        <v>-0.41760131752866436</v>
      </c>
      <c r="H732" s="10">
        <f t="shared" si="116"/>
        <v>0.39709087601926413</v>
      </c>
      <c r="I732" s="10">
        <f t="shared" si="119"/>
        <v>6.6225611757841918E-4</v>
      </c>
      <c r="J732" s="20">
        <f t="shared" si="117"/>
        <v>0</v>
      </c>
      <c r="K732" s="10">
        <f t="shared" si="120"/>
        <v>4.6116558284525766E-3</v>
      </c>
      <c r="L732" s="10">
        <f t="shared" si="121"/>
        <v>2.766993497071546E-3</v>
      </c>
    </row>
    <row r="733" spans="1:12" x14ac:dyDescent="0.2">
      <c r="A733" s="14">
        <v>0.66800000000000004</v>
      </c>
      <c r="B733" s="10">
        <f t="shared" si="111"/>
        <v>0.69915320462015729</v>
      </c>
      <c r="C733" s="10">
        <f t="shared" si="112"/>
        <v>0.11745773837618645</v>
      </c>
      <c r="D733" s="10">
        <f t="shared" si="113"/>
        <v>1.6572373897286148</v>
      </c>
      <c r="E733" s="10">
        <f t="shared" si="114"/>
        <v>5.2448014693898841</v>
      </c>
      <c r="F733" s="10">
        <f t="shared" si="118"/>
        <v>2.4213189785013967E-2</v>
      </c>
      <c r="G733" s="10">
        <f t="shared" si="115"/>
        <v>-0.41482493936369691</v>
      </c>
      <c r="H733" s="10">
        <f t="shared" si="116"/>
        <v>0.39775575745597436</v>
      </c>
      <c r="I733" s="10">
        <f t="shared" si="119"/>
        <v>6.6488143671022959E-4</v>
      </c>
      <c r="J733" s="20">
        <f t="shared" si="117"/>
        <v>0</v>
      </c>
      <c r="K733" s="10">
        <f t="shared" si="120"/>
        <v>4.6272969416123466E-3</v>
      </c>
      <c r="L733" s="10">
        <f t="shared" si="121"/>
        <v>2.7763781649674524E-3</v>
      </c>
    </row>
    <row r="734" spans="1:12" x14ac:dyDescent="0.2">
      <c r="A734" s="14">
        <v>0.66900000000000004</v>
      </c>
      <c r="B734" s="10">
        <f t="shared" si="111"/>
        <v>0.70366568475116564</v>
      </c>
      <c r="C734" s="10">
        <f t="shared" si="112"/>
        <v>0.11891950072294702</v>
      </c>
      <c r="D734" s="10">
        <f t="shared" si="113"/>
        <v>1.6618804025238396</v>
      </c>
      <c r="E734" s="10">
        <f t="shared" si="114"/>
        <v>5.2692097698978424</v>
      </c>
      <c r="F734" s="10">
        <f t="shared" si="118"/>
        <v>2.440830050795828E-2</v>
      </c>
      <c r="G734" s="10">
        <f t="shared" si="115"/>
        <v>-0.41203913168656203</v>
      </c>
      <c r="H734" s="10">
        <f t="shared" si="116"/>
        <v>0.39842327656142801</v>
      </c>
      <c r="I734" s="10">
        <f t="shared" si="119"/>
        <v>6.6751910545365112E-4</v>
      </c>
      <c r="J734" s="20">
        <f t="shared" si="117"/>
        <v>0</v>
      </c>
      <c r="K734" s="10">
        <f t="shared" si="120"/>
        <v>4.6430127952248323E-3</v>
      </c>
      <c r="L734" s="10">
        <f t="shared" si="121"/>
        <v>2.7858076771348772E-3</v>
      </c>
    </row>
    <row r="735" spans="1:12" x14ac:dyDescent="0.2">
      <c r="A735" s="14">
        <v>0.67</v>
      </c>
      <c r="B735" s="10">
        <f t="shared" si="111"/>
        <v>0.70818505792448605</v>
      </c>
      <c r="C735" s="10">
        <f t="shared" si="112"/>
        <v>0.12039145984716265</v>
      </c>
      <c r="D735" s="10">
        <f t="shared" si="113"/>
        <v>1.6665392065794022</v>
      </c>
      <c r="E735" s="10">
        <f t="shared" si="114"/>
        <v>5.293815257311687</v>
      </c>
      <c r="F735" s="10">
        <f t="shared" si="118"/>
        <v>2.4605487413844607E-2</v>
      </c>
      <c r="G735" s="10">
        <f t="shared" si="115"/>
        <v>-0.40924384925322443</v>
      </c>
      <c r="H735" s="10">
        <f t="shared" si="116"/>
        <v>0.39909344576727851</v>
      </c>
      <c r="I735" s="10">
        <f t="shared" si="119"/>
        <v>6.7016920585050155E-4</v>
      </c>
      <c r="J735" s="20">
        <f t="shared" si="117"/>
        <v>0</v>
      </c>
      <c r="K735" s="10">
        <f t="shared" si="120"/>
        <v>4.6588040555626264E-3</v>
      </c>
      <c r="L735" s="10">
        <f t="shared" si="121"/>
        <v>2.7952824333375981E-3</v>
      </c>
    </row>
    <row r="736" spans="1:12" x14ac:dyDescent="0.2">
      <c r="A736" s="14">
        <v>0.67100000000000004</v>
      </c>
      <c r="B736" s="10">
        <f t="shared" si="111"/>
        <v>0.71271138620631003</v>
      </c>
      <c r="C736" s="10">
        <f t="shared" si="112"/>
        <v>0.12187364704127904</v>
      </c>
      <c r="D736" s="10">
        <f t="shared" si="113"/>
        <v>1.6712138779761563</v>
      </c>
      <c r="E736" s="10">
        <f t="shared" si="114"/>
        <v>5.3186200359988298</v>
      </c>
      <c r="F736" s="10">
        <f t="shared" si="118"/>
        <v>2.4804778687142814E-2</v>
      </c>
      <c r="G736" s="10">
        <f t="shared" si="115"/>
        <v>-0.40643904641517209</v>
      </c>
      <c r="H736" s="10">
        <f t="shared" si="116"/>
        <v>0.39976627758791411</v>
      </c>
      <c r="I736" s="10">
        <f t="shared" si="119"/>
        <v>6.7283182063559988E-4</v>
      </c>
      <c r="J736" s="20">
        <f t="shared" si="117"/>
        <v>0</v>
      </c>
      <c r="K736" s="10">
        <f t="shared" si="120"/>
        <v>4.6746713967540376E-3</v>
      </c>
      <c r="L736" s="10">
        <f t="shared" si="121"/>
        <v>2.8048028380523449E-3</v>
      </c>
    </row>
    <row r="737" spans="1:12" x14ac:dyDescent="0.2">
      <c r="A737" s="14">
        <v>0.67200000000000004</v>
      </c>
      <c r="B737" s="10">
        <f t="shared" si="111"/>
        <v>0.71724473213900608</v>
      </c>
      <c r="C737" s="10">
        <f t="shared" si="112"/>
        <v>0.12336609392790908</v>
      </c>
      <c r="D737" s="10">
        <f t="shared" si="113"/>
        <v>1.6759044934770559</v>
      </c>
      <c r="E737" s="10">
        <f t="shared" si="114"/>
        <v>5.3436262389761398</v>
      </c>
      <c r="F737" s="10">
        <f t="shared" si="118"/>
        <v>2.5006202977309933E-2</v>
      </c>
      <c r="G737" s="10">
        <f t="shared" si="115"/>
        <v>-0.40362467711463224</v>
      </c>
      <c r="H737" s="10">
        <f t="shared" si="116"/>
        <v>0.40044178462115804</v>
      </c>
      <c r="I737" s="10">
        <f t="shared" si="119"/>
        <v>6.7550703324392725E-4</v>
      </c>
      <c r="J737" s="20">
        <f t="shared" si="117"/>
        <v>0</v>
      </c>
      <c r="K737" s="10">
        <f t="shared" si="120"/>
        <v>4.6906155008996642E-3</v>
      </c>
      <c r="L737" s="10">
        <f t="shared" si="121"/>
        <v>2.814369300539854E-3</v>
      </c>
    </row>
    <row r="738" spans="1:12" x14ac:dyDescent="0.2">
      <c r="A738" s="14">
        <v>0.67300000000000004</v>
      </c>
      <c r="B738" s="10">
        <f t="shared" si="111"/>
        <v>0.72178515874747462</v>
      </c>
      <c r="C738" s="10">
        <f t="shared" si="112"/>
        <v>0.12486883246331314</v>
      </c>
      <c r="D738" s="10">
        <f t="shared" si="113"/>
        <v>1.6806111305352498</v>
      </c>
      <c r="E738" s="10">
        <f t="shared" si="114"/>
        <v>5.368836028384008</v>
      </c>
      <c r="F738" s="10">
        <f t="shared" si="118"/>
        <v>2.5209789407868222E-2</v>
      </c>
      <c r="G738" s="10">
        <f t="shared" si="115"/>
        <v>-0.40080069487971604</v>
      </c>
      <c r="H738" s="10">
        <f t="shared" si="116"/>
        <v>0.40111997954897771</v>
      </c>
      <c r="I738" s="10">
        <f t="shared" si="119"/>
        <v>6.7819492781967528E-4</v>
      </c>
      <c r="J738" s="20">
        <f t="shared" si="117"/>
        <v>0</v>
      </c>
      <c r="K738" s="10">
        <f t="shared" si="120"/>
        <v>4.7066370581938521E-3</v>
      </c>
      <c r="L738" s="10">
        <f t="shared" si="121"/>
        <v>2.8239822349162003E-3</v>
      </c>
    </row>
    <row r="739" spans="1:12" x14ac:dyDescent="0.2">
      <c r="A739" s="14">
        <v>0.67400000000000004</v>
      </c>
      <c r="B739" s="10">
        <f t="shared" si="111"/>
        <v>0.72633272954559969</v>
      </c>
      <c r="C739" s="10">
        <f t="shared" si="112"/>
        <v>0.12638189494093438</v>
      </c>
      <c r="D739" s="10">
        <f t="shared" si="113"/>
        <v>1.685333867302296</v>
      </c>
      <c r="E739" s="10">
        <f t="shared" si="114"/>
        <v>5.3942515959696804</v>
      </c>
      <c r="F739" s="10">
        <f t="shared" si="118"/>
        <v>2.5415567585672427E-2</v>
      </c>
      <c r="G739" s="10">
        <f t="shared" si="115"/>
        <v>-0.3979670528194883</v>
      </c>
      <c r="H739" s="10">
        <f t="shared" si="116"/>
        <v>0.40180087513820051</v>
      </c>
      <c r="I739" s="10">
        <f t="shared" si="119"/>
        <v>6.8089558922279636E-4</v>
      </c>
      <c r="J739" s="20">
        <f t="shared" si="117"/>
        <v>0</v>
      </c>
      <c r="K739" s="10">
        <f t="shared" si="120"/>
        <v>4.722736767046154E-3</v>
      </c>
      <c r="L739" s="10">
        <f t="shared" si="121"/>
        <v>2.8336420602277368E-3</v>
      </c>
    </row>
    <row r="740" spans="1:12" x14ac:dyDescent="0.2">
      <c r="A740" s="14">
        <v>0.67500000000000004</v>
      </c>
      <c r="B740" s="10">
        <f t="shared" si="111"/>
        <v>0.73088750854279261</v>
      </c>
      <c r="C740" s="10">
        <f t="shared" si="112"/>
        <v>0.12790531399498875</v>
      </c>
      <c r="D740" s="10">
        <f t="shared" si="113"/>
        <v>1.6900727826365021</v>
      </c>
      <c r="E740" s="10">
        <f t="shared" si="114"/>
        <v>5.4198751635800866</v>
      </c>
      <c r="F740" s="10">
        <f t="shared" si="118"/>
        <v>2.5623567610406184E-2</v>
      </c>
      <c r="G740" s="10">
        <f t="shared" si="115"/>
        <v>-0.39512370361896459</v>
      </c>
      <c r="H740" s="10">
        <f t="shared" si="116"/>
        <v>0.4024844842412385</v>
      </c>
      <c r="I740" s="10">
        <f t="shared" si="119"/>
        <v>6.8360910303799649E-4</v>
      </c>
      <c r="J740" s="20">
        <f t="shared" si="117"/>
        <v>0</v>
      </c>
      <c r="K740" s="10">
        <f t="shared" si="120"/>
        <v>4.7389153342061174E-3</v>
      </c>
      <c r="L740" s="10">
        <f t="shared" si="121"/>
        <v>2.8433492005237038E-3</v>
      </c>
    </row>
    <row r="741" spans="1:12" x14ac:dyDescent="0.2">
      <c r="A741" s="14">
        <v>0.67600000000000005</v>
      </c>
      <c r="B741" s="10">
        <f t="shared" si="111"/>
        <v>0.7354495602506349</v>
      </c>
      <c r="C741" s="10">
        <f t="shared" si="112"/>
        <v>0.12943912260411178</v>
      </c>
      <c r="D741" s="10">
        <f t="shared" si="113"/>
        <v>1.694827956111393</v>
      </c>
      <c r="E741" s="10">
        <f t="shared" si="114"/>
        <v>5.4457089836643631</v>
      </c>
      <c r="F741" s="10">
        <f t="shared" si="118"/>
        <v>2.5833820084276482E-2</v>
      </c>
      <c r="G741" s="10">
        <f t="shared" si="115"/>
        <v>-0.39227059953402993</v>
      </c>
      <c r="H741" s="10">
        <f t="shared" si="116"/>
        <v>0.40317081979682107</v>
      </c>
      <c r="I741" s="10">
        <f t="shared" si="119"/>
        <v>6.8633555558256232E-4</v>
      </c>
      <c r="J741" s="20">
        <f t="shared" si="117"/>
        <v>0</v>
      </c>
      <c r="K741" s="10">
        <f t="shared" si="120"/>
        <v>4.7551734748909613E-3</v>
      </c>
      <c r="L741" s="10">
        <f t="shared" si="121"/>
        <v>2.8531040849346656E-3</v>
      </c>
    </row>
    <row r="742" spans="1:12" x14ac:dyDescent="0.2">
      <c r="A742" s="14">
        <v>0.67700000000000005</v>
      </c>
      <c r="B742" s="10">
        <f t="shared" si="111"/>
        <v>0.74001894968961879</v>
      </c>
      <c r="C742" s="10">
        <f t="shared" si="112"/>
        <v>0.13098335409506257</v>
      </c>
      <c r="D742" s="10">
        <f t="shared" si="113"/>
        <v>1.6995994680243074</v>
      </c>
      <c r="E742" s="10">
        <f t="shared" si="114"/>
        <v>5.4717553397863066</v>
      </c>
      <c r="F742" s="10">
        <f t="shared" si="118"/>
        <v>2.6046356121943504E-2</v>
      </c>
      <c r="G742" s="10">
        <f t="shared" si="115"/>
        <v>-0.38940769238628131</v>
      </c>
      <c r="H742" s="10">
        <f t="shared" si="116"/>
        <v>0.40385989483073587</v>
      </c>
      <c r="I742" s="10">
        <f t="shared" si="119"/>
        <v>6.8907503391479885E-4</v>
      </c>
      <c r="J742" s="20">
        <f t="shared" si="117"/>
        <v>0</v>
      </c>
      <c r="K742" s="10">
        <f t="shared" si="120"/>
        <v>4.7715119129143613E-3</v>
      </c>
      <c r="L742" s="10">
        <f t="shared" si="121"/>
        <v>2.8629071477486168E-3</v>
      </c>
    </row>
    <row r="743" spans="1:12" x14ac:dyDescent="0.2">
      <c r="A743" s="14">
        <v>0.67800000000000005</v>
      </c>
      <c r="B743" s="10">
        <f t="shared" si="111"/>
        <v>0.74459574239598747</v>
      </c>
      <c r="C743" s="10">
        <f t="shared" si="112"/>
        <v>0.13253804214648582</v>
      </c>
      <c r="D743" s="10">
        <f t="shared" si="113"/>
        <v>1.7043873994051242</v>
      </c>
      <c r="E743" s="10">
        <f t="shared" si="114"/>
        <v>5.4980165471469631</v>
      </c>
      <c r="F743" s="10">
        <f t="shared" si="118"/>
        <v>2.6261207360656513E-2</v>
      </c>
      <c r="G743" s="10">
        <f t="shared" si="115"/>
        <v>-0.38653493355779145</v>
      </c>
      <c r="H743" s="10">
        <f t="shared" si="116"/>
        <v>0.404551722456578</v>
      </c>
      <c r="I743" s="10">
        <f t="shared" si="119"/>
        <v>6.9182762584213409E-4</v>
      </c>
      <c r="J743" s="20">
        <f t="shared" si="117"/>
        <v>0</v>
      </c>
      <c r="K743" s="10">
        <f t="shared" si="120"/>
        <v>4.78793138081679E-3</v>
      </c>
      <c r="L743" s="10">
        <f t="shared" si="121"/>
        <v>2.8727588284898631E-3</v>
      </c>
    </row>
    <row r="744" spans="1:12" x14ac:dyDescent="0.2">
      <c r="A744" s="14">
        <v>0.67900000000000005</v>
      </c>
      <c r="B744" s="10">
        <f t="shared" si="111"/>
        <v>0.74918000442868038</v>
      </c>
      <c r="C744" s="10">
        <f t="shared" si="112"/>
        <v>0.13410322079273382</v>
      </c>
      <c r="D744" s="10">
        <f t="shared" si="113"/>
        <v>1.7091918320251256</v>
      </c>
      <c r="E744" s="10">
        <f t="shared" si="114"/>
        <v>5.5244949531176104</v>
      </c>
      <c r="F744" s="10">
        <f t="shared" si="118"/>
        <v>2.6478405970647323E-2</v>
      </c>
      <c r="G744" s="10">
        <f t="shared" si="115"/>
        <v>-0.38365227398579055</v>
      </c>
      <c r="H744" s="10">
        <f t="shared" si="116"/>
        <v>0.40524631587650856</v>
      </c>
      <c r="I744" s="10">
        <f t="shared" si="119"/>
        <v>6.945934199305559E-4</v>
      </c>
      <c r="J744" s="20">
        <f t="shared" si="117"/>
        <v>0</v>
      </c>
      <c r="K744" s="10">
        <f t="shared" si="120"/>
        <v>4.8044326200014087E-3</v>
      </c>
      <c r="L744" s="10">
        <f t="shared" si="121"/>
        <v>2.8826595720009007E-3</v>
      </c>
    </row>
    <row r="745" spans="1:12" x14ac:dyDescent="0.2">
      <c r="A745" s="14">
        <v>0.68</v>
      </c>
      <c r="B745" s="10">
        <f t="shared" si="111"/>
        <v>0.75377180237638031</v>
      </c>
      <c r="C745" s="10">
        <f t="shared" si="112"/>
        <v>0.13567892442774848</v>
      </c>
      <c r="D745" s="10">
        <f t="shared" si="113"/>
        <v>1.7140128484059962</v>
      </c>
      <c r="E745" s="10">
        <f t="shared" si="114"/>
        <v>5.5511929377833633</v>
      </c>
      <c r="F745" s="10">
        <f t="shared" si="118"/>
        <v>2.6697984665752905E-2</v>
      </c>
      <c r="G745" s="10">
        <f t="shared" si="115"/>
        <v>-0.38075966415726803</v>
      </c>
      <c r="H745" s="10">
        <f t="shared" si="116"/>
        <v>0.40594368838202005</v>
      </c>
      <c r="I745" s="10">
        <f t="shared" si="119"/>
        <v>6.9737250551149543E-4</v>
      </c>
      <c r="J745" s="20">
        <f t="shared" si="117"/>
        <v>0</v>
      </c>
      <c r="K745" s="10">
        <f t="shared" si="120"/>
        <v>4.8210163808706241E-3</v>
      </c>
      <c r="L745" s="10">
        <f t="shared" si="121"/>
        <v>2.8926098285225188E-3</v>
      </c>
    </row>
    <row r="746" spans="1:12" x14ac:dyDescent="0.2">
      <c r="A746" s="14">
        <v>0.68100000000000005</v>
      </c>
      <c r="B746" s="10">
        <f t="shared" si="111"/>
        <v>0.75837120336466801</v>
      </c>
      <c r="C746" s="10">
        <f t="shared" si="112"/>
        <v>0.13726518780900496</v>
      </c>
      <c r="D746" s="10">
        <f t="shared" si="113"/>
        <v>1.7188505318289604</v>
      </c>
      <c r="E746" s="10">
        <f t="shared" si="114"/>
        <v>5.5781129144976322</v>
      </c>
      <c r="F746" s="10">
        <f t="shared" si="118"/>
        <v>2.6919976714268934E-2</v>
      </c>
      <c r="G746" s="10">
        <f t="shared" si="115"/>
        <v>-0.37785705410348946</v>
      </c>
      <c r="H746" s="10">
        <f t="shared" si="116"/>
        <v>0.4066438533547132</v>
      </c>
      <c r="I746" s="10">
        <f t="shared" si="119"/>
        <v>7.0016497269315137E-4</v>
      </c>
      <c r="J746" s="20">
        <f t="shared" si="117"/>
        <v>0</v>
      </c>
      <c r="K746" s="10">
        <f t="shared" si="120"/>
        <v>4.8376834229642007E-3</v>
      </c>
      <c r="L746" s="10">
        <f t="shared" si="121"/>
        <v>2.9026100537785648E-3</v>
      </c>
    </row>
    <row r="747" spans="1:12" x14ac:dyDescent="0.2">
      <c r="A747" s="14">
        <v>0.68200000000000005</v>
      </c>
      <c r="B747" s="10">
        <f t="shared" si="111"/>
        <v>0.76297827506328553</v>
      </c>
      <c r="C747" s="10">
        <f t="shared" si="112"/>
        <v>0.138862046061518</v>
      </c>
      <c r="D747" s="10">
        <f t="shared" si="113"/>
        <v>1.7237049663440607</v>
      </c>
      <c r="E747" s="10">
        <f t="shared" si="114"/>
        <v>5.6052573304477011</v>
      </c>
      <c r="F747" s="10">
        <f t="shared" si="118"/>
        <v>2.714441595006889E-2</v>
      </c>
      <c r="G747" s="10">
        <f t="shared" si="115"/>
        <v>-0.37494439339442936</v>
      </c>
      <c r="H747" s="10">
        <f t="shared" si="116"/>
        <v>0.40734682426707974</v>
      </c>
      <c r="I747" s="10">
        <f t="shared" si="119"/>
        <v>7.0297091236654063E-4</v>
      </c>
      <c r="J747" s="20">
        <f t="shared" si="117"/>
        <v>0</v>
      </c>
      <c r="K747" s="10">
        <f t="shared" si="120"/>
        <v>4.8544345151002588E-3</v>
      </c>
      <c r="L747" s="10">
        <f t="shared" si="121"/>
        <v>2.9126607090600998E-3</v>
      </c>
    </row>
    <row r="748" spans="1:12" x14ac:dyDescent="0.2">
      <c r="A748" s="14">
        <v>0.68300000000000005</v>
      </c>
      <c r="B748" s="10">
        <f t="shared" si="111"/>
        <v>0.76759308569350959</v>
      </c>
      <c r="C748" s="10">
        <f t="shared" si="112"/>
        <v>0.14046953468191228</v>
      </c>
      <c r="D748" s="10">
        <f t="shared" si="113"/>
        <v>1.7285762367795818</v>
      </c>
      <c r="E748" s="10">
        <f t="shared" si="114"/>
        <v>5.6326286672316828</v>
      </c>
      <c r="F748" s="10">
        <f t="shared" si="118"/>
        <v>2.7371336783981626E-2</v>
      </c>
      <c r="G748" s="10">
        <f t="shared" si="115"/>
        <v>-0.37202163113311659</v>
      </c>
      <c r="H748" s="10">
        <f t="shared" si="116"/>
        <v>0.40805261468329718</v>
      </c>
      <c r="I748" s="10">
        <f t="shared" si="119"/>
        <v>7.0579041621743333E-4</v>
      </c>
      <c r="J748" s="20">
        <f t="shared" si="117"/>
        <v>0</v>
      </c>
      <c r="K748" s="10">
        <f t="shared" si="120"/>
        <v>4.8712704355211578E-3</v>
      </c>
      <c r="L748" s="10">
        <f t="shared" si="121"/>
        <v>2.9227622613127724E-3</v>
      </c>
    </row>
    <row r="749" spans="1:12" x14ac:dyDescent="0.2">
      <c r="A749" s="14">
        <v>0.68400000000000005</v>
      </c>
      <c r="B749" s="10">
        <f t="shared" si="111"/>
        <v>0.77221570403563855</v>
      </c>
      <c r="C749" s="10">
        <f t="shared" si="112"/>
        <v>0.14208768954255754</v>
      </c>
      <c r="D749" s="10">
        <f t="shared" si="113"/>
        <v>1.7334644287516234</v>
      </c>
      <c r="E749" s="10">
        <f t="shared" si="114"/>
        <v>5.6602294414471199</v>
      </c>
      <c r="F749" s="10">
        <f t="shared" si="118"/>
        <v>2.7600774215437163E-2</v>
      </c>
      <c r="G749" s="10">
        <f t="shared" si="115"/>
        <v>-0.3690887159498919</v>
      </c>
      <c r="H749" s="10">
        <f t="shared" si="116"/>
        <v>0.40876123826003019</v>
      </c>
      <c r="I749" s="10">
        <f t="shared" si="119"/>
        <v>7.0862357673301402E-4</v>
      </c>
      <c r="J749" s="20">
        <f t="shared" si="117"/>
        <v>0</v>
      </c>
      <c r="K749" s="10">
        <f t="shared" si="120"/>
        <v>4.8881919720416001E-3</v>
      </c>
      <c r="L749" s="10">
        <f t="shared" si="121"/>
        <v>2.9329151832246936E-3</v>
      </c>
    </row>
    <row r="750" spans="1:12" x14ac:dyDescent="0.2">
      <c r="A750" s="14">
        <v>0.68500000000000005</v>
      </c>
      <c r="B750" s="10">
        <f t="shared" si="111"/>
        <v>0.7768461994365925</v>
      </c>
      <c r="C750" s="10">
        <f t="shared" si="112"/>
        <v>0.14371654689576965</v>
      </c>
      <c r="D750" s="10">
        <f t="shared" si="113"/>
        <v>1.7383696286738166</v>
      </c>
      <c r="E750" s="10">
        <f t="shared" si="114"/>
        <v>5.6880622052914669</v>
      </c>
      <c r="F750" s="10">
        <f t="shared" si="118"/>
        <v>2.7832763844346964E-2</v>
      </c>
      <c r="G750" s="10">
        <f t="shared" si="115"/>
        <v>-0.36614559599657592</v>
      </c>
      <c r="H750" s="10">
        <f t="shared" si="116"/>
        <v>0.40947270874724351</v>
      </c>
      <c r="I750" s="10">
        <f t="shared" si="119"/>
        <v>7.1147048721331707E-4</v>
      </c>
      <c r="J750" s="20">
        <f t="shared" si="117"/>
        <v>0</v>
      </c>
      <c r="K750" s="10">
        <f t="shared" si="120"/>
        <v>4.9051999221931819E-3</v>
      </c>
      <c r="L750" s="10">
        <f t="shared" si="121"/>
        <v>2.9431199533159758E-3</v>
      </c>
    </row>
    <row r="751" spans="1:12" x14ac:dyDescent="0.2">
      <c r="A751" s="14">
        <v>0.68600000000000005</v>
      </c>
      <c r="B751" s="10">
        <f t="shared" si="111"/>
        <v>0.78148464181763211</v>
      </c>
      <c r="C751" s="10">
        <f t="shared" si="112"/>
        <v>0.14535614337807962</v>
      </c>
      <c r="D751" s="10">
        <f t="shared" si="113"/>
        <v>1.7432919237672009</v>
      </c>
      <c r="E751" s="10">
        <f t="shared" si="114"/>
        <v>5.7161295471748019</v>
      </c>
      <c r="F751" s="10">
        <f t="shared" si="118"/>
        <v>2.806734188333504E-2</v>
      </c>
      <c r="G751" s="10">
        <f t="shared" si="115"/>
        <v>-0.36319221894054521</v>
      </c>
      <c r="H751" s="10">
        <f t="shared" si="116"/>
        <v>0.41018703998902245</v>
      </c>
      <c r="I751" s="10">
        <f t="shared" si="119"/>
        <v>7.1433124177894269E-4</v>
      </c>
      <c r="J751" s="20">
        <f t="shared" si="117"/>
        <v>0</v>
      </c>
      <c r="K751" s="10">
        <f t="shared" si="120"/>
        <v>4.9222950933842657E-3</v>
      </c>
      <c r="L751" s="10">
        <f t="shared" si="121"/>
        <v>2.9533770560307149E-3</v>
      </c>
    </row>
    <row r="752" spans="1:12" x14ac:dyDescent="0.2">
      <c r="A752" s="14">
        <v>0.68700000000000006</v>
      </c>
      <c r="B752" s="10">
        <f t="shared" si="111"/>
        <v>0.78613110168219646</v>
      </c>
      <c r="C752" s="10">
        <f t="shared" si="112"/>
        <v>0.14700651601457079</v>
      </c>
      <c r="D752" s="10">
        <f t="shared" si="113"/>
        <v>1.7482314020702521</v>
      </c>
      <c r="E752" s="10">
        <f t="shared" si="114"/>
        <v>5.7444340923449886</v>
      </c>
      <c r="F752" s="10">
        <f t="shared" si="118"/>
        <v>2.8304545170186657E-2</v>
      </c>
      <c r="G752" s="10">
        <f t="shared" si="115"/>
        <v>-0.36022853195871463</v>
      </c>
      <c r="H752" s="10">
        <f t="shared" si="116"/>
        <v>0.41090424592440417</v>
      </c>
      <c r="I752" s="10">
        <f t="shared" si="119"/>
        <v>7.1720593538171507E-4</v>
      </c>
      <c r="J752" s="20">
        <f t="shared" si="117"/>
        <v>0</v>
      </c>
      <c r="K752" s="10">
        <f t="shared" si="120"/>
        <v>4.9394783030511924E-3</v>
      </c>
      <c r="L752" s="10">
        <f t="shared" si="121"/>
        <v>2.9636869818305822E-3</v>
      </c>
    </row>
    <row r="753" spans="1:12" x14ac:dyDescent="0.2">
      <c r="A753" s="14">
        <v>0.68799999999999994</v>
      </c>
      <c r="B753" s="10">
        <f t="shared" si="111"/>
        <v>0.79078565012386093</v>
      </c>
      <c r="C753" s="10">
        <f t="shared" si="112"/>
        <v>0.14866770222328582</v>
      </c>
      <c r="D753" s="10">
        <f t="shared" si="113"/>
        <v>1.7531881524490662</v>
      </c>
      <c r="E753" s="10">
        <f t="shared" si="114"/>
        <v>5.7729785035255894</v>
      </c>
      <c r="F753" s="10">
        <f t="shared" si="118"/>
        <v>2.8544411180600804E-2</v>
      </c>
      <c r="G753" s="10">
        <f t="shared" si="115"/>
        <v>-0.35725448173142593</v>
      </c>
      <c r="H753" s="10">
        <f t="shared" si="116"/>
        <v>0.41162434058821851</v>
      </c>
      <c r="I753" s="10">
        <f t="shared" si="119"/>
        <v>7.2009466381434128E-4</v>
      </c>
      <c r="J753" s="20">
        <f t="shared" si="117"/>
        <v>0</v>
      </c>
      <c r="K753" s="10">
        <f t="shared" si="120"/>
        <v>4.9567503788141565E-3</v>
      </c>
      <c r="L753" s="10">
        <f t="shared" si="121"/>
        <v>2.9740502272886937E-3</v>
      </c>
    </row>
    <row r="754" spans="1:12" x14ac:dyDescent="0.2">
      <c r="A754" s="14">
        <v>0.68899999999999995</v>
      </c>
      <c r="B754" s="10">
        <f t="shared" si="111"/>
        <v>0.79544835883442422</v>
      </c>
      <c r="C754" s="10">
        <f t="shared" si="112"/>
        <v>0.15033973981970614</v>
      </c>
      <c r="D754" s="10">
        <f t="shared" si="113"/>
        <v>1.7581622646077155</v>
      </c>
      <c r="E754" s="10">
        <f t="shared" si="114"/>
        <v>5.8017654815669131</v>
      </c>
      <c r="F754" s="10">
        <f t="shared" si="118"/>
        <v>2.8786978041323685E-2</v>
      </c>
      <c r="G754" s="10">
        <f t="shared" si="115"/>
        <v>-0.3542700144362364</v>
      </c>
      <c r="H754" s="10">
        <f t="shared" si="116"/>
        <v>0.41234733811193874</v>
      </c>
      <c r="I754" s="10">
        <f t="shared" si="119"/>
        <v>7.2299752372023685E-4</v>
      </c>
      <c r="J754" s="20">
        <f t="shared" si="117"/>
        <v>0</v>
      </c>
      <c r="K754" s="10">
        <f t="shared" si="120"/>
        <v>4.9741121586492909E-3</v>
      </c>
      <c r="L754" s="10">
        <f t="shared" si="121"/>
        <v>2.9844672951895301E-3</v>
      </c>
    </row>
    <row r="755" spans="1:12" x14ac:dyDescent="0.2">
      <c r="A755" s="14">
        <v>0.69</v>
      </c>
      <c r="B755" s="10">
        <f t="shared" si="111"/>
        <v>0.80011930011211285</v>
      </c>
      <c r="C755" s="10">
        <f t="shared" si="112"/>
        <v>0.15202266702130141</v>
      </c>
      <c r="D755" s="10">
        <f t="shared" si="113"/>
        <v>1.7631538290987534</v>
      </c>
      <c r="E755" s="10">
        <f t="shared" si="114"/>
        <v>5.8307977661103543</v>
      </c>
      <c r="F755" s="10">
        <f t="shared" si="118"/>
        <v>2.90322845434412E-2</v>
      </c>
      <c r="G755" s="10">
        <f t="shared" si="115"/>
        <v>-0.35127507574161387</v>
      </c>
      <c r="H755" s="10">
        <f t="shared" si="116"/>
        <v>0.41307325272454176</v>
      </c>
      <c r="I755" s="10">
        <f t="shared" si="119"/>
        <v>7.2591461260301804E-4</v>
      </c>
      <c r="J755" s="20">
        <f t="shared" si="117"/>
        <v>0</v>
      </c>
      <c r="K755" s="10">
        <f t="shared" si="120"/>
        <v>4.9915644910378809E-3</v>
      </c>
      <c r="L755" s="10">
        <f t="shared" si="121"/>
        <v>2.9949386946225287E-3</v>
      </c>
    </row>
    <row r="756" spans="1:12" x14ac:dyDescent="0.2">
      <c r="A756" s="14">
        <v>0.69099999999999995</v>
      </c>
      <c r="B756" s="10">
        <f t="shared" si="111"/>
        <v>0.80479854686992414</v>
      </c>
      <c r="C756" s="10">
        <f t="shared" si="112"/>
        <v>0.15371652245215547</v>
      </c>
      <c r="D756" s="10">
        <f t="shared" si="113"/>
        <v>1.7681629373339007</v>
      </c>
      <c r="E756" s="10">
        <f t="shared" si="114"/>
        <v>5.8600781362665035</v>
      </c>
      <c r="F756" s="10">
        <f t="shared" si="118"/>
        <v>2.928037015614926E-2</v>
      </c>
      <c r="G756" s="10">
        <f t="shared" si="115"/>
        <v>-0.34826961080052538</v>
      </c>
      <c r="H756" s="10">
        <f t="shared" si="116"/>
        <v>0.4138020987533797</v>
      </c>
      <c r="I756" s="10">
        <f t="shared" si="119"/>
        <v>7.2884602883793725E-4</v>
      </c>
      <c r="J756" s="20">
        <f t="shared" si="117"/>
        <v>0</v>
      </c>
      <c r="K756" s="10">
        <f t="shared" si="120"/>
        <v>5.0091082351473304E-3</v>
      </c>
      <c r="L756" s="10">
        <f t="shared" si="121"/>
        <v>3.0054649410884982E-3</v>
      </c>
    </row>
    <row r="757" spans="1:12" x14ac:dyDescent="0.2">
      <c r="A757" s="14">
        <v>0.69199999999999995</v>
      </c>
      <c r="B757" s="10">
        <f t="shared" si="111"/>
        <v>0.80948617264409484</v>
      </c>
      <c r="C757" s="10">
        <f t="shared" si="112"/>
        <v>0.15542134514766617</v>
      </c>
      <c r="D757" s="10">
        <f t="shared" si="113"/>
        <v>1.7731896815948973</v>
      </c>
      <c r="E757" s="10">
        <f t="shared" si="114"/>
        <v>5.8896094113072541</v>
      </c>
      <c r="F757" s="10">
        <f t="shared" si="118"/>
        <v>2.9531275040750593E-2</v>
      </c>
      <c r="G757" s="10">
        <f t="shared" si="115"/>
        <v>-0.34525356424392739</v>
      </c>
      <c r="H757" s="10">
        <f t="shared" si="116"/>
        <v>0.4145338906250603</v>
      </c>
      <c r="I757" s="10">
        <f t="shared" si="119"/>
        <v>7.3179187168059823E-4</v>
      </c>
      <c r="J757" s="20">
        <f t="shared" si="117"/>
        <v>0</v>
      </c>
      <c r="K757" s="10">
        <f t="shared" si="120"/>
        <v>5.0267442609965851E-3</v>
      </c>
      <c r="L757" s="10">
        <f t="shared" si="121"/>
        <v>3.0160465565979844E-3</v>
      </c>
    </row>
    <row r="758" spans="1:12" x14ac:dyDescent="0.2">
      <c r="A758" s="14">
        <v>0.69299999999999995</v>
      </c>
      <c r="B758" s="10">
        <f t="shared" si="111"/>
        <v>0.81418225160270596</v>
      </c>
      <c r="C758" s="10">
        <f t="shared" si="112"/>
        <v>0.15713717455932222</v>
      </c>
      <c r="D758" s="10">
        <f t="shared" si="113"/>
        <v>1.7782341550445278</v>
      </c>
      <c r="E758" s="10">
        <f t="shared" si="114"/>
        <v>5.9193944513722698</v>
      </c>
      <c r="F758" s="10">
        <f t="shared" si="118"/>
        <v>2.97850400650157E-2</v>
      </c>
      <c r="G758" s="10">
        <f t="shared" si="115"/>
        <v>-0.34222688017414921</v>
      </c>
      <c r="H758" s="10">
        <f t="shared" si="116"/>
        <v>0.41526864286633952</v>
      </c>
      <c r="I758" s="10">
        <f t="shared" si="119"/>
        <v>7.3475224127922401E-4</v>
      </c>
      <c r="J758" s="20">
        <f t="shared" si="117"/>
        <v>0</v>
      </c>
      <c r="K758" s="10">
        <f t="shared" si="120"/>
        <v>5.0444734496304378E-3</v>
      </c>
      <c r="L758" s="10">
        <f t="shared" si="121"/>
        <v>3.0266840697781849E-3</v>
      </c>
    </row>
    <row r="759" spans="1:12" x14ac:dyDescent="0.2">
      <c r="A759" s="14">
        <v>0.69399999999999995</v>
      </c>
      <c r="B759" s="10">
        <f t="shared" si="111"/>
        <v>0.81888685855442356</v>
      </c>
      <c r="C759" s="10">
        <f t="shared" si="112"/>
        <v>0.15886405055955813</v>
      </c>
      <c r="D759" s="10">
        <f t="shared" si="113"/>
        <v>1.7832964517378249</v>
      </c>
      <c r="E759" s="10">
        <f t="shared" si="114"/>
        <v>5.9494361581901565</v>
      </c>
      <c r="F759" s="10">
        <f t="shared" si="118"/>
        <v>3.0041706817886649E-2</v>
      </c>
      <c r="G759" s="10">
        <f t="shared" si="115"/>
        <v>-0.3391895021581709</v>
      </c>
      <c r="H759" s="10">
        <f t="shared" si="116"/>
        <v>0.41600637010502367</v>
      </c>
      <c r="I759" s="10">
        <f t="shared" si="119"/>
        <v>7.3772723868414936E-4</v>
      </c>
      <c r="J759" s="20">
        <f t="shared" si="117"/>
        <v>0</v>
      </c>
      <c r="K759" s="10">
        <f t="shared" si="120"/>
        <v>5.0622966932971636E-3</v>
      </c>
      <c r="L759" s="10">
        <f t="shared" si="121"/>
        <v>3.0373780159783093E-3</v>
      </c>
    </row>
    <row r="760" spans="1:12" x14ac:dyDescent="0.2">
      <c r="A760" s="14">
        <v>0.69499999999999995</v>
      </c>
      <c r="B760" s="10">
        <f t="shared" si="111"/>
        <v>0.82360006895738036</v>
      </c>
      <c r="C760" s="10">
        <f t="shared" si="112"/>
        <v>0.16060201344668912</v>
      </c>
      <c r="D760" s="10">
        <f t="shared" si="113"/>
        <v>1.7883766666334575</v>
      </c>
      <c r="E760" s="10">
        <f t="shared" si="114"/>
        <v>5.9797374758147068</v>
      </c>
      <c r="F760" s="10">
        <f t="shared" si="118"/>
        <v>3.030131762455035E-2</v>
      </c>
      <c r="G760" s="10">
        <f t="shared" si="115"/>
        <v>-0.3361413732207913</v>
      </c>
      <c r="H760" s="10">
        <f t="shared" si="116"/>
        <v>0.41674708707088287</v>
      </c>
      <c r="I760" s="10">
        <f t="shared" si="119"/>
        <v>7.4071696585920055E-4</v>
      </c>
      <c r="J760" s="20">
        <f t="shared" si="117"/>
        <v>0</v>
      </c>
      <c r="K760" s="10">
        <f t="shared" si="120"/>
        <v>5.0802148956325954E-3</v>
      </c>
      <c r="L760" s="10">
        <f t="shared" si="121"/>
        <v>3.0481289373796017E-3</v>
      </c>
    </row>
    <row r="761" spans="1:12" x14ac:dyDescent="0.2">
      <c r="A761" s="14">
        <v>0.69599999999999995</v>
      </c>
      <c r="B761" s="10">
        <f t="shared" si="111"/>
        <v>0.82832195892819771</v>
      </c>
      <c r="C761" s="10">
        <f t="shared" si="112"/>
        <v>0.16235110394992672</v>
      </c>
      <c r="D761" s="10">
        <f t="shared" si="113"/>
        <v>1.7934748956052982</v>
      </c>
      <c r="E761" s="10">
        <f t="shared" si="114"/>
        <v>6.0103013913765562</v>
      </c>
      <c r="F761" s="10">
        <f t="shared" si="118"/>
        <v>3.0563915561849342E-2</v>
      </c>
      <c r="G761" s="10">
        <f t="shared" si="115"/>
        <v>-0.33308243583768682</v>
      </c>
      <c r="H761" s="10">
        <f t="shared" si="116"/>
        <v>0.41749080859657539</v>
      </c>
      <c r="I761" s="10">
        <f t="shared" si="119"/>
        <v>7.4372152569252004E-4</v>
      </c>
      <c r="J761" s="20">
        <f t="shared" si="117"/>
        <v>0</v>
      </c>
      <c r="K761" s="10">
        <f t="shared" si="120"/>
        <v>5.0982289718406459E-3</v>
      </c>
      <c r="L761" s="10">
        <f t="shared" si="121"/>
        <v>3.0589373831044764E-3</v>
      </c>
    </row>
    <row r="762" spans="1:12" x14ac:dyDescent="0.2">
      <c r="A762" s="14">
        <v>0.69699999999999995</v>
      </c>
      <c r="B762" s="10">
        <f t="shared" si="111"/>
        <v>0.83305260525115454</v>
      </c>
      <c r="C762" s="10">
        <f t="shared" si="112"/>
        <v>0.16411136323447739</v>
      </c>
      <c r="D762" s="10">
        <f t="shared" si="113"/>
        <v>1.7985912354541831</v>
      </c>
      <c r="E762" s="10">
        <f t="shared" si="114"/>
        <v>6.0411309358506404</v>
      </c>
      <c r="F762" s="10">
        <f t="shared" si="118"/>
        <v>3.0829544474084258E-2</v>
      </c>
      <c r="G762" s="10">
        <f t="shared" si="115"/>
        <v>-0.33001263192835606</v>
      </c>
      <c r="H762" s="10">
        <f t="shared" si="116"/>
        <v>0.41823754961858312</v>
      </c>
      <c r="I762" s="10">
        <f t="shared" si="119"/>
        <v>7.4674102200772419E-4</v>
      </c>
      <c r="J762" s="20">
        <f t="shared" si="117"/>
        <v>0</v>
      </c>
      <c r="K762" s="10">
        <f t="shared" si="120"/>
        <v>5.1163398488849321E-3</v>
      </c>
      <c r="L762" s="10">
        <f t="shared" si="121"/>
        <v>3.0698039093307594E-3</v>
      </c>
    </row>
    <row r="763" spans="1:12" x14ac:dyDescent="0.2">
      <c r="A763" s="14">
        <v>0.69799999999999995</v>
      </c>
      <c r="B763" s="10">
        <f t="shared" si="111"/>
        <v>0.83779208538750261</v>
      </c>
      <c r="C763" s="10">
        <f t="shared" si="112"/>
        <v>0.16588283290672548</v>
      </c>
      <c r="D763" s="10">
        <f t="shared" si="113"/>
        <v>1.8037257839198608</v>
      </c>
      <c r="E763" s="10">
        <f t="shared" si="114"/>
        <v>6.0722291848398315</v>
      </c>
      <c r="F763" s="10">
        <f t="shared" si="118"/>
        <v>3.1098248989191113E-2</v>
      </c>
      <c r="G763" s="10">
        <f t="shared" si="115"/>
        <v>-0.32693190284894919</v>
      </c>
      <c r="H763" s="10">
        <f t="shared" si="116"/>
        <v>0.41898732517815868</v>
      </c>
      <c r="I763" s="10">
        <f t="shared" si="119"/>
        <v>7.4977555957556064E-4</v>
      </c>
      <c r="J763" s="20">
        <f t="shared" si="117"/>
        <v>0</v>
      </c>
      <c r="K763" s="10">
        <f t="shared" si="120"/>
        <v>5.1345484656777352E-3</v>
      </c>
      <c r="L763" s="10">
        <f t="shared" si="121"/>
        <v>3.0807290794068742E-3</v>
      </c>
    </row>
    <row r="764" spans="1:12" x14ac:dyDescent="0.2">
      <c r="A764" s="14">
        <v>0.69899999999999995</v>
      </c>
      <c r="B764" s="10">
        <f t="shared" si="111"/>
        <v>0.84254047748493432</v>
      </c>
      <c r="C764" s="10">
        <f t="shared" si="112"/>
        <v>0.16766555501950189</v>
      </c>
      <c r="D764" s="10">
        <f t="shared" si="113"/>
        <v>1.8088786396931413</v>
      </c>
      <c r="E764" s="10">
        <f t="shared" si="114"/>
        <v>6.1035992593751693</v>
      </c>
      <c r="F764" s="10">
        <f t="shared" si="118"/>
        <v>3.13700745353378E-2</v>
      </c>
      <c r="G764" s="10">
        <f t="shared" si="115"/>
        <v>-0.32384018938498099</v>
      </c>
      <c r="H764" s="10">
        <f t="shared" si="116"/>
        <v>0.41974015042228402</v>
      </c>
      <c r="I764" s="10">
        <f t="shared" si="119"/>
        <v>7.5282524412534357E-4</v>
      </c>
      <c r="J764" s="20">
        <f t="shared" si="117"/>
        <v>0</v>
      </c>
      <c r="K764" s="10">
        <f t="shared" si="120"/>
        <v>5.1528557732805069E-3</v>
      </c>
      <c r="L764" s="10">
        <f t="shared" si="121"/>
        <v>3.0917134639681931E-3</v>
      </c>
    </row>
    <row r="765" spans="1:12" x14ac:dyDescent="0.2">
      <c r="A765" s="14">
        <v>0.7</v>
      </c>
      <c r="B765" s="10">
        <f t="shared" si="111"/>
        <v>0.84729786038720345</v>
      </c>
      <c r="C765" s="10">
        <f t="shared" si="112"/>
        <v>0.16945957207744064</v>
      </c>
      <c r="D765" s="10">
        <f t="shared" si="113"/>
        <v>1.8140499024282388</v>
      </c>
      <c r="E765" s="10">
        <f t="shared" si="114"/>
        <v>6.1352443267330425</v>
      </c>
      <c r="F765" s="10">
        <f t="shared" si="118"/>
        <v>3.1645067357873202E-2</v>
      </c>
      <c r="G765" s="10">
        <f t="shared" si="115"/>
        <v>-0.32073743174392255</v>
      </c>
      <c r="H765" s="10">
        <f t="shared" si="116"/>
        <v>0.42049604060464035</v>
      </c>
      <c r="I765" s="10">
        <f t="shared" si="119"/>
        <v>7.5589018235633354E-4</v>
      </c>
      <c r="J765" s="20">
        <f t="shared" si="117"/>
        <v>0</v>
      </c>
      <c r="K765" s="10">
        <f t="shared" si="120"/>
        <v>5.1712627350974927E-3</v>
      </c>
      <c r="L765" s="10">
        <f t="shared" si="121"/>
        <v>3.1027576410584401E-3</v>
      </c>
    </row>
    <row r="766" spans="1:12" x14ac:dyDescent="0.2">
      <c r="A766" s="14">
        <v>0.70099999999999996</v>
      </c>
      <c r="B766" s="10">
        <f t="shared" si="111"/>
        <v>0.85206431364390345</v>
      </c>
      <c r="C766" s="10">
        <f t="shared" si="112"/>
        <v>0.17126492704242455</v>
      </c>
      <c r="D766" s="10">
        <f t="shared" si="113"/>
        <v>1.8192396727553231</v>
      </c>
      <c r="E766" s="10">
        <f t="shared" si="114"/>
        <v>6.1671676012697985</v>
      </c>
      <c r="F766" s="10">
        <f t="shared" si="118"/>
        <v>3.1923274536755919E-2</v>
      </c>
      <c r="G766" s="10">
        <f t="shared" si="115"/>
        <v>-0.31762356954767201</v>
      </c>
      <c r="H766" s="10">
        <f t="shared" si="116"/>
        <v>0.42125501108659064</v>
      </c>
      <c r="I766" s="10">
        <f t="shared" si="119"/>
        <v>7.5897048195028294E-4</v>
      </c>
      <c r="J766" s="20">
        <f t="shared" si="117"/>
        <v>0</v>
      </c>
      <c r="K766" s="10">
        <f t="shared" si="120"/>
        <v>5.189770327084231E-3</v>
      </c>
      <c r="L766" s="10">
        <f t="shared" si="121"/>
        <v>3.1138621962505386E-3</v>
      </c>
    </row>
    <row r="767" spans="1:12" x14ac:dyDescent="0.2">
      <c r="A767" s="14">
        <v>0.70199999999999996</v>
      </c>
      <c r="B767" s="10">
        <f t="shared" si="111"/>
        <v>0.85683991752040645</v>
      </c>
      <c r="C767" s="10">
        <f t="shared" si="112"/>
        <v>0.17308166333912206</v>
      </c>
      <c r="D767" s="10">
        <f t="shared" si="113"/>
        <v>1.8244480522932767</v>
      </c>
      <c r="E767" s="10">
        <f t="shared" si="114"/>
        <v>6.1993723452741731</v>
      </c>
      <c r="F767" s="10">
        <f t="shared" si="118"/>
        <v>3.2204744004374675E-2</v>
      </c>
      <c r="G767" s="10">
        <f t="shared" si="115"/>
        <v>-0.31449854182489984</v>
      </c>
      <c r="H767" s="10">
        <f t="shared" si="116"/>
        <v>0.42201707733817384</v>
      </c>
      <c r="I767" s="10">
        <f t="shared" si="119"/>
        <v>7.620662515832044E-4</v>
      </c>
      <c r="J767" s="20">
        <f t="shared" si="117"/>
        <v>0</v>
      </c>
      <c r="K767" s="10">
        <f t="shared" si="120"/>
        <v>5.2083795379536113E-3</v>
      </c>
      <c r="L767" s="10">
        <f t="shared" si="121"/>
        <v>3.1250277227721779E-3</v>
      </c>
    </row>
    <row r="768" spans="1:12" x14ac:dyDescent="0.2">
      <c r="A768" s="14">
        <v>0.70299999999999996</v>
      </c>
      <c r="B768" s="10">
        <f t="shared" si="111"/>
        <v>0.86162475300796504</v>
      </c>
      <c r="C768" s="10">
        <f t="shared" si="112"/>
        <v>0.17490982486061687</v>
      </c>
      <c r="D768" s="10">
        <f t="shared" si="113"/>
        <v>1.8296751436626639</v>
      </c>
      <c r="E768" s="10">
        <f t="shared" si="114"/>
        <v>6.231861869837986</v>
      </c>
      <c r="F768" s="10">
        <f t="shared" si="118"/>
        <v>3.2489524563812822E-2</v>
      </c>
      <c r="G768" s="10">
        <f t="shared" si="115"/>
        <v>-0.31136228700326757</v>
      </c>
      <c r="H768" s="10">
        <f t="shared" si="116"/>
        <v>0.4227822549391112</v>
      </c>
      <c r="I768" s="10">
        <f t="shared" si="119"/>
        <v>7.651776009373612E-4</v>
      </c>
      <c r="J768" s="20">
        <f t="shared" si="117"/>
        <v>0</v>
      </c>
      <c r="K768" s="10">
        <f t="shared" si="120"/>
        <v>5.22709136938726E-3</v>
      </c>
      <c r="L768" s="10">
        <f t="shared" si="121"/>
        <v>3.1362548216322672E-3</v>
      </c>
    </row>
    <row r="769" spans="1:12" x14ac:dyDescent="0.2">
      <c r="A769" s="14">
        <v>0.70399999999999996</v>
      </c>
      <c r="B769" s="10">
        <f t="shared" si="111"/>
        <v>0.86641890183398185</v>
      </c>
      <c r="C769" s="10">
        <f t="shared" si="112"/>
        <v>0.17674945597413227</v>
      </c>
      <c r="D769" s="10">
        <f t="shared" si="113"/>
        <v>1.8349210504989157</v>
      </c>
      <c r="E769" s="10">
        <f t="shared" si="114"/>
        <v>6.2646395357455571</v>
      </c>
      <c r="F769" s="10">
        <f t="shared" si="118"/>
        <v>3.2777665907571141E-2</v>
      </c>
      <c r="G769" s="10">
        <f t="shared" si="115"/>
        <v>-0.30821474290151651</v>
      </c>
      <c r="H769" s="10">
        <f t="shared" si="116"/>
        <v>0.42355055957982579</v>
      </c>
      <c r="I769" s="10">
        <f t="shared" si="119"/>
        <v>7.6830464071458993E-4</v>
      </c>
      <c r="J769" s="20">
        <f t="shared" si="117"/>
        <v>0</v>
      </c>
      <c r="K769" s="10">
        <f t="shared" si="120"/>
        <v>5.2459068362518124E-3</v>
      </c>
      <c r="L769" s="10">
        <f t="shared" si="121"/>
        <v>3.1475441017510541E-3</v>
      </c>
    </row>
    <row r="770" spans="1:12" x14ac:dyDescent="0.2">
      <c r="A770" s="14">
        <v>0.70499999999999996</v>
      </c>
      <c r="B770" s="10">
        <f t="shared" ref="B770:B833" si="122">LN(A770/(1-A770))</f>
        <v>0.87122244647244862</v>
      </c>
      <c r="C770" s="10">
        <f t="shared" ref="C770:C833" si="123">(A770-0.5)*B770</f>
        <v>0.17860060152685192</v>
      </c>
      <c r="D770" s="10">
        <f t="shared" ref="D770:D833" si="124">$B$45+$B$46*B770+$B$47*C770</f>
        <v>1.8401858774657356</v>
      </c>
      <c r="E770" s="10">
        <f t="shared" ref="E770:E833" si="125">$B$14+EXP(D770)</f>
        <v>6.2977087543823229</v>
      </c>
      <c r="F770" s="10">
        <f t="shared" si="118"/>
        <v>3.3069218636765818E-2</v>
      </c>
      <c r="G770" s="10">
        <f t="shared" ref="G770:G833" si="126">$C$45+$C$46*B770+$C$47*C770</f>
        <v>-0.3050558467214245</v>
      </c>
      <c r="H770" s="10">
        <f t="shared" ref="H770:H833" si="127">$C$14+($C$15-$C$14)/(1+EXP(-G770))</f>
        <v>0.42432200706247408</v>
      </c>
      <c r="I770" s="10">
        <f t="shared" si="119"/>
        <v>7.7144748264829088E-4</v>
      </c>
      <c r="J770" s="20">
        <f t="shared" ref="J770:J833" si="128">G770-($B$22+$B$21*D770)</f>
        <v>0</v>
      </c>
      <c r="K770" s="10">
        <f t="shared" si="120"/>
        <v>5.2648269668198466E-3</v>
      </c>
      <c r="L770" s="10">
        <f t="shared" si="121"/>
        <v>3.158896180092019E-3</v>
      </c>
    </row>
    <row r="771" spans="1:12" x14ac:dyDescent="0.2">
      <c r="A771" s="14">
        <v>0.70599999999999996</v>
      </c>
      <c r="B771" s="10">
        <f t="shared" si="122"/>
        <v>0.87603547015456018</v>
      </c>
      <c r="C771" s="10">
        <f t="shared" si="123"/>
        <v>0.18046330685183937</v>
      </c>
      <c r="D771" s="10">
        <f t="shared" si="124"/>
        <v>1.8454697302687311</v>
      </c>
      <c r="E771" s="10">
        <f t="shared" si="125"/>
        <v>6.331072988663113</v>
      </c>
      <c r="F771" s="10">
        <f t="shared" ref="F771:F834" si="129">E771-E770</f>
        <v>3.336423428079005E-2</v>
      </c>
      <c r="G771" s="10">
        <f t="shared" si="126"/>
        <v>-0.30188553503962712</v>
      </c>
      <c r="H771" s="10">
        <f t="shared" si="127"/>
        <v>0.42509661330199072</v>
      </c>
      <c r="I771" s="10">
        <f t="shared" ref="I771:I834" si="130">H771-H770</f>
        <v>7.7460623951663976E-4</v>
      </c>
      <c r="J771" s="20">
        <f t="shared" si="128"/>
        <v>0</v>
      </c>
      <c r="K771" s="10">
        <f t="shared" ref="K771:K834" si="131">D771-D770</f>
        <v>5.2838528029954812E-3</v>
      </c>
      <c r="L771" s="10">
        <f t="shared" ref="L771:L834" si="132">G771-G770</f>
        <v>3.1703116817973775E-3</v>
      </c>
    </row>
    <row r="772" spans="1:12" x14ac:dyDescent="0.2">
      <c r="A772" s="14">
        <v>0.70699999999999996</v>
      </c>
      <c r="B772" s="10">
        <f t="shared" si="122"/>
        <v>0.88085805687950536</v>
      </c>
      <c r="C772" s="10">
        <f t="shared" si="123"/>
        <v>0.18233761777405758</v>
      </c>
      <c r="D772" s="10">
        <f t="shared" si="124"/>
        <v>1.850772715669273</v>
      </c>
      <c r="E772" s="10">
        <f t="shared" si="125"/>
        <v>6.364735753980586</v>
      </c>
      <c r="F772" s="10">
        <f t="shared" si="129"/>
        <v>3.3662765317473031E-2</v>
      </c>
      <c r="G772" s="10">
        <f t="shared" si="126"/>
        <v>-0.29870374379930198</v>
      </c>
      <c r="H772" s="10">
        <f t="shared" si="127"/>
        <v>0.42587439432714652</v>
      </c>
      <c r="I772" s="10">
        <f t="shared" si="130"/>
        <v>7.7778102515579928E-4</v>
      </c>
      <c r="J772" s="20">
        <f t="shared" si="128"/>
        <v>0</v>
      </c>
      <c r="K772" s="10">
        <f t="shared" si="131"/>
        <v>5.3029854005419708E-3</v>
      </c>
      <c r="L772" s="10">
        <f t="shared" si="132"/>
        <v>3.181791240325138E-3</v>
      </c>
    </row>
    <row r="773" spans="1:12" x14ac:dyDescent="0.2">
      <c r="A773" s="14">
        <v>0.70799999999999996</v>
      </c>
      <c r="B773" s="10">
        <f t="shared" si="122"/>
        <v>0.88569029142543776</v>
      </c>
      <c r="C773" s="10">
        <f t="shared" si="123"/>
        <v>0.18422358061649102</v>
      </c>
      <c r="D773" s="10">
        <f t="shared" si="124"/>
        <v>1.856094941498589</v>
      </c>
      <c r="E773" s="10">
        <f t="shared" si="125"/>
        <v>6.3987006191743285</v>
      </c>
      <c r="F773" s="10">
        <f t="shared" si="129"/>
        <v>3.3964865193742533E-2</v>
      </c>
      <c r="G773" s="10">
        <f t="shared" si="126"/>
        <v>-0.29551040830171244</v>
      </c>
      <c r="H773" s="10">
        <f t="shared" si="127"/>
        <v>0.42665536628161932</v>
      </c>
      <c r="I773" s="10">
        <f t="shared" si="130"/>
        <v>7.8097195447279777E-4</v>
      </c>
      <c r="J773" s="20">
        <f t="shared" si="128"/>
        <v>0</v>
      </c>
      <c r="K773" s="10">
        <f t="shared" si="131"/>
        <v>5.322225829315963E-3</v>
      </c>
      <c r="L773" s="10">
        <f t="shared" si="132"/>
        <v>3.1933354975895445E-3</v>
      </c>
    </row>
    <row r="774" spans="1:12" x14ac:dyDescent="0.2">
      <c r="A774" s="14">
        <v>0.70899999999999996</v>
      </c>
      <c r="B774" s="10">
        <f t="shared" si="122"/>
        <v>0.89053225936063485</v>
      </c>
      <c r="C774" s="10">
        <f t="shared" si="123"/>
        <v>0.18612124220637266</v>
      </c>
      <c r="D774" s="10">
        <f t="shared" si="124"/>
        <v>1.861436516672099</v>
      </c>
      <c r="E774" s="10">
        <f t="shared" si="125"/>
        <v>6.4329712075211694</v>
      </c>
      <c r="F774" s="10">
        <f t="shared" si="129"/>
        <v>3.4270588346840825E-2</v>
      </c>
      <c r="G774" s="10">
        <f t="shared" si="126"/>
        <v>-0.29230546319760647</v>
      </c>
      <c r="H774" s="10">
        <f t="shared" si="127"/>
        <v>0.42743954542507928</v>
      </c>
      <c r="I774" s="10">
        <f t="shared" si="130"/>
        <v>7.8417914345996209E-4</v>
      </c>
      <c r="J774" s="20">
        <f t="shared" si="128"/>
        <v>0</v>
      </c>
      <c r="K774" s="10">
        <f t="shared" si="131"/>
        <v>5.3415751735099715E-3</v>
      </c>
      <c r="L774" s="10">
        <f t="shared" si="132"/>
        <v>3.2049451041059607E-3</v>
      </c>
    </row>
    <row r="775" spans="1:12" x14ac:dyDescent="0.2">
      <c r="A775" s="14">
        <v>0.71</v>
      </c>
      <c r="B775" s="10">
        <f t="shared" si="122"/>
        <v>0.89538404705484131</v>
      </c>
      <c r="C775" s="10">
        <f t="shared" si="123"/>
        <v>0.18803064988151663</v>
      </c>
      <c r="D775" s="10">
        <f t="shared" si="124"/>
        <v>1.8667975512039896</v>
      </c>
      <c r="E775" s="10">
        <f t="shared" si="125"/>
        <v>6.4675511977471762</v>
      </c>
      <c r="F775" s="10">
        <f t="shared" si="129"/>
        <v>3.4579990226006885E-2</v>
      </c>
      <c r="G775" s="10">
        <f t="shared" si="126"/>
        <v>-0.28908884247847205</v>
      </c>
      <c r="H775" s="10">
        <f t="shared" si="127"/>
        <v>0.42822694813428702</v>
      </c>
      <c r="I775" s="10">
        <f t="shared" si="130"/>
        <v>7.8740270920774069E-4</v>
      </c>
      <c r="J775" s="20">
        <f t="shared" si="128"/>
        <v>0</v>
      </c>
      <c r="K775" s="10">
        <f t="shared" si="131"/>
        <v>5.3610345318906294E-3</v>
      </c>
      <c r="L775" s="10">
        <f t="shared" si="132"/>
        <v>3.216620719134422E-3</v>
      </c>
    </row>
    <row r="776" spans="1:12" x14ac:dyDescent="0.2">
      <c r="A776" s="14">
        <v>0.71099999999999997</v>
      </c>
      <c r="B776" s="10">
        <f t="shared" si="122"/>
        <v>0.90024574169080862</v>
      </c>
      <c r="C776" s="10">
        <f t="shared" si="123"/>
        <v>0.18995185149676058</v>
      </c>
      <c r="D776" s="10">
        <f t="shared" si="124"/>
        <v>1.8721781562220421</v>
      </c>
      <c r="E776" s="10">
        <f t="shared" si="125"/>
        <v>6.5024443250619726</v>
      </c>
      <c r="F776" s="10">
        <f t="shared" si="129"/>
        <v>3.4893127314796324E-2</v>
      </c>
      <c r="G776" s="10">
        <f t="shared" si="126"/>
        <v>-0.28586047946764054</v>
      </c>
      <c r="H776" s="10">
        <f t="shared" si="127"/>
        <v>0.4290175909042061</v>
      </c>
      <c r="I776" s="10">
        <f t="shared" si="130"/>
        <v>7.90642769919081E-4</v>
      </c>
      <c r="J776" s="20">
        <f t="shared" si="128"/>
        <v>0</v>
      </c>
      <c r="K776" s="10">
        <f t="shared" si="131"/>
        <v>5.3806050180524867E-3</v>
      </c>
      <c r="L776" s="10">
        <f t="shared" si="132"/>
        <v>3.2283630108315142E-3</v>
      </c>
    </row>
    <row r="777" spans="1:12" x14ac:dyDescent="0.2">
      <c r="A777" s="14">
        <v>0.71199999999999997</v>
      </c>
      <c r="B777" s="10">
        <f t="shared" si="122"/>
        <v>0.90511743127602973</v>
      </c>
      <c r="C777" s="10">
        <f t="shared" si="123"/>
        <v>0.19188489543051826</v>
      </c>
      <c r="D777" s="10">
        <f t="shared" si="124"/>
        <v>1.8775784439827112</v>
      </c>
      <c r="E777" s="10">
        <f t="shared" si="125"/>
        <v>6.5376543822158713</v>
      </c>
      <c r="F777" s="10">
        <f t="shared" si="129"/>
        <v>3.5210057153898688E-2</v>
      </c>
      <c r="G777" s="10">
        <f t="shared" si="126"/>
        <v>-0.28262030681123917</v>
      </c>
      <c r="H777" s="10">
        <f t="shared" si="127"/>
        <v>0.42981149034913035</v>
      </c>
      <c r="I777" s="10">
        <f t="shared" si="130"/>
        <v>7.9389944492425091E-4</v>
      </c>
      <c r="J777" s="20">
        <f t="shared" si="128"/>
        <v>0</v>
      </c>
      <c r="K777" s="10">
        <f t="shared" si="131"/>
        <v>5.4002877606691424E-3</v>
      </c>
      <c r="L777" s="10">
        <f t="shared" si="132"/>
        <v>3.2401726564013633E-3</v>
      </c>
    </row>
    <row r="778" spans="1:12" x14ac:dyDescent="0.2">
      <c r="A778" s="14">
        <v>0.71299999999999997</v>
      </c>
      <c r="B778" s="10">
        <f t="shared" si="122"/>
        <v>0.90999920465467476</v>
      </c>
      <c r="C778" s="10">
        <f t="shared" si="123"/>
        <v>0.19382983059144571</v>
      </c>
      <c r="D778" s="10">
        <f t="shared" si="124"/>
        <v>1.8829985278864636</v>
      </c>
      <c r="E778" s="10">
        <f t="shared" si="125"/>
        <v>6.5731852205804424</v>
      </c>
      <c r="F778" s="10">
        <f t="shared" si="129"/>
        <v>3.553083836457116E-2</v>
      </c>
      <c r="G778" s="10">
        <f t="shared" si="126"/>
        <v>-0.27936825646898772</v>
      </c>
      <c r="H778" s="10">
        <f t="shared" si="127"/>
        <v>0.43060866320382457</v>
      </c>
      <c r="I778" s="10">
        <f t="shared" si="130"/>
        <v>7.9717285469421695E-4</v>
      </c>
      <c r="J778" s="20">
        <f t="shared" si="128"/>
        <v>0</v>
      </c>
      <c r="K778" s="10">
        <f t="shared" si="131"/>
        <v>5.4200839037523707E-3</v>
      </c>
      <c r="L778" s="10">
        <f t="shared" si="132"/>
        <v>3.2520503422514557E-3</v>
      </c>
    </row>
    <row r="779" spans="1:12" x14ac:dyDescent="0.2">
      <c r="A779" s="14">
        <v>0.71399999999999997</v>
      </c>
      <c r="B779" s="10">
        <f t="shared" si="122"/>
        <v>0.91489115151973166</v>
      </c>
      <c r="C779" s="10">
        <f t="shared" si="123"/>
        <v>0.19578670642522256</v>
      </c>
      <c r="D779" s="10">
        <f t="shared" si="124"/>
        <v>1.8884385224933826</v>
      </c>
      <c r="E779" s="10">
        <f t="shared" si="125"/>
        <v>6.6090407512531231</v>
      </c>
      <c r="F779" s="10">
        <f t="shared" si="129"/>
        <v>3.5855530672680658E-2</v>
      </c>
      <c r="G779" s="10">
        <f t="shared" si="126"/>
        <v>-0.27610425970483632</v>
      </c>
      <c r="H779" s="10">
        <f t="shared" si="127"/>
        <v>0.43140912632468081</v>
      </c>
      <c r="I779" s="10">
        <f t="shared" si="130"/>
        <v>8.0046312085624294E-4</v>
      </c>
      <c r="J779" s="20">
        <f t="shared" si="128"/>
        <v>0</v>
      </c>
      <c r="K779" s="10">
        <f t="shared" si="131"/>
        <v>5.4399946069190186E-3</v>
      </c>
      <c r="L779" s="10">
        <f t="shared" si="132"/>
        <v>3.2639967641514001E-3</v>
      </c>
    </row>
    <row r="780" spans="1:12" x14ac:dyDescent="0.2">
      <c r="A780" s="14">
        <v>0.71499999999999997</v>
      </c>
      <c r="B780" s="10">
        <f t="shared" si="122"/>
        <v>0.91979336242535703</v>
      </c>
      <c r="C780" s="10">
        <f t="shared" si="123"/>
        <v>0.19775557292145174</v>
      </c>
      <c r="D780" s="10">
        <f t="shared" si="124"/>
        <v>1.8938985435390414</v>
      </c>
      <c r="E780" s="10">
        <f t="shared" si="125"/>
        <v>6.6452249461864659</v>
      </c>
      <c r="F780" s="10">
        <f t="shared" si="129"/>
        <v>3.6184194933342795E-2</v>
      </c>
      <c r="G780" s="10">
        <f t="shared" si="126"/>
        <v>-0.27282824707744113</v>
      </c>
      <c r="H780" s="10">
        <f t="shared" si="127"/>
        <v>0.43221289669088947</v>
      </c>
      <c r="I780" s="10">
        <f t="shared" si="130"/>
        <v>8.0377036620865594E-4</v>
      </c>
      <c r="J780" s="20">
        <f t="shared" si="128"/>
        <v>0</v>
      </c>
      <c r="K780" s="10">
        <f t="shared" si="131"/>
        <v>5.4600210456587916E-3</v>
      </c>
      <c r="L780" s="10">
        <f t="shared" si="132"/>
        <v>3.2760126273951862E-3</v>
      </c>
    </row>
    <row r="781" spans="1:12" x14ac:dyDescent="0.2">
      <c r="A781" s="14">
        <v>0.71599999999999997</v>
      </c>
      <c r="B781" s="10">
        <f t="shared" si="122"/>
        <v>0.92470592879943947</v>
      </c>
      <c r="C781" s="10">
        <f t="shared" si="123"/>
        <v>0.19973648062067889</v>
      </c>
      <c r="D781" s="10">
        <f t="shared" si="124"/>
        <v>1.8993787079506519</v>
      </c>
      <c r="E781" s="10">
        <f t="shared" si="125"/>
        <v>6.6817418393426715</v>
      </c>
      <c r="F781" s="10">
        <f t="shared" si="129"/>
        <v>3.6516893156205654E-2</v>
      </c>
      <c r="G781" s="10">
        <f t="shared" si="126"/>
        <v>-0.26954014843047475</v>
      </c>
      <c r="H781" s="10">
        <f t="shared" si="127"/>
        <v>0.43301999140562514</v>
      </c>
      <c r="I781" s="10">
        <f t="shared" si="130"/>
        <v>8.0709471473566774E-4</v>
      </c>
      <c r="J781" s="20">
        <f t="shared" si="128"/>
        <v>0</v>
      </c>
      <c r="K781" s="10">
        <f t="shared" si="131"/>
        <v>5.4801644116104775E-3</v>
      </c>
      <c r="L781" s="10">
        <f t="shared" si="132"/>
        <v>3.2880986469663864E-3</v>
      </c>
    </row>
    <row r="782" spans="1:12" x14ac:dyDescent="0.2">
      <c r="A782" s="14">
        <v>0.71699999999999997</v>
      </c>
      <c r="B782" s="10">
        <f t="shared" si="122"/>
        <v>0.92962894295638265</v>
      </c>
      <c r="C782" s="10">
        <f t="shared" si="123"/>
        <v>0.20172948062153501</v>
      </c>
      <c r="D782" s="10">
        <f t="shared" si="124"/>
        <v>1.9048791338634972</v>
      </c>
      <c r="E782" s="10">
        <f t="shared" si="125"/>
        <v>6.7185955278740765</v>
      </c>
      <c r="F782" s="10">
        <f t="shared" si="129"/>
        <v>3.6853688531405027E-2</v>
      </c>
      <c r="G782" s="10">
        <f t="shared" si="126"/>
        <v>-0.26623989288276761</v>
      </c>
      <c r="H782" s="10">
        <f t="shared" si="127"/>
        <v>0.433830427697249</v>
      </c>
      <c r="I782" s="10">
        <f t="shared" si="130"/>
        <v>8.1043629162386166E-4</v>
      </c>
      <c r="J782" s="20">
        <f t="shared" si="128"/>
        <v>0</v>
      </c>
      <c r="K782" s="10">
        <f t="shared" si="131"/>
        <v>5.5004259128452748E-3</v>
      </c>
      <c r="L782" s="10">
        <f t="shared" si="132"/>
        <v>3.3002555477071316E-3</v>
      </c>
    </row>
    <row r="783" spans="1:12" x14ac:dyDescent="0.2">
      <c r="A783" s="14">
        <v>0.71799999999999997</v>
      </c>
      <c r="B783" s="10">
        <f t="shared" si="122"/>
        <v>0.9345624981101105</v>
      </c>
      <c r="C783" s="10">
        <f t="shared" si="123"/>
        <v>0.20373462458800407</v>
      </c>
      <c r="D783" s="10">
        <f t="shared" si="124"/>
        <v>1.910399940637648</v>
      </c>
      <c r="E783" s="10">
        <f t="shared" si="125"/>
        <v>6.7557901733302366</v>
      </c>
      <c r="F783" s="10">
        <f t="shared" si="129"/>
        <v>3.7194645456160025E-2</v>
      </c>
      <c r="G783" s="10">
        <f t="shared" si="126"/>
        <v>-0.26292740881827714</v>
      </c>
      <c r="H783" s="10">
        <f t="shared" si="127"/>
        <v>0.43464422292052507</v>
      </c>
      <c r="I783" s="10">
        <f t="shared" si="130"/>
        <v>8.1379522327607035E-4</v>
      </c>
      <c r="J783" s="20">
        <f t="shared" si="128"/>
        <v>0</v>
      </c>
      <c r="K783" s="10">
        <f t="shared" si="131"/>
        <v>5.5208067741507882E-3</v>
      </c>
      <c r="L783" s="10">
        <f t="shared" si="132"/>
        <v>3.3124840644904729E-3</v>
      </c>
    </row>
    <row r="784" spans="1:12" x14ac:dyDescent="0.2">
      <c r="A784" s="14">
        <v>0.71899999999999997</v>
      </c>
      <c r="B784" s="10">
        <f t="shared" si="122"/>
        <v>0.93950668838730078</v>
      </c>
      <c r="C784" s="10">
        <f t="shared" si="123"/>
        <v>0.20575196475681884</v>
      </c>
      <c r="D784" s="10">
        <f t="shared" si="124"/>
        <v>1.9159412488749767</v>
      </c>
      <c r="E784" s="10">
        <f t="shared" si="125"/>
        <v>6.7933300028923451</v>
      </c>
      <c r="F784" s="10">
        <f t="shared" si="129"/>
        <v>3.7539829562108551E-2</v>
      </c>
      <c r="G784" s="10">
        <f t="shared" si="126"/>
        <v>-0.25960262387587985</v>
      </c>
      <c r="H784" s="10">
        <f t="shared" si="127"/>
        <v>0.43546139455785488</v>
      </c>
      <c r="I784" s="10">
        <f t="shared" si="130"/>
        <v>8.1717163732980547E-4</v>
      </c>
      <c r="J784" s="20">
        <f t="shared" si="128"/>
        <v>0</v>
      </c>
      <c r="K784" s="10">
        <f t="shared" si="131"/>
        <v>5.5413082373287903E-3</v>
      </c>
      <c r="L784" s="10">
        <f t="shared" si="132"/>
        <v>3.3247849423972964E-3</v>
      </c>
    </row>
    <row r="785" spans="1:12" x14ac:dyDescent="0.2">
      <c r="A785" s="14">
        <v>0.72</v>
      </c>
      <c r="B785" s="10">
        <f t="shared" si="122"/>
        <v>0.94446160884085129</v>
      </c>
      <c r="C785" s="10">
        <f t="shared" si="123"/>
        <v>0.20778155394498726</v>
      </c>
      <c r="D785" s="10">
        <f t="shared" si="124"/>
        <v>1.921503180436468</v>
      </c>
      <c r="E785" s="10">
        <f t="shared" si="125"/>
        <v>6.8312193106356593</v>
      </c>
      <c r="F785" s="10">
        <f t="shared" si="129"/>
        <v>3.7889307743314227E-2</v>
      </c>
      <c r="G785" s="10">
        <f t="shared" si="126"/>
        <v>-0.256265464938985</v>
      </c>
      <c r="H785" s="10">
        <f t="shared" si="127"/>
        <v>0.43628196022052662</v>
      </c>
      <c r="I785" s="10">
        <f t="shared" si="130"/>
        <v>8.2056566267174613E-4</v>
      </c>
      <c r="J785" s="20">
        <f t="shared" si="128"/>
        <v>0</v>
      </c>
      <c r="K785" s="10">
        <f t="shared" si="131"/>
        <v>5.5619315614912068E-3</v>
      </c>
      <c r="L785" s="10">
        <f t="shared" si="132"/>
        <v>3.3371589368948462E-3</v>
      </c>
    </row>
    <row r="786" spans="1:12" x14ac:dyDescent="0.2">
      <c r="A786" s="14">
        <v>0.72099999999999997</v>
      </c>
      <c r="B786" s="10">
        <f t="shared" si="122"/>
        <v>0.94942735546358326</v>
      </c>
      <c r="C786" s="10">
        <f t="shared" si="123"/>
        <v>0.20982344555745189</v>
      </c>
      <c r="D786" s="10">
        <f t="shared" si="124"/>
        <v>1.9270858584598367</v>
      </c>
      <c r="E786" s="10">
        <f t="shared" si="125"/>
        <v>6.8694624588207009</v>
      </c>
      <c r="F786" s="10">
        <f t="shared" si="129"/>
        <v>3.8243148185041598E-2</v>
      </c>
      <c r="G786" s="10">
        <f t="shared" si="126"/>
        <v>-0.25291585812496375</v>
      </c>
      <c r="H786" s="10">
        <f t="shared" si="127"/>
        <v>0.43710593764998135</v>
      </c>
      <c r="I786" s="10">
        <f t="shared" si="130"/>
        <v>8.239774294547253E-4</v>
      </c>
      <c r="J786" s="20">
        <f t="shared" si="128"/>
        <v>0</v>
      </c>
      <c r="K786" s="10">
        <f t="shared" si="131"/>
        <v>5.582678023368759E-3</v>
      </c>
      <c r="L786" s="10">
        <f t="shared" si="132"/>
        <v>3.3496068140212443E-3</v>
      </c>
    </row>
    <row r="787" spans="1:12" x14ac:dyDescent="0.2">
      <c r="A787" s="14">
        <v>0.72199999999999998</v>
      </c>
      <c r="B787" s="10">
        <f t="shared" si="122"/>
        <v>0.95440402520218914</v>
      </c>
      <c r="C787" s="10">
        <f t="shared" si="123"/>
        <v>0.21187769359488598</v>
      </c>
      <c r="D787" s="10">
        <f t="shared" si="124"/>
        <v>1.9326894073774601</v>
      </c>
      <c r="E787" s="10">
        <f t="shared" si="125"/>
        <v>6.9080638792139846</v>
      </c>
      <c r="F787" s="10">
        <f t="shared" si="129"/>
        <v>3.8601420393283625E-2</v>
      </c>
      <c r="G787" s="10">
        <f t="shared" si="126"/>
        <v>-0.24955372877438986</v>
      </c>
      <c r="H787" s="10">
        <f t="shared" si="127"/>
        <v>0.43793334471909662</v>
      </c>
      <c r="I787" s="10">
        <f t="shared" si="130"/>
        <v>8.2740706911527129E-4</v>
      </c>
      <c r="J787" s="20">
        <f t="shared" si="128"/>
        <v>0</v>
      </c>
      <c r="K787" s="10">
        <f t="shared" si="131"/>
        <v>5.6035489176233799E-3</v>
      </c>
      <c r="L787" s="10">
        <f t="shared" si="132"/>
        <v>3.3621293505738947E-3</v>
      </c>
    </row>
    <row r="788" spans="1:12" x14ac:dyDescent="0.2">
      <c r="A788" s="14">
        <v>0.72299999999999998</v>
      </c>
      <c r="B788" s="10">
        <f t="shared" si="122"/>
        <v>0.95939171597142614</v>
      </c>
      <c r="C788" s="10">
        <f t="shared" si="123"/>
        <v>0.21394435266162801</v>
      </c>
      <c r="D788" s="10">
        <f t="shared" si="124"/>
        <v>1.9383139529346245</v>
      </c>
      <c r="E788" s="10">
        <f t="shared" si="125"/>
        <v>6.947028074439026</v>
      </c>
      <c r="F788" s="10">
        <f t="shared" si="129"/>
        <v>3.8964195225041465E-2</v>
      </c>
      <c r="G788" s="10">
        <f t="shared" si="126"/>
        <v>-0.24617900144009114</v>
      </c>
      <c r="H788" s="10">
        <f t="shared" si="127"/>
        <v>0.43876419943348643</v>
      </c>
      <c r="I788" s="10">
        <f t="shared" si="130"/>
        <v>8.3085471438981706E-4</v>
      </c>
      <c r="J788" s="20">
        <f t="shared" si="128"/>
        <v>0</v>
      </c>
      <c r="K788" s="10">
        <f t="shared" si="131"/>
        <v>5.6245455571644065E-3</v>
      </c>
      <c r="L788" s="10">
        <f t="shared" si="132"/>
        <v>3.3747273342987216E-3</v>
      </c>
    </row>
    <row r="789" spans="1:12" x14ac:dyDescent="0.2">
      <c r="A789" s="14">
        <v>0.72399999999999998</v>
      </c>
      <c r="B789" s="10">
        <f t="shared" si="122"/>
        <v>0.96439052666856628</v>
      </c>
      <c r="C789" s="10">
        <f t="shared" si="123"/>
        <v>0.21602347797375882</v>
      </c>
      <c r="D789" s="10">
        <f t="shared" si="124"/>
        <v>1.9439596222081059</v>
      </c>
      <c r="E789" s="10">
        <f t="shared" si="125"/>
        <v>6.9863596193585034</v>
      </c>
      <c r="F789" s="10">
        <f t="shared" si="129"/>
        <v>3.9331544919477324E-2</v>
      </c>
      <c r="G789" s="10">
        <f t="shared" si="126"/>
        <v>-0.24279159987600238</v>
      </c>
      <c r="H789" s="10">
        <f t="shared" si="127"/>
        <v>0.43959851993281879</v>
      </c>
      <c r="I789" s="10">
        <f t="shared" si="130"/>
        <v>8.3432049933235275E-4</v>
      </c>
      <c r="J789" s="20">
        <f t="shared" si="128"/>
        <v>0</v>
      </c>
      <c r="K789" s="10">
        <f t="shared" si="131"/>
        <v>5.645669273481424E-3</v>
      </c>
      <c r="L789" s="10">
        <f t="shared" si="132"/>
        <v>3.38740156408876E-3</v>
      </c>
    </row>
    <row r="790" spans="1:12" x14ac:dyDescent="0.2">
      <c r="A790" s="14">
        <v>0.72499999999999998</v>
      </c>
      <c r="B790" s="10">
        <f t="shared" si="122"/>
        <v>0.96940055718810347</v>
      </c>
      <c r="C790" s="10">
        <f t="shared" si="123"/>
        <v>0.21811512536732325</v>
      </c>
      <c r="D790" s="10">
        <f t="shared" si="124"/>
        <v>1.9496265436250768</v>
      </c>
      <c r="E790" s="10">
        <f t="shared" si="125"/>
        <v>7.0260631624883159</v>
      </c>
      <c r="F790" s="10">
        <f t="shared" si="129"/>
        <v>3.9703543129812502E-2</v>
      </c>
      <c r="G790" s="10">
        <f t="shared" si="126"/>
        <v>-0.23939144702581983</v>
      </c>
      <c r="H790" s="10">
        <f t="shared" si="127"/>
        <v>0.44043632449215236</v>
      </c>
      <c r="I790" s="10">
        <f t="shared" si="130"/>
        <v>8.37804559333577E-4</v>
      </c>
      <c r="J790" s="20">
        <f t="shared" si="128"/>
        <v>0</v>
      </c>
      <c r="K790" s="10">
        <f t="shared" si="131"/>
        <v>5.6669214169708937E-3</v>
      </c>
      <c r="L790" s="10">
        <f t="shared" si="132"/>
        <v>3.4001528501825529E-3</v>
      </c>
    </row>
    <row r="791" spans="1:12" x14ac:dyDescent="0.2">
      <c r="A791" s="14">
        <v>0.72599999999999998</v>
      </c>
      <c r="B791" s="10">
        <f t="shared" si="122"/>
        <v>0.97442190843672571</v>
      </c>
      <c r="C791" s="10">
        <f t="shared" si="123"/>
        <v>0.22021935130669998</v>
      </c>
      <c r="D791" s="10">
        <f t="shared" si="124"/>
        <v>1.9553148469823571</v>
      </c>
      <c r="E791" s="10">
        <f t="shared" si="125"/>
        <v>7.0661434274444659</v>
      </c>
      <c r="F791" s="10">
        <f t="shared" si="129"/>
        <v>4.0080264956150025E-2</v>
      </c>
      <c r="G791" s="10">
        <f t="shared" si="126"/>
        <v>-0.23597846501145162</v>
      </c>
      <c r="H791" s="10">
        <f t="shared" si="127"/>
        <v>0.44127763152328858</v>
      </c>
      <c r="I791" s="10">
        <f t="shared" si="130"/>
        <v>8.4130703113621808E-4</v>
      </c>
      <c r="J791" s="20">
        <f t="shared" si="128"/>
        <v>0</v>
      </c>
      <c r="K791" s="10">
        <f t="shared" si="131"/>
        <v>5.6883033572803221E-3</v>
      </c>
      <c r="L791" s="10">
        <f t="shared" si="132"/>
        <v>3.4129820143682099E-3</v>
      </c>
    </row>
    <row r="792" spans="1:12" x14ac:dyDescent="0.2">
      <c r="A792" s="14">
        <v>0.72699999999999998</v>
      </c>
      <c r="B792" s="10">
        <f t="shared" si="122"/>
        <v>0.97945468234855959</v>
      </c>
      <c r="C792" s="10">
        <f t="shared" si="123"/>
        <v>0.222336212893123</v>
      </c>
      <c r="D792" s="10">
        <f t="shared" si="124"/>
        <v>1.9610246634660136</v>
      </c>
      <c r="E792" s="10">
        <f t="shared" si="125"/>
        <v>7.1066052144236078</v>
      </c>
      <c r="F792" s="10">
        <f t="shared" si="129"/>
        <v>4.0461786979141934E-2</v>
      </c>
      <c r="G792" s="10">
        <f t="shared" si="126"/>
        <v>-0.23255257512125788</v>
      </c>
      <c r="H792" s="10">
        <f t="shared" si="127"/>
        <v>0.44212245957614482</v>
      </c>
      <c r="I792" s="10">
        <f t="shared" si="130"/>
        <v>8.4482805285623908E-4</v>
      </c>
      <c r="J792" s="20">
        <f t="shared" si="128"/>
        <v>0</v>
      </c>
      <c r="K792" s="10">
        <f t="shared" si="131"/>
        <v>5.7098164836564269E-3</v>
      </c>
      <c r="L792" s="10">
        <f t="shared" si="132"/>
        <v>3.4258898901937396E-3</v>
      </c>
    </row>
    <row r="793" spans="1:12" x14ac:dyDescent="0.2">
      <c r="A793" s="14">
        <v>0.72799999999999998</v>
      </c>
      <c r="B793" s="10">
        <f t="shared" si="122"/>
        <v>0.98449898190068863</v>
      </c>
      <c r="C793" s="10">
        <f t="shared" si="123"/>
        <v>0.22446576787335698</v>
      </c>
      <c r="D793" s="10">
        <f t="shared" si="124"/>
        <v>1.9667561256713106</v>
      </c>
      <c r="E793" s="10">
        <f t="shared" si="125"/>
        <v>7.1474534017181703</v>
      </c>
      <c r="F793" s="10">
        <f t="shared" si="129"/>
        <v>4.0848187294562521E-2</v>
      </c>
      <c r="G793" s="10">
        <f t="shared" si="126"/>
        <v>-0.22911369779807947</v>
      </c>
      <c r="H793" s="10">
        <f t="shared" si="127"/>
        <v>0.44297082734014442</v>
      </c>
      <c r="I793" s="10">
        <f t="shared" si="130"/>
        <v>8.4836776399960234E-4</v>
      </c>
      <c r="J793" s="20">
        <f t="shared" si="128"/>
        <v>0</v>
      </c>
      <c r="K793" s="10">
        <f t="shared" si="131"/>
        <v>5.7314622052970776E-3</v>
      </c>
      <c r="L793" s="10">
        <f t="shared" si="132"/>
        <v>3.4388773231784076E-3</v>
      </c>
    </row>
    <row r="794" spans="1:12" x14ac:dyDescent="0.2">
      <c r="A794" s="14">
        <v>0.72899999999999998</v>
      </c>
      <c r="B794" s="10">
        <f t="shared" si="122"/>
        <v>0.9895549111289571</v>
      </c>
      <c r="C794" s="10">
        <f t="shared" si="123"/>
        <v>0.22660807464853117</v>
      </c>
      <c r="D794" s="10">
        <f t="shared" si="124"/>
        <v>1.9725093676230316</v>
      </c>
      <c r="E794" s="10">
        <f t="shared" si="125"/>
        <v>7.188692947267028</v>
      </c>
      <c r="F794" s="10">
        <f t="shared" si="129"/>
        <v>4.123954554885767E-2</v>
      </c>
      <c r="G794" s="10">
        <f t="shared" si="126"/>
        <v>-0.22566175262704696</v>
      </c>
      <c r="H794" s="10">
        <f t="shared" si="127"/>
        <v>0.44382275364562668</v>
      </c>
      <c r="I794" s="10">
        <f t="shared" si="130"/>
        <v>8.5192630548225345E-4</v>
      </c>
      <c r="J794" s="20">
        <f t="shared" si="128"/>
        <v>0</v>
      </c>
      <c r="K794" s="10">
        <f t="shared" si="131"/>
        <v>5.7532419517209998E-3</v>
      </c>
      <c r="L794" s="10">
        <f t="shared" si="132"/>
        <v>3.4519451710325055E-3</v>
      </c>
    </row>
    <row r="795" spans="1:12" x14ac:dyDescent="0.2">
      <c r="A795" s="14">
        <v>0.73</v>
      </c>
      <c r="B795" s="10">
        <f t="shared" si="122"/>
        <v>0.99462257514406194</v>
      </c>
      <c r="C795" s="10">
        <f t="shared" si="123"/>
        <v>0.22876319228313421</v>
      </c>
      <c r="D795" s="10">
        <f t="shared" si="124"/>
        <v>1.978284524796164</v>
      </c>
      <c r="E795" s="10">
        <f t="shared" si="125"/>
        <v>7.2303288902426237</v>
      </c>
      <c r="F795" s="10">
        <f t="shared" si="129"/>
        <v>4.1635942975595697E-2</v>
      </c>
      <c r="G795" s="10">
        <f t="shared" si="126"/>
        <v>-0.22219665832316748</v>
      </c>
      <c r="H795" s="10">
        <f t="shared" si="127"/>
        <v>0.44467825746527639</v>
      </c>
      <c r="I795" s="10">
        <f t="shared" si="130"/>
        <v>8.5550381964971667E-4</v>
      </c>
      <c r="J795" s="20">
        <f t="shared" si="128"/>
        <v>0</v>
      </c>
      <c r="K795" s="10">
        <f t="shared" si="131"/>
        <v>5.7751571731323725E-3</v>
      </c>
      <c r="L795" s="10">
        <f t="shared" si="132"/>
        <v>3.465094303879479E-3</v>
      </c>
    </row>
    <row r="796" spans="1:12" x14ac:dyDescent="0.2">
      <c r="A796" s="14">
        <v>0.73099999999999998</v>
      </c>
      <c r="B796" s="10">
        <f t="shared" si="122"/>
        <v>0.99970208014793938</v>
      </c>
      <c r="C796" s="10">
        <f t="shared" si="123"/>
        <v>0.23093118051417397</v>
      </c>
      <c r="D796" s="10">
        <f t="shared" si="124"/>
        <v>1.9840817341369692</v>
      </c>
      <c r="E796" s="10">
        <f t="shared" si="125"/>
        <v>7.2723663526755926</v>
      </c>
      <c r="F796" s="10">
        <f t="shared" si="129"/>
        <v>4.2037462432968908E-2</v>
      </c>
      <c r="G796" s="10">
        <f t="shared" si="126"/>
        <v>-0.21871833271868438</v>
      </c>
      <c r="H796" s="10">
        <f t="shared" si="127"/>
        <v>0.44553735791557209</v>
      </c>
      <c r="I796" s="10">
        <f t="shared" si="130"/>
        <v>8.5910045029569115E-4</v>
      </c>
      <c r="J796" s="20">
        <f t="shared" si="128"/>
        <v>0</v>
      </c>
      <c r="K796" s="10">
        <f t="shared" si="131"/>
        <v>5.7972093408051872E-3</v>
      </c>
      <c r="L796" s="10">
        <f t="shared" si="132"/>
        <v>3.4783256044831068E-3</v>
      </c>
    </row>
    <row r="797" spans="1:12" x14ac:dyDescent="0.2">
      <c r="A797" s="14">
        <v>0.73199999999999998</v>
      </c>
      <c r="B797" s="10">
        <f t="shared" si="122"/>
        <v>1.0047935334504547</v>
      </c>
      <c r="C797" s="10">
        <f t="shared" si="123"/>
        <v>0.23311209976050548</v>
      </c>
      <c r="D797" s="10">
        <f t="shared" si="124"/>
        <v>1.9899011340844375</v>
      </c>
      <c r="E797" s="10">
        <f t="shared" si="125"/>
        <v>7.314810541117879</v>
      </c>
      <c r="F797" s="10">
        <f t="shared" si="129"/>
        <v>4.2444188442286368E-2</v>
      </c>
      <c r="G797" s="10">
        <f t="shared" si="126"/>
        <v>-0.21522669275020334</v>
      </c>
      <c r="H797" s="10">
        <f t="shared" si="127"/>
        <v>0.44640007425825529</v>
      </c>
      <c r="I797" s="10">
        <f t="shared" si="130"/>
        <v>8.6271634268320074E-4</v>
      </c>
      <c r="J797" s="20">
        <f t="shared" si="128"/>
        <v>0</v>
      </c>
      <c r="K797" s="10">
        <f t="shared" si="131"/>
        <v>5.8193999474682734E-3</v>
      </c>
      <c r="L797" s="10">
        <f t="shared" si="132"/>
        <v>3.4916399684810362E-3</v>
      </c>
    </row>
    <row r="798" spans="1:12" x14ac:dyDescent="0.2">
      <c r="A798" s="14">
        <v>0.73299999999999998</v>
      </c>
      <c r="B798" s="10">
        <f t="shared" si="122"/>
        <v>1.0098970434864019</v>
      </c>
      <c r="C798" s="10">
        <f t="shared" si="123"/>
        <v>0.23530601113233163</v>
      </c>
      <c r="D798" s="10">
        <f t="shared" si="124"/>
        <v>1.9957428645921427</v>
      </c>
      <c r="E798" s="10">
        <f t="shared" si="125"/>
        <v>7.3576667483454319</v>
      </c>
      <c r="F798" s="10">
        <f t="shared" si="129"/>
        <v>4.28562072275529E-2</v>
      </c>
      <c r="G798" s="10">
        <f t="shared" si="126"/>
        <v>-0.2117216544455803</v>
      </c>
      <c r="H798" s="10">
        <f t="shared" si="127"/>
        <v>0.44726642590182053</v>
      </c>
      <c r="I798" s="10">
        <f t="shared" si="130"/>
        <v>8.6635164356524408E-4</v>
      </c>
      <c r="J798" s="20">
        <f t="shared" si="128"/>
        <v>0</v>
      </c>
      <c r="K798" s="10">
        <f t="shared" si="131"/>
        <v>5.8417305077052006E-3</v>
      </c>
      <c r="L798" s="10">
        <f t="shared" si="132"/>
        <v>3.5050383046230371E-3</v>
      </c>
    </row>
    <row r="799" spans="1:12" x14ac:dyDescent="0.2">
      <c r="A799" s="14">
        <v>0.73399999999999999</v>
      </c>
      <c r="B799" s="10">
        <f t="shared" si="122"/>
        <v>1.0150127198328165</v>
      </c>
      <c r="C799" s="10">
        <f t="shared" si="123"/>
        <v>0.23751297644087904</v>
      </c>
      <c r="D799" s="10">
        <f t="shared" si="124"/>
        <v>2.0016070671504975</v>
      </c>
      <c r="E799" s="10">
        <f t="shared" si="125"/>
        <v>7.4009403551015209</v>
      </c>
      <c r="F799" s="10">
        <f t="shared" si="129"/>
        <v>4.3273606756089045E-2</v>
      </c>
      <c r="G799" s="10">
        <f t="shared" si="126"/>
        <v>-0.20820313291056733</v>
      </c>
      <c r="H799" s="10">
        <f t="shared" si="127"/>
        <v>0.4481364324030247</v>
      </c>
      <c r="I799" s="10">
        <f t="shared" si="130"/>
        <v>8.70006501204168E-4</v>
      </c>
      <c r="J799" s="20">
        <f t="shared" si="128"/>
        <v>0</v>
      </c>
      <c r="K799" s="10">
        <f t="shared" si="131"/>
        <v>5.8642025583548474E-3</v>
      </c>
      <c r="L799" s="10">
        <f t="shared" si="132"/>
        <v>3.518521535012975E-3</v>
      </c>
    </row>
    <row r="800" spans="1:12" x14ac:dyDescent="0.2">
      <c r="A800" s="14">
        <v>0.73499999999999999</v>
      </c>
      <c r="B800" s="10">
        <f t="shared" si="122"/>
        <v>1.0201406732266143</v>
      </c>
      <c r="C800" s="10">
        <f t="shared" si="123"/>
        <v>0.23973305820825433</v>
      </c>
      <c r="D800" s="10">
        <f t="shared" si="124"/>
        <v>2.007493884809429</v>
      </c>
      <c r="E800" s="10">
        <f t="shared" si="125"/>
        <v>7.4446368318818683</v>
      </c>
      <c r="F800" s="10">
        <f t="shared" si="129"/>
        <v>4.3696476780347382E-2</v>
      </c>
      <c r="G800" s="10">
        <f t="shared" si="126"/>
        <v>-0.20467104231520852</v>
      </c>
      <c r="H800" s="10">
        <f t="shared" si="127"/>
        <v>0.44901011346841918</v>
      </c>
      <c r="I800" s="10">
        <f t="shared" si="130"/>
        <v>8.7368106539448265E-4</v>
      </c>
      <c r="J800" s="20">
        <f t="shared" si="128"/>
        <v>0</v>
      </c>
      <c r="K800" s="10">
        <f t="shared" si="131"/>
        <v>5.8868176589315091E-3</v>
      </c>
      <c r="L800" s="10">
        <f t="shared" si="132"/>
        <v>3.5320905953588055E-3</v>
      </c>
    </row>
    <row r="801" spans="1:12" x14ac:dyDescent="0.2">
      <c r="A801" s="14">
        <v>0.73599999999999999</v>
      </c>
      <c r="B801" s="10">
        <f t="shared" si="122"/>
        <v>1.02528101558256</v>
      </c>
      <c r="C801" s="10">
        <f t="shared" si="123"/>
        <v>0.24196631967748417</v>
      </c>
      <c r="D801" s="10">
        <f t="shared" si="124"/>
        <v>2.0134034622014738</v>
      </c>
      <c r="E801" s="10">
        <f t="shared" si="125"/>
        <v>7.4887617407626887</v>
      </c>
      <c r="F801" s="10">
        <f t="shared" si="129"/>
        <v>4.4124908880820435E-2</v>
      </c>
      <c r="G801" s="10">
        <f t="shared" si="126"/>
        <v>-0.20112529587998174</v>
      </c>
      <c r="H801" s="10">
        <f t="shared" si="127"/>
        <v>0.44988748895590297</v>
      </c>
      <c r="I801" s="10">
        <f t="shared" si="130"/>
        <v>8.7737548748378913E-4</v>
      </c>
      <c r="J801" s="20">
        <f t="shared" si="128"/>
        <v>0</v>
      </c>
      <c r="K801" s="10">
        <f t="shared" si="131"/>
        <v>5.9095773920447847E-3</v>
      </c>
      <c r="L801" s="10">
        <f t="shared" si="132"/>
        <v>3.5457464352267876E-3</v>
      </c>
    </row>
    <row r="802" spans="1:12" x14ac:dyDescent="0.2">
      <c r="A802" s="14">
        <v>0.73699999999999999</v>
      </c>
      <c r="B802" s="10">
        <f t="shared" si="122"/>
        <v>1.0304338600115719</v>
      </c>
      <c r="C802" s="10">
        <f t="shared" si="123"/>
        <v>0.24421282482274254</v>
      </c>
      <c r="D802" s="10">
        <f t="shared" si="124"/>
        <v>2.0193359455653077</v>
      </c>
      <c r="E802" s="10">
        <f t="shared" si="125"/>
        <v>7.5333207372728657</v>
      </c>
      <c r="F802" s="10">
        <f t="shared" si="129"/>
        <v>4.4558996510176918E-2</v>
      </c>
      <c r="G802" s="10">
        <f t="shared" si="126"/>
        <v>-0.19756580586168129</v>
      </c>
      <c r="H802" s="10">
        <f t="shared" si="127"/>
        <v>0.45076857887629762</v>
      </c>
      <c r="I802" s="10">
        <f t="shared" si="130"/>
        <v>8.8108992039465095E-4</v>
      </c>
      <c r="J802" s="20">
        <f t="shared" si="128"/>
        <v>0</v>
      </c>
      <c r="K802" s="10">
        <f t="shared" si="131"/>
        <v>5.9324833638338959E-3</v>
      </c>
      <c r="L802" s="10">
        <f t="shared" si="132"/>
        <v>3.559490018300443E-3</v>
      </c>
    </row>
    <row r="803" spans="1:12" x14ac:dyDescent="0.2">
      <c r="A803" s="14">
        <v>0.73799999999999999</v>
      </c>
      <c r="B803" s="10">
        <f t="shared" si="122"/>
        <v>1.0355993208393754</v>
      </c>
      <c r="C803" s="10">
        <f t="shared" si="123"/>
        <v>0.24647263835977135</v>
      </c>
      <c r="D803" s="10">
        <f t="shared" si="124"/>
        <v>2.0252914827697213</v>
      </c>
      <c r="E803" s="10">
        <f t="shared" si="125"/>
        <v>7.5783195723115222</v>
      </c>
      <c r="F803" s="10">
        <f t="shared" si="129"/>
        <v>4.4998835038656537E-2</v>
      </c>
      <c r="G803" s="10">
        <f t="shared" si="126"/>
        <v>-0.19399248353903314</v>
      </c>
      <c r="H803" s="10">
        <f t="shared" si="127"/>
        <v>0.45165340339494492</v>
      </c>
      <c r="I803" s="10">
        <f t="shared" si="130"/>
        <v>8.8482451864729805E-4</v>
      </c>
      <c r="J803" s="20">
        <f t="shared" si="128"/>
        <v>0</v>
      </c>
      <c r="K803" s="10">
        <f t="shared" si="131"/>
        <v>5.9555372044135524E-3</v>
      </c>
      <c r="L803" s="10">
        <f t="shared" si="132"/>
        <v>3.5733223226481481E-3</v>
      </c>
    </row>
    <row r="804" spans="1:12" x14ac:dyDescent="0.2">
      <c r="A804" s="14">
        <v>0.73899999999999999</v>
      </c>
      <c r="B804" s="10">
        <f t="shared" si="122"/>
        <v>1.0407775136255084</v>
      </c>
      <c r="C804" s="10">
        <f t="shared" si="123"/>
        <v>0.24874582575649651</v>
      </c>
      <c r="D804" s="10">
        <f t="shared" si="124"/>
        <v>2.0312702233380446</v>
      </c>
      <c r="E804" s="10">
        <f t="shared" si="125"/>
        <v>7.6237640941121976</v>
      </c>
      <c r="F804" s="10">
        <f t="shared" si="129"/>
        <v>4.5444521800675375E-2</v>
      </c>
      <c r="G804" s="10">
        <f t="shared" si="126"/>
        <v>-0.19040523919803901</v>
      </c>
      <c r="H804" s="10">
        <f t="shared" si="127"/>
        <v>0.45254198283332747</v>
      </c>
      <c r="I804" s="10">
        <f t="shared" si="130"/>
        <v>8.8857943838255293E-4</v>
      </c>
      <c r="J804" s="20">
        <f t="shared" si="128"/>
        <v>0</v>
      </c>
      <c r="K804" s="10">
        <f t="shared" si="131"/>
        <v>5.9787405683233708E-3</v>
      </c>
      <c r="L804" s="10">
        <f t="shared" si="132"/>
        <v>3.587244340994139E-3</v>
      </c>
    </row>
    <row r="805" spans="1:12" x14ac:dyDescent="0.2">
      <c r="A805" s="14">
        <v>0.74</v>
      </c>
      <c r="B805" s="10">
        <f t="shared" si="122"/>
        <v>1.0459685551826876</v>
      </c>
      <c r="C805" s="10">
        <f t="shared" si="123"/>
        <v>0.25103245324384504</v>
      </c>
      <c r="D805" s="10">
        <f t="shared" si="124"/>
        <v>2.0372723184730388</v>
      </c>
      <c r="E805" s="10">
        <f t="shared" si="125"/>
        <v>7.6696602502550002</v>
      </c>
      <c r="F805" s="10">
        <f t="shared" si="129"/>
        <v>4.5896156142802624E-2</v>
      </c>
      <c r="G805" s="10">
        <f t="shared" si="126"/>
        <v>-0.18680398211704263</v>
      </c>
      <c r="H805" s="10">
        <f t="shared" si="127"/>
        <v>0.45343433767071151</v>
      </c>
      <c r="I805" s="10">
        <f t="shared" si="130"/>
        <v>8.9235483738403509E-4</v>
      </c>
      <c r="J805" s="20">
        <f t="shared" si="128"/>
        <v>0</v>
      </c>
      <c r="K805" s="10">
        <f t="shared" si="131"/>
        <v>6.0020951349941676E-3</v>
      </c>
      <c r="L805" s="10">
        <f t="shared" si="132"/>
        <v>3.6012570809963729E-3</v>
      </c>
    </row>
    <row r="806" spans="1:12" x14ac:dyDescent="0.2">
      <c r="A806" s="14">
        <v>0.74099999999999999</v>
      </c>
      <c r="B806" s="10">
        <f t="shared" si="122"/>
        <v>1.051172563596549</v>
      </c>
      <c r="C806" s="10">
        <f t="shared" si="123"/>
        <v>0.25333258782676832</v>
      </c>
      <c r="D806" s="10">
        <f t="shared" si="124"/>
        <v>2.0432979210822606</v>
      </c>
      <c r="E806" s="10">
        <f t="shared" si="125"/>
        <v>7.7160140897280751</v>
      </c>
      <c r="F806" s="10">
        <f t="shared" si="129"/>
        <v>4.635383947307492E-2</v>
      </c>
      <c r="G806" s="10">
        <f t="shared" si="126"/>
        <v>-0.18318862055150947</v>
      </c>
      <c r="H806" s="10">
        <f t="shared" si="127"/>
        <v>0.45433048854581554</v>
      </c>
      <c r="I806" s="10">
        <f t="shared" si="130"/>
        <v>8.9615087510402924E-4</v>
      </c>
      <c r="J806" s="20">
        <f t="shared" si="128"/>
        <v>0</v>
      </c>
      <c r="K806" s="10">
        <f t="shared" si="131"/>
        <v>6.0256026092218029E-3</v>
      </c>
      <c r="L806" s="10">
        <f t="shared" si="132"/>
        <v>3.6153615655331595E-3</v>
      </c>
    </row>
    <row r="807" spans="1:12" x14ac:dyDescent="0.2">
      <c r="A807" s="14">
        <v>0.74199999999999999</v>
      </c>
      <c r="B807" s="10">
        <f t="shared" si="122"/>
        <v>1.056389658245763</v>
      </c>
      <c r="C807" s="10">
        <f t="shared" si="123"/>
        <v>0.25564629729547467</v>
      </c>
      <c r="D807" s="10">
        <f t="shared" si="124"/>
        <v>2.0493471858039141</v>
      </c>
      <c r="E807" s="10">
        <f t="shared" si="125"/>
        <v>7.7628317650397873</v>
      </c>
      <c r="F807" s="10">
        <f t="shared" si="129"/>
        <v>4.6817675311712215E-2</v>
      </c>
      <c r="G807" s="10">
        <f t="shared" si="126"/>
        <v>-0.17955906171851757</v>
      </c>
      <c r="H807" s="10">
        <f t="shared" si="127"/>
        <v>0.45523045625850117</v>
      </c>
      <c r="I807" s="10">
        <f t="shared" si="130"/>
        <v>8.9996771268563425E-4</v>
      </c>
      <c r="J807" s="20">
        <f t="shared" si="128"/>
        <v>0</v>
      </c>
      <c r="K807" s="10">
        <f t="shared" si="131"/>
        <v>6.0492647216534579E-3</v>
      </c>
      <c r="L807" s="10">
        <f t="shared" si="132"/>
        <v>3.6295588329919026E-3</v>
      </c>
    </row>
    <row r="808" spans="1:12" x14ac:dyDescent="0.2">
      <c r="A808" s="14">
        <v>0.74299999999999999</v>
      </c>
      <c r="B808" s="10">
        <f t="shared" si="122"/>
        <v>1.0616199598225393</v>
      </c>
      <c r="C808" s="10">
        <f t="shared" si="123"/>
        <v>0.25797365023687707</v>
      </c>
      <c r="D808" s="10">
        <f t="shared" si="124"/>
        <v>2.0554202690331946</v>
      </c>
      <c r="E808" s="10">
        <f t="shared" si="125"/>
        <v>7.8101195343830421</v>
      </c>
      <c r="F808" s="10">
        <f t="shared" si="129"/>
        <v>4.7287769343254737E-2</v>
      </c>
      <c r="G808" s="10">
        <f t="shared" si="126"/>
        <v>-0.17591521178094918</v>
      </c>
      <c r="H808" s="10">
        <f t="shared" si="127"/>
        <v>0.4561342617714888</v>
      </c>
      <c r="I808" s="10">
        <f t="shared" si="130"/>
        <v>9.0380551298763212E-4</v>
      </c>
      <c r="J808" s="20">
        <f t="shared" si="128"/>
        <v>0</v>
      </c>
      <c r="K808" s="10">
        <f t="shared" si="131"/>
        <v>6.0730832292805736E-3</v>
      </c>
      <c r="L808" s="10">
        <f t="shared" si="132"/>
        <v>3.6438499375683886E-3</v>
      </c>
    </row>
    <row r="809" spans="1:12" x14ac:dyDescent="0.2">
      <c r="A809" s="14">
        <v>0.74399999999999999</v>
      </c>
      <c r="B809" s="10">
        <f t="shared" si="122"/>
        <v>1.0668635903535293</v>
      </c>
      <c r="C809" s="10">
        <f t="shared" si="123"/>
        <v>0.26031471604626116</v>
      </c>
      <c r="D809" s="10">
        <f t="shared" si="124"/>
        <v>2.0615173289491477</v>
      </c>
      <c r="E809" s="10">
        <f t="shared" si="125"/>
        <v>7.8578837638533043</v>
      </c>
      <c r="F809" s="10">
        <f t="shared" si="129"/>
        <v>4.7764229470262265E-2</v>
      </c>
      <c r="G809" s="10">
        <f t="shared" si="126"/>
        <v>-0.17225697583137731</v>
      </c>
      <c r="H809" s="10">
        <f t="shared" si="127"/>
        <v>0.45704192621209982</v>
      </c>
      <c r="I809" s="10">
        <f t="shared" si="130"/>
        <v>9.0766444061102236E-4</v>
      </c>
      <c r="J809" s="20">
        <f t="shared" si="128"/>
        <v>0</v>
      </c>
      <c r="K809" s="10">
        <f t="shared" si="131"/>
        <v>6.0970599159531069E-3</v>
      </c>
      <c r="L809" s="10">
        <f t="shared" si="132"/>
        <v>3.6582359495718753E-3</v>
      </c>
    </row>
    <row r="810" spans="1:12" x14ac:dyDescent="0.2">
      <c r="A810" s="14">
        <v>0.745</v>
      </c>
      <c r="B810" s="10">
        <f t="shared" si="122"/>
        <v>1.0721206732211332</v>
      </c>
      <c r="C810" s="10">
        <f t="shared" si="123"/>
        <v>0.26266956493917765</v>
      </c>
      <c r="D810" s="10">
        <f t="shared" si="124"/>
        <v>2.0676385255420411</v>
      </c>
      <c r="E810" s="10">
        <f t="shared" si="125"/>
        <v>7.9061309297217681</v>
      </c>
      <c r="F810" s="10">
        <f t="shared" si="129"/>
        <v>4.8247165868463782E-2</v>
      </c>
      <c r="G810" s="10">
        <f t="shared" si="126"/>
        <v>-0.16858425787564124</v>
      </c>
      <c r="H810" s="10">
        <f t="shared" si="127"/>
        <v>0.45795347087402244</v>
      </c>
      <c r="I810" s="10">
        <f t="shared" si="130"/>
        <v>9.1154466192261419E-4</v>
      </c>
      <c r="J810" s="20">
        <f t="shared" si="128"/>
        <v>0</v>
      </c>
      <c r="K810" s="10">
        <f t="shared" si="131"/>
        <v>6.1211965928933409E-3</v>
      </c>
      <c r="L810" s="10">
        <f t="shared" si="132"/>
        <v>3.6727179557360656E-3</v>
      </c>
    </row>
    <row r="811" spans="1:12" x14ac:dyDescent="0.2">
      <c r="A811" s="14">
        <v>0.746</v>
      </c>
      <c r="B811" s="10">
        <f t="shared" si="122"/>
        <v>1.0773913331852243</v>
      </c>
      <c r="C811" s="10">
        <f t="shared" si="123"/>
        <v>0.26503826796356517</v>
      </c>
      <c r="D811" s="10">
        <f t="shared" si="124"/>
        <v>2.073784020641273</v>
      </c>
      <c r="E811" s="10">
        <f t="shared" si="125"/>
        <v>7.9548676207653379</v>
      </c>
      <c r="F811" s="10">
        <f t="shared" si="129"/>
        <v>4.8736691043569813E-2</v>
      </c>
      <c r="G811" s="10">
        <f t="shared" si="126"/>
        <v>-0.16489696081610206</v>
      </c>
      <c r="H811" s="10">
        <f t="shared" si="127"/>
        <v>0.45886891721910505</v>
      </c>
      <c r="I811" s="10">
        <f t="shared" si="130"/>
        <v>9.1544634508261558E-4</v>
      </c>
      <c r="J811" s="20">
        <f t="shared" si="128"/>
        <v>0</v>
      </c>
      <c r="K811" s="10">
        <f t="shared" si="131"/>
        <v>6.1454950992319013E-3</v>
      </c>
      <c r="L811" s="10">
        <f t="shared" si="132"/>
        <v>3.6872970595391852E-3</v>
      </c>
    </row>
    <row r="812" spans="1:12" x14ac:dyDescent="0.2">
      <c r="A812" s="14">
        <v>0.747</v>
      </c>
      <c r="B812" s="10">
        <f t="shared" si="122"/>
        <v>1.082675696405297</v>
      </c>
      <c r="C812" s="10">
        <f t="shared" si="123"/>
        <v>0.26742089701210836</v>
      </c>
      <c r="D812" s="10">
        <f t="shared" si="124"/>
        <v>2.079953977943823</v>
      </c>
      <c r="E812" s="10">
        <f t="shared" si="125"/>
        <v>8.004100540655033</v>
      </c>
      <c r="F812" s="10">
        <f t="shared" si="129"/>
        <v>4.9232919889695026E-2</v>
      </c>
      <c r="G812" s="10">
        <f t="shared" si="126"/>
        <v>-0.16119498643457203</v>
      </c>
      <c r="H812" s="10">
        <f t="shared" si="127"/>
        <v>0.45978828687917556</v>
      </c>
      <c r="I812" s="10">
        <f t="shared" si="130"/>
        <v>9.1936966007050147E-4</v>
      </c>
      <c r="J812" s="20">
        <f t="shared" si="128"/>
        <v>0</v>
      </c>
      <c r="K812" s="10">
        <f t="shared" si="131"/>
        <v>6.1699573025499888E-3</v>
      </c>
      <c r="L812" s="10">
        <f t="shared" si="132"/>
        <v>3.7019743815300266E-3</v>
      </c>
    </row>
    <row r="813" spans="1:12" x14ac:dyDescent="0.2">
      <c r="A813" s="14">
        <v>0.748</v>
      </c>
      <c r="B813" s="10">
        <f t="shared" si="122"/>
        <v>1.087973890463054</v>
      </c>
      <c r="C813" s="10">
        <f t="shared" si="123"/>
        <v>0.2698175248348374</v>
      </c>
      <c r="D813" s="10">
        <f t="shared" si="124"/>
        <v>2.0861485630432628</v>
      </c>
      <c r="E813" s="10">
        <f t="shared" si="125"/>
        <v>8.0538365104045333</v>
      </c>
      <c r="F813" s="10">
        <f t="shared" si="129"/>
        <v>4.9735969749500342E-2</v>
      </c>
      <c r="G813" s="10">
        <f t="shared" si="126"/>
        <v>-0.15747823537490832</v>
      </c>
      <c r="H813" s="10">
        <f t="shared" si="127"/>
        <v>0.46071160165788744</v>
      </c>
      <c r="I813" s="10">
        <f t="shared" si="130"/>
        <v>9.2331477871188117E-4</v>
      </c>
      <c r="J813" s="20">
        <f t="shared" si="128"/>
        <v>0</v>
      </c>
      <c r="K813" s="10">
        <f t="shared" si="131"/>
        <v>6.1945850994398199E-3</v>
      </c>
      <c r="L813" s="10">
        <f t="shared" si="132"/>
        <v>3.7167510596637088E-3</v>
      </c>
    </row>
    <row r="814" spans="1:12" x14ac:dyDescent="0.2">
      <c r="A814" s="14">
        <v>0.749</v>
      </c>
      <c r="B814" s="10">
        <f t="shared" si="122"/>
        <v>1.0932860443854355</v>
      </c>
      <c r="C814" s="10">
        <f t="shared" si="123"/>
        <v>0.27222822505197347</v>
      </c>
      <c r="D814" s="10">
        <f t="shared" si="124"/>
        <v>2.0923679434593327</v>
      </c>
      <c r="E814" s="10">
        <f t="shared" si="125"/>
        <v>8.1040824708805825</v>
      </c>
      <c r="F814" s="10">
        <f t="shared" si="129"/>
        <v>5.0245960476049234E-2</v>
      </c>
      <c r="G814" s="10">
        <f t="shared" si="126"/>
        <v>-0.15374660712526633</v>
      </c>
      <c r="H814" s="10">
        <f t="shared" si="127"/>
        <v>0.46163888353259386</v>
      </c>
      <c r="I814" s="10">
        <f t="shared" si="130"/>
        <v>9.2728187470642043E-4</v>
      </c>
      <c r="J814" s="20">
        <f t="shared" si="128"/>
        <v>0</v>
      </c>
      <c r="K814" s="10">
        <f t="shared" si="131"/>
        <v>6.2193804160699528E-3</v>
      </c>
      <c r="L814" s="10">
        <f t="shared" si="132"/>
        <v>3.7316282496419884E-3</v>
      </c>
    </row>
    <row r="815" spans="1:12" x14ac:dyDescent="0.2">
      <c r="A815" s="14">
        <v>0.75</v>
      </c>
      <c r="B815" s="10">
        <f t="shared" si="122"/>
        <v>1.0986122886681098</v>
      </c>
      <c r="C815" s="10">
        <f t="shared" si="123"/>
        <v>0.27465307216702745</v>
      </c>
      <c r="D815" s="10">
        <f t="shared" si="124"/>
        <v>2.0986122886681096</v>
      </c>
      <c r="E815" s="10">
        <f t="shared" si="125"/>
        <v>8.1548454853771339</v>
      </c>
      <c r="F815" s="10">
        <f t="shared" si="129"/>
        <v>5.0763014496551406E-2</v>
      </c>
      <c r="G815" s="10">
        <f t="shared" si="126"/>
        <v>-0.15000000000000019</v>
      </c>
      <c r="H815" s="10">
        <f t="shared" si="127"/>
        <v>0.46257015465625034</v>
      </c>
      <c r="I815" s="10">
        <f t="shared" si="130"/>
        <v>9.3127112365648523E-4</v>
      </c>
      <c r="J815" s="20">
        <f t="shared" si="128"/>
        <v>0</v>
      </c>
      <c r="K815" s="10">
        <f t="shared" si="131"/>
        <v>6.2443452087768136E-3</v>
      </c>
      <c r="L815" s="10">
        <f t="shared" si="132"/>
        <v>3.7466071252661437E-3</v>
      </c>
    </row>
    <row r="816" spans="1:12" x14ac:dyDescent="0.2">
      <c r="A816" s="14">
        <v>0.751</v>
      </c>
      <c r="B816" s="10">
        <f t="shared" si="122"/>
        <v>1.1039527552994273</v>
      </c>
      <c r="C816" s="10">
        <f t="shared" si="123"/>
        <v>0.27709214158015627</v>
      </c>
      <c r="D816" s="10">
        <f t="shared" si="124"/>
        <v>2.1048817701327662</v>
      </c>
      <c r="E816" s="10">
        <f t="shared" si="125"/>
        <v>8.2061327422550292</v>
      </c>
      <c r="F816" s="10">
        <f t="shared" si="129"/>
        <v>5.128725687789526E-2</v>
      </c>
      <c r="G816" s="10">
        <f t="shared" si="126"/>
        <v>-0.14623831112120636</v>
      </c>
      <c r="H816" s="10">
        <f t="shared" si="127"/>
        <v>0.4635054373593453</v>
      </c>
      <c r="I816" s="10">
        <f t="shared" si="130"/>
        <v>9.3528270309495287E-4</v>
      </c>
      <c r="J816" s="20">
        <f t="shared" si="128"/>
        <v>0</v>
      </c>
      <c r="K816" s="10">
        <f t="shared" si="131"/>
        <v>6.2694814646566677E-3</v>
      </c>
      <c r="L816" s="10">
        <f t="shared" si="132"/>
        <v>3.7616888787938285E-3</v>
      </c>
    </row>
    <row r="817" spans="1:12" x14ac:dyDescent="0.2">
      <c r="A817" s="14">
        <v>0.752</v>
      </c>
      <c r="B817" s="10">
        <f t="shared" si="122"/>
        <v>1.1093075777848576</v>
      </c>
      <c r="C817" s="10">
        <f t="shared" si="123"/>
        <v>0.27954550960178409</v>
      </c>
      <c r="D817" s="10">
        <f t="shared" si="124"/>
        <v>2.1111765613349451</v>
      </c>
      <c r="E817" s="10">
        <f t="shared" si="125"/>
        <v>8.2579515576491875</v>
      </c>
      <c r="F817" s="10">
        <f t="shared" si="129"/>
        <v>5.1818815394158335E-2</v>
      </c>
      <c r="G817" s="10">
        <f t="shared" si="126"/>
        <v>-0.14246143639989878</v>
      </c>
      <c r="H817" s="10">
        <f t="shared" si="127"/>
        <v>0.46444475415185926</v>
      </c>
      <c r="I817" s="10">
        <f t="shared" si="130"/>
        <v>9.3931679251396671E-4</v>
      </c>
      <c r="J817" s="20">
        <f t="shared" si="128"/>
        <v>0</v>
      </c>
      <c r="K817" s="10">
        <f t="shared" si="131"/>
        <v>6.2947912021789065E-3</v>
      </c>
      <c r="L817" s="10">
        <f t="shared" si="132"/>
        <v>3.7768747213075826E-3</v>
      </c>
    </row>
    <row r="818" spans="1:12" x14ac:dyDescent="0.2">
      <c r="A818" s="14">
        <v>0.753</v>
      </c>
      <c r="B818" s="10">
        <f t="shared" si="122"/>
        <v>1.1146768911719165</v>
      </c>
      <c r="C818" s="10">
        <f t="shared" si="123"/>
        <v>0.28201325346649486</v>
      </c>
      <c r="D818" s="10">
        <f t="shared" si="124"/>
        <v>2.1174968378067653</v>
      </c>
      <c r="E818" s="10">
        <f t="shared" si="125"/>
        <v>8.3103093782453605</v>
      </c>
      <c r="F818" s="10">
        <f t="shared" si="129"/>
        <v>5.2357820596172999E-2</v>
      </c>
      <c r="G818" s="10">
        <f t="shared" si="126"/>
        <v>-0.13866927051680658</v>
      </c>
      <c r="H818" s="10">
        <f t="shared" si="127"/>
        <v>0.46538812772525701</v>
      </c>
      <c r="I818" s="10">
        <f t="shared" si="130"/>
        <v>9.433735733977433E-4</v>
      </c>
      <c r="J818" s="20">
        <f t="shared" si="128"/>
        <v>0</v>
      </c>
      <c r="K818" s="10">
        <f t="shared" si="131"/>
        <v>6.3202764718202076E-3</v>
      </c>
      <c r="L818" s="10">
        <f t="shared" si="132"/>
        <v>3.7921658830921967E-3</v>
      </c>
    </row>
    <row r="819" spans="1:12" x14ac:dyDescent="0.2">
      <c r="A819" s="14">
        <v>0.754</v>
      </c>
      <c r="B819" s="10">
        <f t="shared" si="122"/>
        <v>1.1200608320755931</v>
      </c>
      <c r="C819" s="10">
        <f t="shared" si="123"/>
        <v>0.28449545134720067</v>
      </c>
      <c r="D819" s="10">
        <f t="shared" si="124"/>
        <v>2.12384277716346</v>
      </c>
      <c r="E819" s="10">
        <f t="shared" si="125"/>
        <v>8.3632137841283729</v>
      </c>
      <c r="F819" s="10">
        <f t="shared" si="129"/>
        <v>5.2904405883012373E-2</v>
      </c>
      <c r="G819" s="10">
        <f t="shared" si="126"/>
        <v>-0.13486170690278992</v>
      </c>
      <c r="H819" s="10">
        <f t="shared" si="127"/>
        <v>0.46633558095450522</v>
      </c>
      <c r="I819" s="10">
        <f t="shared" si="130"/>
        <v>9.4745322924821851E-4</v>
      </c>
      <c r="J819" s="20">
        <f t="shared" si="128"/>
        <v>0</v>
      </c>
      <c r="K819" s="10">
        <f t="shared" si="131"/>
        <v>6.3459393566946964E-3</v>
      </c>
      <c r="L819" s="10">
        <f t="shared" si="132"/>
        <v>3.8075636140166569E-3</v>
      </c>
    </row>
    <row r="820" spans="1:12" x14ac:dyDescent="0.2">
      <c r="A820" s="14">
        <v>0.755</v>
      </c>
      <c r="B820" s="10">
        <f t="shared" si="122"/>
        <v>1.1254595387042978</v>
      </c>
      <c r="C820" s="10">
        <f t="shared" si="123"/>
        <v>0.28699218236959595</v>
      </c>
      <c r="D820" s="10">
        <f t="shared" si="124"/>
        <v>2.1302145591366832</v>
      </c>
      <c r="E820" s="10">
        <f t="shared" si="125"/>
        <v>8.4166724917041691</v>
      </c>
      <c r="F820" s="10">
        <f t="shared" si="129"/>
        <v>5.3458707575796183E-2</v>
      </c>
      <c r="G820" s="10">
        <f t="shared" si="126"/>
        <v>-0.13103863771885599</v>
      </c>
      <c r="H820" s="10">
        <f t="shared" si="127"/>
        <v>0.46728713690012641</v>
      </c>
      <c r="I820" s="10">
        <f t="shared" si="130"/>
        <v>9.5155594562118528E-4</v>
      </c>
      <c r="J820" s="20">
        <f t="shared" si="128"/>
        <v>0</v>
      </c>
      <c r="K820" s="10">
        <f t="shared" si="131"/>
        <v>6.3717819732231895E-3</v>
      </c>
      <c r="L820" s="10">
        <f t="shared" si="132"/>
        <v>3.8230691839339359E-3</v>
      </c>
    </row>
    <row r="821" spans="1:12" x14ac:dyDescent="0.2">
      <c r="A821" s="14">
        <v>0.75600000000000001</v>
      </c>
      <c r="B821" s="10">
        <f t="shared" si="122"/>
        <v>1.1308731508863312</v>
      </c>
      <c r="C821" s="10">
        <f t="shared" si="123"/>
        <v>0.28950352662690082</v>
      </c>
      <c r="D821" s="10">
        <f t="shared" si="124"/>
        <v>2.1366123656084839</v>
      </c>
      <c r="E821" s="10">
        <f t="shared" si="125"/>
        <v>8.4706933566977352</v>
      </c>
      <c r="F821" s="10">
        <f t="shared" si="129"/>
        <v>5.4020864993566065E-2</v>
      </c>
      <c r="G821" s="10">
        <f t="shared" si="126"/>
        <v>-0.12719995383577556</v>
      </c>
      <c r="H821" s="10">
        <f t="shared" si="127"/>
        <v>0.46824281881028051</v>
      </c>
      <c r="I821" s="10">
        <f t="shared" si="130"/>
        <v>9.5568191015410475E-4</v>
      </c>
      <c r="J821" s="20">
        <f t="shared" si="128"/>
        <v>0</v>
      </c>
      <c r="K821" s="10">
        <f t="shared" si="131"/>
        <v>6.39780647180066E-3</v>
      </c>
      <c r="L821" s="10">
        <f t="shared" si="132"/>
        <v>3.8386838830804237E-3</v>
      </c>
    </row>
    <row r="822" spans="1:12" x14ac:dyDescent="0.2">
      <c r="A822" s="14">
        <v>0.75700000000000001</v>
      </c>
      <c r="B822" s="10">
        <f t="shared" si="122"/>
        <v>1.1363018100969002</v>
      </c>
      <c r="C822" s="10">
        <f t="shared" si="123"/>
        <v>0.29202956519490336</v>
      </c>
      <c r="D822" s="10">
        <f t="shared" si="124"/>
        <v>2.1430363806459738</v>
      </c>
      <c r="E822" s="10">
        <f t="shared" si="125"/>
        <v>8.5252843772292799</v>
      </c>
      <c r="F822" s="10">
        <f t="shared" si="129"/>
        <v>5.4591020531544743E-2</v>
      </c>
      <c r="G822" s="10">
        <f t="shared" si="126"/>
        <v>-0.12334554481328167</v>
      </c>
      <c r="H822" s="10">
        <f t="shared" si="127"/>
        <v>0.46920265012288059</v>
      </c>
      <c r="I822" s="10">
        <f t="shared" si="130"/>
        <v>9.5983131260007903E-4</v>
      </c>
      <c r="J822" s="20">
        <f t="shared" si="128"/>
        <v>0</v>
      </c>
      <c r="K822" s="10">
        <f t="shared" si="131"/>
        <v>6.4240150374899052E-3</v>
      </c>
      <c r="L822" s="10">
        <f t="shared" si="132"/>
        <v>3.8544090224938987E-3</v>
      </c>
    </row>
    <row r="823" spans="1:12" x14ac:dyDescent="0.2">
      <c r="A823" s="14">
        <v>0.75800000000000001</v>
      </c>
      <c r="B823" s="10">
        <f t="shared" si="122"/>
        <v>1.1417456594856852</v>
      </c>
      <c r="C823" s="10">
        <f t="shared" si="123"/>
        <v>0.2945703801473068</v>
      </c>
      <c r="D823" s="10">
        <f t="shared" si="124"/>
        <v>2.1494867905367014</v>
      </c>
      <c r="E823" s="10">
        <f t="shared" si="125"/>
        <v>8.5804536969709755</v>
      </c>
      <c r="F823" s="10">
        <f t="shared" si="129"/>
        <v>5.5169319741695588E-2</v>
      </c>
      <c r="G823" s="10">
        <f t="shared" si="126"/>
        <v>-0.11947529887884514</v>
      </c>
      <c r="H823" s="10">
        <f t="shared" si="127"/>
        <v>0.4701666544677417</v>
      </c>
      <c r="I823" s="10">
        <f t="shared" si="130"/>
        <v>9.6400434486110242E-4</v>
      </c>
      <c r="J823" s="20">
        <f t="shared" si="128"/>
        <v>-1.3877787807814457E-16</v>
      </c>
      <c r="K823" s="10">
        <f t="shared" si="131"/>
        <v>6.4504098907276486E-3</v>
      </c>
      <c r="L823" s="10">
        <f t="shared" si="132"/>
        <v>3.8702459344365225E-3</v>
      </c>
    </row>
    <row r="824" spans="1:12" x14ac:dyDescent="0.2">
      <c r="A824" s="14">
        <v>0.75900000000000001</v>
      </c>
      <c r="B824" s="10">
        <f t="shared" si="122"/>
        <v>1.1472048439049751</v>
      </c>
      <c r="C824" s="10">
        <f t="shared" si="123"/>
        <v>0.29712605457138858</v>
      </c>
      <c r="D824" s="10">
        <f t="shared" si="124"/>
        <v>2.1559637838247503</v>
      </c>
      <c r="E824" s="10">
        <f t="shared" si="125"/>
        <v>8.6362096083867375</v>
      </c>
      <c r="F824" s="10">
        <f t="shared" si="129"/>
        <v>5.5755911415761972E-2</v>
      </c>
      <c r="G824" s="10">
        <f t="shared" si="126"/>
        <v>-0.11558910290601573</v>
      </c>
      <c r="H824" s="10">
        <f t="shared" si="127"/>
        <v>0.47113485566876279</v>
      </c>
      <c r="I824" s="10">
        <f t="shared" si="130"/>
        <v>9.6820120102109053E-4</v>
      </c>
      <c r="J824" s="20">
        <f t="shared" si="128"/>
        <v>0</v>
      </c>
      <c r="K824" s="10">
        <f t="shared" si="131"/>
        <v>6.476993288048849E-3</v>
      </c>
      <c r="L824" s="10">
        <f t="shared" si="132"/>
        <v>3.8861959728294093E-3</v>
      </c>
    </row>
    <row r="825" spans="1:12" x14ac:dyDescent="0.2">
      <c r="A825" s="14">
        <v>0.76</v>
      </c>
      <c r="B825" s="10">
        <f t="shared" si="122"/>
        <v>1.1526795099383855</v>
      </c>
      <c r="C825" s="10">
        <f t="shared" si="123"/>
        <v>0.29969667258398025</v>
      </c>
      <c r="D825" s="10">
        <f t="shared" si="124"/>
        <v>2.1624675513475813</v>
      </c>
      <c r="E825" s="10">
        <f t="shared" si="125"/>
        <v>8.6925605560575789</v>
      </c>
      <c r="F825" s="10">
        <f t="shared" si="129"/>
        <v>5.6350947670841478E-2</v>
      </c>
      <c r="G825" s="10">
        <f t="shared" si="126"/>
        <v>-0.11168684239231708</v>
      </c>
      <c r="H825" s="10">
        <f t="shared" si="127"/>
        <v>0.4721072777461427</v>
      </c>
      <c r="I825" s="10">
        <f t="shared" si="130"/>
        <v>9.724220773799086E-4</v>
      </c>
      <c r="J825" s="20">
        <f t="shared" si="128"/>
        <v>1.1102230246251565E-16</v>
      </c>
      <c r="K825" s="10">
        <f t="shared" si="131"/>
        <v>6.5037675228309944E-3</v>
      </c>
      <c r="L825" s="10">
        <f t="shared" si="132"/>
        <v>3.9022605136986577E-3</v>
      </c>
    </row>
    <row r="826" spans="1:12" x14ac:dyDescent="0.2">
      <c r="A826" s="14">
        <v>0.76100000000000001</v>
      </c>
      <c r="B826" s="10">
        <f t="shared" si="122"/>
        <v>1.1581698059301753</v>
      </c>
      <c r="C826" s="10">
        <f t="shared" si="123"/>
        <v>0.30228231934777577</v>
      </c>
      <c r="D826" s="10">
        <f t="shared" si="124"/>
        <v>2.168998286273637</v>
      </c>
      <c r="E826" s="10">
        <f t="shared" si="125"/>
        <v>8.7495151400951574</v>
      </c>
      <c r="F826" s="10">
        <f t="shared" si="129"/>
        <v>5.6954584037578471E-2</v>
      </c>
      <c r="G826" s="10">
        <f t="shared" si="126"/>
        <v>-0.10776840143668376</v>
      </c>
      <c r="H826" s="10">
        <f t="shared" si="127"/>
        <v>0.47308394491863209</v>
      </c>
      <c r="I826" s="10">
        <f t="shared" si="130"/>
        <v>9.7666717248939827E-4</v>
      </c>
      <c r="J826" s="20">
        <f t="shared" si="128"/>
        <v>0</v>
      </c>
      <c r="K826" s="10">
        <f t="shared" si="131"/>
        <v>6.5307349260557146E-3</v>
      </c>
      <c r="L826" s="10">
        <f t="shared" si="132"/>
        <v>3.9184409556333177E-3</v>
      </c>
    </row>
    <row r="827" spans="1:12" x14ac:dyDescent="0.2">
      <c r="A827" s="14">
        <v>0.76200000000000001</v>
      </c>
      <c r="B827" s="10">
        <f t="shared" si="122"/>
        <v>1.1636758820151716</v>
      </c>
      <c r="C827" s="10">
        <f t="shared" si="123"/>
        <v>0.30488308108797496</v>
      </c>
      <c r="D827" s="10">
        <f t="shared" si="124"/>
        <v>2.1755561841407229</v>
      </c>
      <c r="E827" s="10">
        <f t="shared" si="125"/>
        <v>8.8070821196461999</v>
      </c>
      <c r="F827" s="10">
        <f t="shared" si="129"/>
        <v>5.7566979551042508E-2</v>
      </c>
      <c r="G827" s="10">
        <f t="shared" si="126"/>
        <v>-0.10383366271643202</v>
      </c>
      <c r="H827" s="10">
        <f t="shared" si="127"/>
        <v>0.47406488160582044</v>
      </c>
      <c r="I827" s="10">
        <f t="shared" si="130"/>
        <v>9.8093668718834959E-4</v>
      </c>
      <c r="J827" s="20">
        <f t="shared" si="128"/>
        <v>0</v>
      </c>
      <c r="K827" s="10">
        <f t="shared" si="131"/>
        <v>6.5578978670859378E-3</v>
      </c>
      <c r="L827" s="10">
        <f t="shared" si="132"/>
        <v>3.9347387202517403E-3</v>
      </c>
    </row>
    <row r="828" spans="1:12" x14ac:dyDescent="0.2">
      <c r="A828" s="14">
        <v>0.76300000000000001</v>
      </c>
      <c r="B828" s="10">
        <f t="shared" si="122"/>
        <v>1.1691978901493258</v>
      </c>
      <c r="C828" s="10">
        <f t="shared" si="123"/>
        <v>0.30749904510927273</v>
      </c>
      <c r="D828" s="10">
        <f t="shared" si="124"/>
        <v>2.1821414428951948</v>
      </c>
      <c r="E828" s="10">
        <f t="shared" si="125"/>
        <v>8.8652704164906808</v>
      </c>
      <c r="F828" s="10">
        <f t="shared" si="129"/>
        <v>5.8188296844480902E-2</v>
      </c>
      <c r="G828" s="10">
        <f t="shared" si="126"/>
        <v>-9.9882507463749076E-2</v>
      </c>
      <c r="H828" s="10">
        <f t="shared" si="127"/>
        <v>0.47505011243046019</v>
      </c>
      <c r="I828" s="10">
        <f t="shared" si="130"/>
        <v>9.8523082463974898E-4</v>
      </c>
      <c r="J828" s="20">
        <f t="shared" si="128"/>
        <v>0</v>
      </c>
      <c r="K828" s="10">
        <f t="shared" si="131"/>
        <v>6.5852587544719121E-3</v>
      </c>
      <c r="L828" s="10">
        <f t="shared" si="132"/>
        <v>3.9511552526829419E-3</v>
      </c>
    </row>
    <row r="829" spans="1:12" x14ac:dyDescent="0.2">
      <c r="A829" s="14">
        <v>0.76400000000000001</v>
      </c>
      <c r="B829" s="10">
        <f t="shared" si="122"/>
        <v>1.1747359841409104</v>
      </c>
      <c r="C829" s="10">
        <f t="shared" si="123"/>
        <v>0.31013029981320034</v>
      </c>
      <c r="D829" s="10">
        <f t="shared" si="124"/>
        <v>2.1887542629319574</v>
      </c>
      <c r="E829" s="10">
        <f t="shared" si="125"/>
        <v>8.924089118736541</v>
      </c>
      <c r="F829" s="10">
        <f t="shared" si="129"/>
        <v>5.8818702245860166E-2</v>
      </c>
      <c r="G829" s="10">
        <f t="shared" si="126"/>
        <v>-9.5914815441691365E-2</v>
      </c>
      <c r="H829" s="10">
        <f t="shared" si="127"/>
        <v>0.47603966222082694</v>
      </c>
      <c r="I829" s="10">
        <f t="shared" si="130"/>
        <v>9.895497903667505E-4</v>
      </c>
      <c r="J829" s="20">
        <f t="shared" si="128"/>
        <v>0</v>
      </c>
      <c r="K829" s="10">
        <f t="shared" si="131"/>
        <v>6.6128200367625567E-3</v>
      </c>
      <c r="L829" s="10">
        <f t="shared" si="132"/>
        <v>3.9676920220577117E-3</v>
      </c>
    </row>
    <row r="830" spans="1:12" x14ac:dyDescent="0.2">
      <c r="A830" s="14">
        <v>0.76500000000000001</v>
      </c>
      <c r="B830" s="10">
        <f t="shared" si="122"/>
        <v>1.1802903196823771</v>
      </c>
      <c r="C830" s="10">
        <f t="shared" si="123"/>
        <v>0.31277693471582996</v>
      </c>
      <c r="D830" s="10">
        <f t="shared" si="124"/>
        <v>2.1953948471353146</v>
      </c>
      <c r="E830" s="10">
        <f t="shared" si="125"/>
        <v>8.9835474846141299</v>
      </c>
      <c r="F830" s="10">
        <f t="shared" si="129"/>
        <v>5.9458365877588903E-2</v>
      </c>
      <c r="G830" s="10">
        <f t="shared" si="126"/>
        <v>-9.1930464919677185E-2</v>
      </c>
      <c r="H830" s="10">
        <f t="shared" si="127"/>
        <v>0.47703355601311953</v>
      </c>
      <c r="I830" s="10">
        <f t="shared" si="130"/>
        <v>9.9389379229258834E-4</v>
      </c>
      <c r="J830" s="20">
        <f t="shared" si="128"/>
        <v>-1.3877787807814457E-16</v>
      </c>
      <c r="K830" s="10">
        <f t="shared" si="131"/>
        <v>6.6405842033572249E-3</v>
      </c>
      <c r="L830" s="10">
        <f t="shared" si="132"/>
        <v>3.9843505220141795E-3</v>
      </c>
    </row>
    <row r="831" spans="1:12" x14ac:dyDescent="0.2">
      <c r="A831" s="14">
        <v>0.76600000000000001</v>
      </c>
      <c r="B831" s="10">
        <f t="shared" si="122"/>
        <v>1.18586105438289</v>
      </c>
      <c r="C831" s="10">
        <f t="shared" si="123"/>
        <v>0.31543904046584875</v>
      </c>
      <c r="D831" s="10">
        <f t="shared" si="124"/>
        <v>2.2020634009206708</v>
      </c>
      <c r="E831" s="10">
        <f t="shared" si="125"/>
        <v>9.0436549463732874</v>
      </c>
      <c r="F831" s="10">
        <f t="shared" si="129"/>
        <v>6.0107461759157488E-2</v>
      </c>
      <c r="G831" s="10">
        <f t="shared" si="126"/>
        <v>-8.7929332648463587E-2</v>
      </c>
      <c r="H831" s="10">
        <f t="shared" si="127"/>
        <v>0.47803181905389758</v>
      </c>
      <c r="I831" s="10">
        <f t="shared" si="130"/>
        <v>9.9826304077804684E-4</v>
      </c>
      <c r="J831" s="20">
        <f t="shared" si="128"/>
        <v>-2.2204460492503131E-16</v>
      </c>
      <c r="K831" s="10">
        <f t="shared" si="131"/>
        <v>6.668553785356135E-3</v>
      </c>
      <c r="L831" s="10">
        <f t="shared" si="132"/>
        <v>4.0011322712135977E-3</v>
      </c>
    </row>
    <row r="832" spans="1:12" x14ac:dyDescent="0.2">
      <c r="A832" s="14">
        <v>0.76700000000000002</v>
      </c>
      <c r="B832" s="10">
        <f t="shared" si="122"/>
        <v>1.1914483478015556</v>
      </c>
      <c r="C832" s="10">
        <f t="shared" si="123"/>
        <v>0.31811670886301535</v>
      </c>
      <c r="D832" s="10">
        <f t="shared" si="124"/>
        <v>2.2087601322771255</v>
      </c>
      <c r="E832" s="10">
        <f t="shared" si="125"/>
        <v>9.1044211142864651</v>
      </c>
      <c r="F832" s="10">
        <f t="shared" si="129"/>
        <v>6.0766167913177682E-2</v>
      </c>
      <c r="G832" s="10">
        <f t="shared" si="126"/>
        <v>-8.3911293834590756E-2</v>
      </c>
      <c r="H832" s="10">
        <f t="shared" si="127"/>
        <v>0.47903447680255923</v>
      </c>
      <c r="I832" s="10">
        <f t="shared" si="130"/>
        <v>1.0026577486616506E-3</v>
      </c>
      <c r="J832" s="20">
        <f t="shared" si="128"/>
        <v>-2.4980018054066022E-16</v>
      </c>
      <c r="K832" s="10">
        <f t="shared" si="131"/>
        <v>6.6967313564547659E-3</v>
      </c>
      <c r="L832" s="10">
        <f t="shared" si="132"/>
        <v>4.0180388138728318E-3</v>
      </c>
    </row>
    <row r="833" spans="1:12" x14ac:dyDescent="0.2">
      <c r="A833" s="14">
        <v>0.76800000000000002</v>
      </c>
      <c r="B833" s="10">
        <f t="shared" si="122"/>
        <v>1.1970523614813624</v>
      </c>
      <c r="C833" s="10">
        <f t="shared" si="123"/>
        <v>0.32081003287700516</v>
      </c>
      <c r="D833" s="10">
        <f t="shared" si="124"/>
        <v>2.2154852518109709</v>
      </c>
      <c r="E833" s="10">
        <f t="shared" si="125"/>
        <v>9.1658557807611327</v>
      </c>
      <c r="F833" s="10">
        <f t="shared" si="129"/>
        <v>6.1434666474667665E-2</v>
      </c>
      <c r="G833" s="10">
        <f t="shared" si="126"/>
        <v>-7.9876222114283524E-2</v>
      </c>
      <c r="H833" s="10">
        <f t="shared" si="127"/>
        <v>0.48004155493385947</v>
      </c>
      <c r="I833" s="10">
        <f t="shared" si="130"/>
        <v>1.007078131300243E-3</v>
      </c>
      <c r="J833" s="20">
        <f t="shared" si="128"/>
        <v>-2.7755575615628914E-16</v>
      </c>
      <c r="K833" s="10">
        <f t="shared" si="131"/>
        <v>6.7251195338453584E-3</v>
      </c>
      <c r="L833" s="10">
        <f t="shared" si="132"/>
        <v>4.0350717203072317E-3</v>
      </c>
    </row>
    <row r="834" spans="1:12" x14ac:dyDescent="0.2">
      <c r="A834" s="14">
        <v>0.76900000000000002</v>
      </c>
      <c r="B834" s="10">
        <f t="shared" ref="B834:B897" si="133">LN(A834/(1-A834))</f>
        <v>1.2026732589838505</v>
      </c>
      <c r="C834" s="10">
        <f t="shared" ref="C834:C897" si="134">(A834-0.5)*B834</f>
        <v>0.32351910666665579</v>
      </c>
      <c r="D834" s="10">
        <f t="shared" ref="D834:D897" si="135">$B$45+$B$46*B834+$B$47*C834</f>
        <v>2.2222389727901173</v>
      </c>
      <c r="E834" s="10">
        <f t="shared" ref="E834:E897" si="136">$B$14+EXP(D834)</f>
        <v>9.2279689245649372</v>
      </c>
      <c r="F834" s="10">
        <f t="shared" si="129"/>
        <v>6.2113143803804505E-2</v>
      </c>
      <c r="G834" s="10">
        <f t="shared" ref="G834:G897" si="137">$C$45+$C$46*B834+$C$47*C834</f>
        <v>-7.582398952679556E-2</v>
      </c>
      <c r="H834" s="10">
        <f t="shared" ref="H834:H897" si="138">$C$14+($C$15-$C$14)/(1+EXP(-G834))</f>
        <v>0.48105307934046992</v>
      </c>
      <c r="I834" s="10">
        <f t="shared" si="130"/>
        <v>1.0115244066104534E-3</v>
      </c>
      <c r="J834" s="20">
        <f t="shared" ref="J834:J897" si="139">G834-($B$22+$B$21*D834)</f>
        <v>0</v>
      </c>
      <c r="K834" s="10">
        <f t="shared" si="131"/>
        <v>6.7537209791463937E-3</v>
      </c>
      <c r="L834" s="10">
        <f t="shared" si="132"/>
        <v>4.0522325874879639E-3</v>
      </c>
    </row>
    <row r="835" spans="1:12" x14ac:dyDescent="0.2">
      <c r="A835" s="14">
        <v>0.77</v>
      </c>
      <c r="B835" s="10">
        <f t="shared" si="133"/>
        <v>1.2083112059245342</v>
      </c>
      <c r="C835" s="10">
        <f t="shared" si="134"/>
        <v>0.32624402559962429</v>
      </c>
      <c r="D835" s="10">
        <f t="shared" si="135"/>
        <v>2.2290215111894796</v>
      </c>
      <c r="E835" s="10">
        <f t="shared" si="136"/>
        <v>9.290770715167266</v>
      </c>
      <c r="F835" s="10">
        <f t="shared" ref="F835:F898" si="140">E835-E834</f>
        <v>6.2801790602328822E-2</v>
      </c>
      <c r="G835" s="10">
        <f t="shared" si="137"/>
        <v>-7.1754466487178259E-2</v>
      </c>
      <c r="H835" s="10">
        <f t="shared" si="138"/>
        <v>0.48206907613558075</v>
      </c>
      <c r="I835" s="10">
        <f t="shared" ref="I835:I898" si="141">H835-H834</f>
        <v>1.0159967951108295E-3</v>
      </c>
      <c r="J835" s="20">
        <f t="shared" si="139"/>
        <v>-1.6653345369377348E-16</v>
      </c>
      <c r="K835" s="10">
        <f t="shared" ref="K835:K898" si="142">D835-D834</f>
        <v>6.7825383993622701E-3</v>
      </c>
      <c r="L835" s="10">
        <f t="shared" ref="L835:L898" si="143">G835-G834</f>
        <v>4.069523039617301E-3</v>
      </c>
    </row>
    <row r="836" spans="1:12" x14ac:dyDescent="0.2">
      <c r="A836" s="14">
        <v>0.77100000000000002</v>
      </c>
      <c r="B836" s="10">
        <f t="shared" si="133"/>
        <v>1.2139663700090899</v>
      </c>
      <c r="C836" s="10">
        <f t="shared" si="134"/>
        <v>0.32898488627246336</v>
      </c>
      <c r="D836" s="10">
        <f t="shared" si="135"/>
        <v>2.2358330857373345</v>
      </c>
      <c r="E836" s="10">
        <f t="shared" si="136"/>
        <v>9.3542715172008375</v>
      </c>
      <c r="F836" s="10">
        <f t="shared" si="140"/>
        <v>6.3500802033571446E-2</v>
      </c>
      <c r="G836" s="10">
        <f t="shared" si="137"/>
        <v>-6.7667521758465271E-2</v>
      </c>
      <c r="H836" s="10">
        <f t="shared" si="138"/>
        <v>0.48308957165554589</v>
      </c>
      <c r="I836" s="10">
        <f t="shared" si="141"/>
        <v>1.0204955199651367E-3</v>
      </c>
      <c r="J836" s="20">
        <f t="shared" si="139"/>
        <v>0</v>
      </c>
      <c r="K836" s="10">
        <f t="shared" si="142"/>
        <v>6.8115745478549705E-3</v>
      </c>
      <c r="L836" s="10">
        <f t="shared" si="143"/>
        <v>4.0869447287129879E-3</v>
      </c>
    </row>
    <row r="837" spans="1:12" x14ac:dyDescent="0.2">
      <c r="A837" s="14">
        <v>0.77200000000000002</v>
      </c>
      <c r="B837" s="10">
        <f t="shared" si="133"/>
        <v>1.2196389210703356</v>
      </c>
      <c r="C837" s="10">
        <f t="shared" si="134"/>
        <v>0.33174178653113129</v>
      </c>
      <c r="D837" s="10">
        <f t="shared" si="135"/>
        <v>2.2426739179626898</v>
      </c>
      <c r="E837" s="10">
        <f t="shared" si="136"/>
        <v>9.4184818950472664</v>
      </c>
      <c r="F837" s="10">
        <f t="shared" si="140"/>
        <v>6.4210377846428912E-2</v>
      </c>
      <c r="G837" s="10">
        <f t="shared" si="137"/>
        <v>-6.356302242325218E-2</v>
      </c>
      <c r="H837" s="10">
        <f t="shared" si="138"/>
        <v>0.48411459246257277</v>
      </c>
      <c r="I837" s="10">
        <f t="shared" si="141"/>
        <v>1.0250208070268774E-3</v>
      </c>
      <c r="J837" s="20">
        <f t="shared" si="139"/>
        <v>-2.2204460492503131E-16</v>
      </c>
      <c r="K837" s="10">
        <f t="shared" si="142"/>
        <v>6.8408322253552534E-3</v>
      </c>
      <c r="L837" s="10">
        <f t="shared" si="143"/>
        <v>4.104499335213091E-3</v>
      </c>
    </row>
    <row r="838" spans="1:12" x14ac:dyDescent="0.2">
      <c r="A838" s="14">
        <v>0.77300000000000002</v>
      </c>
      <c r="B838" s="10">
        <f t="shared" si="133"/>
        <v>1.2253290311060194</v>
      </c>
      <c r="C838" s="10">
        <f t="shared" si="134"/>
        <v>0.33451482549194334</v>
      </c>
      <c r="D838" s="10">
        <f t="shared" si="135"/>
        <v>2.2495442322436787</v>
      </c>
      <c r="E838" s="10">
        <f t="shared" si="136"/>
        <v>9.483412617550524</v>
      </c>
      <c r="F838" s="10">
        <f t="shared" si="140"/>
        <v>6.4930722503257599E-2</v>
      </c>
      <c r="G838" s="10">
        <f t="shared" si="137"/>
        <v>-5.9440833854658703E-2</v>
      </c>
      <c r="H838" s="10">
        <f t="shared" si="138"/>
        <v>0.48514416534745669</v>
      </c>
      <c r="I838" s="10">
        <f t="shared" si="141"/>
        <v>1.0295728848839225E-3</v>
      </c>
      <c r="J838" s="20">
        <f t="shared" si="139"/>
        <v>-1.1102230246251565E-16</v>
      </c>
      <c r="K838" s="10">
        <f t="shared" si="142"/>
        <v>6.8703142809889428E-3</v>
      </c>
      <c r="L838" s="10">
        <f t="shared" si="143"/>
        <v>4.1221885685934767E-3</v>
      </c>
    </row>
    <row r="839" spans="1:12" x14ac:dyDescent="0.2">
      <c r="A839" s="14">
        <v>0.77400000000000002</v>
      </c>
      <c r="B839" s="10">
        <f t="shared" si="133"/>
        <v>1.2310368743174414</v>
      </c>
      <c r="C839" s="10">
        <f t="shared" si="134"/>
        <v>0.33730410356297896</v>
      </c>
      <c r="D839" s="10">
        <f t="shared" si="135"/>
        <v>2.2564442558570175</v>
      </c>
      <c r="E839" s="10">
        <f t="shared" si="136"/>
        <v>9.549074662862493</v>
      </c>
      <c r="F839" s="10">
        <f t="shared" si="140"/>
        <v>6.5662045311968953E-2</v>
      </c>
      <c r="G839" s="10">
        <f t="shared" si="137"/>
        <v>-5.5300819686655456E-2</v>
      </c>
      <c r="H839" s="10">
        <f t="shared" si="138"/>
        <v>0.48617831733236155</v>
      </c>
      <c r="I839" s="10">
        <f t="shared" si="141"/>
        <v>1.034151984904863E-3</v>
      </c>
      <c r="J839" s="20">
        <f t="shared" si="139"/>
        <v>-1.1102230246251565E-16</v>
      </c>
      <c r="K839" s="10">
        <f t="shared" si="142"/>
        <v>6.900023613338746E-3</v>
      </c>
      <c r="L839" s="10">
        <f t="shared" si="143"/>
        <v>4.1400141680032476E-3</v>
      </c>
    </row>
    <row r="840" spans="1:12" x14ac:dyDescent="0.2">
      <c r="A840" s="14">
        <v>0.77500000000000002</v>
      </c>
      <c r="B840" s="10">
        <f t="shared" si="133"/>
        <v>1.2367626271489272</v>
      </c>
      <c r="C840" s="10">
        <f t="shared" si="134"/>
        <v>0.340109722465955</v>
      </c>
      <c r="D840" s="10">
        <f t="shared" si="135"/>
        <v>2.263374219028544</v>
      </c>
      <c r="E840" s="10">
        <f t="shared" si="136"/>
        <v>9.6154792234248507</v>
      </c>
      <c r="F840" s="10">
        <f t="shared" si="140"/>
        <v>6.6404560562357773E-2</v>
      </c>
      <c r="G840" s="10">
        <f t="shared" si="137"/>
        <v>-5.1142841783739568E-2</v>
      </c>
      <c r="H840" s="10">
        <f t="shared" si="138"/>
        <v>0.48721707567364786</v>
      </c>
      <c r="I840" s="10">
        <f t="shared" si="141"/>
        <v>1.0387583412863055E-3</v>
      </c>
      <c r="J840" s="20">
        <f t="shared" si="139"/>
        <v>-1.6653345369377348E-16</v>
      </c>
      <c r="K840" s="10">
        <f t="shared" si="142"/>
        <v>6.9299631715264987E-3</v>
      </c>
      <c r="L840" s="10">
        <f t="shared" si="143"/>
        <v>4.1579779029158881E-3</v>
      </c>
    </row>
    <row r="841" spans="1:12" x14ac:dyDescent="0.2">
      <c r="A841" s="14">
        <v>0.77600000000000002</v>
      </c>
      <c r="B841" s="10">
        <f t="shared" si="133"/>
        <v>1.242506468328179</v>
      </c>
      <c r="C841" s="10">
        <f t="shared" si="134"/>
        <v>0.34293178525857743</v>
      </c>
      <c r="D841" s="10">
        <f t="shared" si="135"/>
        <v>2.2703343549848745</v>
      </c>
      <c r="E841" s="10">
        <f t="shared" si="136"/>
        <v>9.6826377110917949</v>
      </c>
      <c r="F841" s="10">
        <f t="shared" si="140"/>
        <v>6.7158487666944211E-2</v>
      </c>
      <c r="G841" s="10">
        <f t="shared" si="137"/>
        <v>-4.6966760209941255E-2</v>
      </c>
      <c r="H841" s="10">
        <f t="shared" si="138"/>
        <v>0.48826046786474908</v>
      </c>
      <c r="I841" s="10">
        <f t="shared" si="141"/>
        <v>1.0433921911012223E-3</v>
      </c>
      <c r="J841" s="20">
        <f t="shared" si="139"/>
        <v>0</v>
      </c>
      <c r="K841" s="10">
        <f t="shared" si="142"/>
        <v>6.9601359563304932E-3</v>
      </c>
      <c r="L841" s="10">
        <f t="shared" si="143"/>
        <v>4.1760815737983126E-3</v>
      </c>
    </row>
    <row r="842" spans="1:12" x14ac:dyDescent="0.2">
      <c r="A842" s="14">
        <v>0.77700000000000002</v>
      </c>
      <c r="B842" s="10">
        <f t="shared" si="133"/>
        <v>1.2482685789075287</v>
      </c>
      <c r="C842" s="10">
        <f t="shared" si="134"/>
        <v>0.34577039635738549</v>
      </c>
      <c r="D842" s="10">
        <f t="shared" si="135"/>
        <v>2.2773249000062044</v>
      </c>
      <c r="E842" s="10">
        <f t="shared" si="136"/>
        <v>9.7505617623981866</v>
      </c>
      <c r="F842" s="10">
        <f t="shared" si="140"/>
        <v>6.7924051306391675E-2</v>
      </c>
      <c r="G842" s="10">
        <f t="shared" si="137"/>
        <v>-4.2772433197143356E-2</v>
      </c>
      <c r="H842" s="10">
        <f t="shared" si="138"/>
        <v>0.48930852163909655</v>
      </c>
      <c r="I842" s="10">
        <f t="shared" si="141"/>
        <v>1.0480537743474683E-3</v>
      </c>
      <c r="J842" s="20">
        <f t="shared" si="139"/>
        <v>-5.5511151231257827E-17</v>
      </c>
      <c r="K842" s="10">
        <f t="shared" si="142"/>
        <v>6.990545021329897E-3</v>
      </c>
      <c r="L842" s="10">
        <f t="shared" si="143"/>
        <v>4.1943270127978993E-3</v>
      </c>
    </row>
    <row r="843" spans="1:12" x14ac:dyDescent="0.2">
      <c r="A843" s="14">
        <v>0.77800000000000002</v>
      </c>
      <c r="B843" s="10">
        <f t="shared" si="133"/>
        <v>1.2540491423061124</v>
      </c>
      <c r="C843" s="10">
        <f t="shared" si="134"/>
        <v>0.34862566156109931</v>
      </c>
      <c r="D843" s="10">
        <f t="shared" si="135"/>
        <v>2.2843460934802833</v>
      </c>
      <c r="E843" s="10">
        <f t="shared" si="136"/>
        <v>9.8192632439779217</v>
      </c>
      <c r="F843" s="10">
        <f t="shared" si="140"/>
        <v>6.8701481579735102E-2</v>
      </c>
      <c r="G843" s="10">
        <f t="shared" si="137"/>
        <v>-3.8559717112695957E-2</v>
      </c>
      <c r="H843" s="10">
        <f t="shared" si="138"/>
        <v>0.49036126497309579</v>
      </c>
      <c r="I843" s="10">
        <f t="shared" si="141"/>
        <v>1.0527433339992398E-3</v>
      </c>
      <c r="J843" s="20">
        <f t="shared" si="139"/>
        <v>-5.5511151231257827E-17</v>
      </c>
      <c r="K843" s="10">
        <f t="shared" si="142"/>
        <v>7.0211934740789239E-3</v>
      </c>
      <c r="L843" s="10">
        <f t="shared" si="143"/>
        <v>4.2127160844473988E-3</v>
      </c>
    </row>
    <row r="844" spans="1:12" x14ac:dyDescent="0.2">
      <c r="A844" s="14">
        <v>0.77900000000000003</v>
      </c>
      <c r="B844" s="10">
        <f t="shared" si="133"/>
        <v>1.2598483443529955</v>
      </c>
      <c r="C844" s="10">
        <f t="shared" si="134"/>
        <v>0.35149768807448578</v>
      </c>
      <c r="D844" s="10">
        <f t="shared" si="135"/>
        <v>2.2913981779575967</v>
      </c>
      <c r="E844" s="10">
        <f t="shared" si="136"/>
        <v>9.8887542581374834</v>
      </c>
      <c r="F844" s="10">
        <f t="shared" si="140"/>
        <v>6.9491014159561715E-2</v>
      </c>
      <c r="G844" s="10">
        <f t="shared" si="137"/>
        <v>-3.4328466426307908E-2</v>
      </c>
      <c r="H844" s="10">
        <f t="shared" si="138"/>
        <v>0.49141872608915388</v>
      </c>
      <c r="I844" s="10">
        <f t="shared" si="141"/>
        <v>1.0574611160580893E-3</v>
      </c>
      <c r="J844" s="20">
        <f t="shared" si="139"/>
        <v>0</v>
      </c>
      <c r="K844" s="10">
        <f t="shared" si="142"/>
        <v>7.052084477313425E-3</v>
      </c>
      <c r="L844" s="10">
        <f t="shared" si="143"/>
        <v>4.2312506863880495E-3</v>
      </c>
    </row>
    <row r="845" spans="1:12" x14ac:dyDescent="0.2">
      <c r="A845" s="14">
        <v>0.78</v>
      </c>
      <c r="B845" s="10">
        <f t="shared" si="133"/>
        <v>1.2656663733312761</v>
      </c>
      <c r="C845" s="10">
        <f t="shared" si="134"/>
        <v>0.35438658453275734</v>
      </c>
      <c r="D845" s="10">
        <f t="shared" si="135"/>
        <v>2.2984813992077902</v>
      </c>
      <c r="E845" s="10">
        <f t="shared" si="136"/>
        <v>9.9590471485898941</v>
      </c>
      <c r="F845" s="10">
        <f t="shared" si="140"/>
        <v>7.0292890452410717E-2</v>
      </c>
      <c r="G845" s="10">
        <f t="shared" si="137"/>
        <v>-3.0078533676192065E-2</v>
      </c>
      <c r="H845" s="10">
        <f t="shared" si="138"/>
        <v>0.4924809334587591</v>
      </c>
      <c r="I845" s="10">
        <f t="shared" si="141"/>
        <v>1.062207369605217E-3</v>
      </c>
      <c r="J845" s="20">
        <f t="shared" si="139"/>
        <v>-3.3306690738754696E-16</v>
      </c>
      <c r="K845" s="10">
        <f t="shared" si="142"/>
        <v>7.0832212501934499E-3</v>
      </c>
      <c r="L845" s="10">
        <f t="shared" si="143"/>
        <v>4.2499327501158424E-3</v>
      </c>
    </row>
    <row r="846" spans="1:12" x14ac:dyDescent="0.2">
      <c r="A846" s="14">
        <v>0.78100000000000003</v>
      </c>
      <c r="B846" s="10">
        <f t="shared" si="133"/>
        <v>1.2715034200231854</v>
      </c>
      <c r="C846" s="10">
        <f t="shared" si="134"/>
        <v>0.35729246102651513</v>
      </c>
      <c r="D846" s="10">
        <f t="shared" si="135"/>
        <v>2.3055960062773604</v>
      </c>
      <c r="E846" s="10">
        <f t="shared" si="136"/>
        <v>10.030154506354297</v>
      </c>
      <c r="F846" s="10">
        <f t="shared" si="140"/>
        <v>7.1107357764402579E-2</v>
      </c>
      <c r="G846" s="10">
        <f t="shared" si="137"/>
        <v>-2.5809769434449625E-2</v>
      </c>
      <c r="H846" s="10">
        <f t="shared" si="138"/>
        <v>0.49354791580561547</v>
      </c>
      <c r="I846" s="10">
        <f t="shared" si="141"/>
        <v>1.0669823468563711E-3</v>
      </c>
      <c r="J846" s="20">
        <f t="shared" si="139"/>
        <v>5.5511151231257827E-17</v>
      </c>
      <c r="K846" s="10">
        <f t="shared" si="142"/>
        <v>7.1146070695702335E-3</v>
      </c>
      <c r="L846" s="10">
        <f t="shared" si="143"/>
        <v>4.2687642417424398E-3</v>
      </c>
    </row>
    <row r="847" spans="1:12" x14ac:dyDescent="0.2">
      <c r="A847" s="14">
        <v>0.78200000000000003</v>
      </c>
      <c r="B847" s="10">
        <f t="shared" si="133"/>
        <v>1.2773596777562222</v>
      </c>
      <c r="C847" s="10">
        <f t="shared" si="134"/>
        <v>0.36021542912725468</v>
      </c>
      <c r="D847" s="10">
        <f t="shared" si="135"/>
        <v>2.3127422515486638</v>
      </c>
      <c r="E847" s="10">
        <f t="shared" si="136"/>
        <v>10.102089175826915</v>
      </c>
      <c r="F847" s="10">
        <f t="shared" si="140"/>
        <v>7.1934669472618396E-2</v>
      </c>
      <c r="G847" s="10">
        <f t="shared" si="137"/>
        <v>-2.1522022271667884E-2</v>
      </c>
      <c r="H847" s="10">
        <f t="shared" si="138"/>
        <v>0.49461970210883177</v>
      </c>
      <c r="I847" s="10">
        <f t="shared" si="141"/>
        <v>1.0717863032163044E-3</v>
      </c>
      <c r="J847" s="20">
        <f t="shared" si="139"/>
        <v>-2.2204460492503131E-16</v>
      </c>
      <c r="K847" s="10">
        <f t="shared" si="142"/>
        <v>7.1462452713033642E-3</v>
      </c>
      <c r="L847" s="10">
        <f t="shared" si="143"/>
        <v>4.287747162781741E-3</v>
      </c>
    </row>
    <row r="848" spans="1:12" x14ac:dyDescent="0.2">
      <c r="A848" s="14">
        <v>0.78300000000000003</v>
      </c>
      <c r="B848" s="10">
        <f t="shared" si="133"/>
        <v>1.2832353424503438</v>
      </c>
      <c r="C848" s="10">
        <f t="shared" si="134"/>
        <v>0.36315560191344731</v>
      </c>
      <c r="D848" s="10">
        <f t="shared" si="135"/>
        <v>2.3199203908002568</v>
      </c>
      <c r="E848" s="10">
        <f t="shared" si="136"/>
        <v>10.174864261028928</v>
      </c>
      <c r="F848" s="10">
        <f t="shared" si="140"/>
        <v>7.277508520201259E-2</v>
      </c>
      <c r="G848" s="10">
        <f t="shared" si="137"/>
        <v>-1.7215138720711898E-2</v>
      </c>
      <c r="H848" s="10">
        <f t="shared" si="138"/>
        <v>0.49569632160616678</v>
      </c>
      <c r="I848" s="10">
        <f t="shared" si="141"/>
        <v>1.0766194973350074E-3</v>
      </c>
      <c r="J848" s="20">
        <f t="shared" si="139"/>
        <v>-1.1102230246251565E-16</v>
      </c>
      <c r="K848" s="10">
        <f t="shared" si="142"/>
        <v>7.178139251593052E-3</v>
      </c>
      <c r="L848" s="10">
        <f t="shared" si="143"/>
        <v>4.3068835509559866E-3</v>
      </c>
    </row>
    <row r="849" spans="1:12" x14ac:dyDescent="0.2">
      <c r="A849" s="14">
        <v>0.78400000000000003</v>
      </c>
      <c r="B849" s="10">
        <f t="shared" si="133"/>
        <v>1.289130612666243</v>
      </c>
      <c r="C849" s="10">
        <f t="shared" si="134"/>
        <v>0.36611309399721303</v>
      </c>
      <c r="D849" s="10">
        <f t="shared" si="135"/>
        <v>2.3271306832686287</v>
      </c>
      <c r="E849" s="10">
        <f t="shared" si="136"/>
        <v>10.248493132037492</v>
      </c>
      <c r="F849" s="10">
        <f t="shared" si="140"/>
        <v>7.362887100856419E-2</v>
      </c>
      <c r="G849" s="10">
        <f t="shared" si="137"/>
        <v>-1.2888963239688994E-2</v>
      </c>
      <c r="H849" s="10">
        <f t="shared" si="138"/>
        <v>0.49677780379733316</v>
      </c>
      <c r="I849" s="10">
        <f t="shared" si="141"/>
        <v>1.081482191166383E-3</v>
      </c>
      <c r="J849" s="20">
        <f t="shared" si="139"/>
        <v>-3.0531133177191805E-16</v>
      </c>
      <c r="K849" s="10">
        <f t="shared" si="142"/>
        <v>7.2102924683719039E-3</v>
      </c>
      <c r="L849" s="10">
        <f t="shared" si="143"/>
        <v>4.3261754810229036E-3</v>
      </c>
    </row>
    <row r="850" spans="1:12" x14ac:dyDescent="0.2">
      <c r="A850" s="14">
        <v>0.78500000000000003</v>
      </c>
      <c r="B850" s="10">
        <f t="shared" si="133"/>
        <v>1.2950456896547458</v>
      </c>
      <c r="C850" s="10">
        <f t="shared" si="134"/>
        <v>0.36908802155160259</v>
      </c>
      <c r="D850" s="10">
        <f t="shared" si="135"/>
        <v>2.3343733917113436</v>
      </c>
      <c r="E850" s="10">
        <f t="shared" si="136"/>
        <v>10.322989431605924</v>
      </c>
      <c r="F850" s="10">
        <f t="shared" si="140"/>
        <v>7.4496299568432178E-2</v>
      </c>
      <c r="G850" s="10">
        <f t="shared" si="137"/>
        <v>-8.5433381740599446E-3</v>
      </c>
      <c r="H850" s="10">
        <f t="shared" si="138"/>
        <v>0.49786417844735947</v>
      </c>
      <c r="I850" s="10">
        <f t="shared" si="141"/>
        <v>1.0863746500263116E-3</v>
      </c>
      <c r="J850" s="20">
        <f t="shared" si="139"/>
        <v>-3.3306690738754696E-16</v>
      </c>
      <c r="K850" s="10">
        <f t="shared" si="142"/>
        <v>7.2427084427149069E-3</v>
      </c>
      <c r="L850" s="10">
        <f t="shared" si="143"/>
        <v>4.3456250656290496E-3</v>
      </c>
    </row>
    <row r="851" spans="1:12" x14ac:dyDescent="0.2">
      <c r="A851" s="14">
        <v>0.78600000000000003</v>
      </c>
      <c r="B851" s="10">
        <f t="shared" si="133"/>
        <v>1.3009807774073552</v>
      </c>
      <c r="C851" s="10">
        <f t="shared" si="134"/>
        <v>0.37208050233850365</v>
      </c>
      <c r="D851" s="10">
        <f t="shared" si="135"/>
        <v>2.3416487824716485</v>
      </c>
      <c r="E851" s="10">
        <f t="shared" si="136"/>
        <v>10.398367081979695</v>
      </c>
      <c r="F851" s="10">
        <f t="shared" si="140"/>
        <v>7.5377650373770422E-2</v>
      </c>
      <c r="G851" s="10">
        <f t="shared" si="137"/>
        <v>-4.1781037178770519E-3</v>
      </c>
      <c r="H851" s="10">
        <f t="shared" si="138"/>
        <v>0.49895547559001308</v>
      </c>
      <c r="I851" s="10">
        <f t="shared" si="141"/>
        <v>1.0912971426536022E-3</v>
      </c>
      <c r="J851" s="20">
        <f t="shared" si="139"/>
        <v>-3.0531133177191805E-16</v>
      </c>
      <c r="K851" s="10">
        <f t="shared" si="142"/>
        <v>7.2753907603049228E-3</v>
      </c>
      <c r="L851" s="10">
        <f t="shared" si="143"/>
        <v>4.3652344561828926E-3</v>
      </c>
    </row>
    <row r="852" spans="1:12" x14ac:dyDescent="0.2">
      <c r="A852" s="14">
        <v>0.78700000000000003</v>
      </c>
      <c r="B852" s="10">
        <f t="shared" si="133"/>
        <v>1.3069360827079783</v>
      </c>
      <c r="C852" s="10">
        <f t="shared" si="134"/>
        <v>0.3750906557371898</v>
      </c>
      <c r="D852" s="10">
        <f t="shared" si="135"/>
        <v>2.3489571255445743</v>
      </c>
      <c r="E852" s="10">
        <f t="shared" si="136"/>
        <v>10.474640291914776</v>
      </c>
      <c r="F852" s="10">
        <f t="shared" si="140"/>
        <v>7.6273209935081354E-2</v>
      </c>
      <c r="G852" s="10">
        <f t="shared" si="137"/>
        <v>2.0690212587856638E-4</v>
      </c>
      <c r="H852" s="10">
        <f t="shared" si="138"/>
        <v>0.50005172553128518</v>
      </c>
      <c r="I852" s="10">
        <f t="shared" si="141"/>
        <v>1.0962499412721094E-3</v>
      </c>
      <c r="J852" s="20">
        <f t="shared" si="139"/>
        <v>-2.7755575615628914E-17</v>
      </c>
      <c r="K852" s="10">
        <f t="shared" si="142"/>
        <v>7.3083430729257159E-3</v>
      </c>
      <c r="L852" s="10">
        <f t="shared" si="143"/>
        <v>4.3850058437556183E-3</v>
      </c>
    </row>
    <row r="853" spans="1:12" x14ac:dyDescent="0.2">
      <c r="A853" s="14">
        <v>0.78800000000000003</v>
      </c>
      <c r="B853" s="10">
        <f t="shared" si="133"/>
        <v>1.312911815185867</v>
      </c>
      <c r="C853" s="10">
        <f t="shared" si="134"/>
        <v>0.37811860277352971</v>
      </c>
      <c r="D853" s="10">
        <f t="shared" si="135"/>
        <v>2.3562986946445825</v>
      </c>
      <c r="E853" s="10">
        <f t="shared" si="136"/>
        <v>10.55182356390549</v>
      </c>
      <c r="F853" s="10">
        <f t="shared" si="140"/>
        <v>7.7183271990714175E-2</v>
      </c>
      <c r="G853" s="10">
        <f t="shared" si="137"/>
        <v>4.6118435858835405E-3</v>
      </c>
      <c r="H853" s="10">
        <f t="shared" si="138"/>
        <v>0.50115295885293842</v>
      </c>
      <c r="I853" s="10">
        <f t="shared" si="141"/>
        <v>1.1012333216532388E-3</v>
      </c>
      <c r="J853" s="20">
        <f t="shared" si="139"/>
        <v>-1.9428902930940239E-16</v>
      </c>
      <c r="K853" s="10">
        <f t="shared" si="142"/>
        <v>7.3415691000082717E-3</v>
      </c>
      <c r="L853" s="10">
        <f t="shared" si="143"/>
        <v>4.4049414600049741E-3</v>
      </c>
    </row>
    <row r="854" spans="1:12" x14ac:dyDescent="0.2">
      <c r="A854" s="14">
        <v>0.78900000000000003</v>
      </c>
      <c r="B854" s="10">
        <f t="shared" si="133"/>
        <v>1.3189081873698081</v>
      </c>
      <c r="C854" s="10">
        <f t="shared" si="134"/>
        <v>0.38116446614987459</v>
      </c>
      <c r="D854" s="10">
        <f t="shared" si="135"/>
        <v>2.3636737672747938</v>
      </c>
      <c r="E854" s="10">
        <f t="shared" si="136"/>
        <v>10.629931701628974</v>
      </c>
      <c r="F854" s="10">
        <f t="shared" si="140"/>
        <v>7.8108137723484461E-2</v>
      </c>
      <c r="G854" s="10">
        <f t="shared" si="137"/>
        <v>9.0368871640104098E-3</v>
      </c>
      <c r="H854" s="10">
        <f t="shared" si="138"/>
        <v>0.50225920641612043</v>
      </c>
      <c r="I854" s="10">
        <f t="shared" si="141"/>
        <v>1.1062475631820057E-3</v>
      </c>
      <c r="J854" s="20">
        <f t="shared" si="139"/>
        <v>-1.1102230246251565E-16</v>
      </c>
      <c r="K854" s="10">
        <f t="shared" si="142"/>
        <v>7.3750726302113101E-3</v>
      </c>
      <c r="L854" s="10">
        <f t="shared" si="143"/>
        <v>4.4250435781268693E-3</v>
      </c>
    </row>
    <row r="855" spans="1:12" x14ac:dyDescent="0.2">
      <c r="A855" s="14">
        <v>0.79</v>
      </c>
      <c r="B855" s="10">
        <f t="shared" si="133"/>
        <v>1.3249254147435987</v>
      </c>
      <c r="C855" s="10">
        <f t="shared" si="134"/>
        <v>0.38422837027564366</v>
      </c>
      <c r="D855" s="10">
        <f t="shared" si="135"/>
        <v>2.3710826247978476</v>
      </c>
      <c r="E855" s="10">
        <f t="shared" si="136"/>
        <v>10.708979817613903</v>
      </c>
      <c r="F855" s="10">
        <f t="shared" si="140"/>
        <v>7.9048115984928558E-2</v>
      </c>
      <c r="G855" s="10">
        <f t="shared" si="137"/>
        <v>1.3482201677842476E-2</v>
      </c>
      <c r="H855" s="10">
        <f t="shared" si="138"/>
        <v>0.50337049936504297</v>
      </c>
      <c r="I855" s="10">
        <f t="shared" si="141"/>
        <v>1.1112929489225376E-3</v>
      </c>
      <c r="J855" s="20">
        <f t="shared" si="139"/>
        <v>-1.6653345369377348E-16</v>
      </c>
      <c r="K855" s="10">
        <f t="shared" si="142"/>
        <v>7.4088575230537579E-3</v>
      </c>
      <c r="L855" s="10">
        <f t="shared" si="143"/>
        <v>4.445314513832066E-3</v>
      </c>
    </row>
    <row r="856" spans="1:12" x14ac:dyDescent="0.2">
      <c r="A856" s="14">
        <v>0.79100000000000004</v>
      </c>
      <c r="B856" s="10">
        <f t="shared" si="133"/>
        <v>1.3309637158028431</v>
      </c>
      <c r="C856" s="10">
        <f t="shared" si="134"/>
        <v>0.38731044129862741</v>
      </c>
      <c r="D856" s="10">
        <f t="shared" si="135"/>
        <v>2.3785255525084352</v>
      </c>
      <c r="E856" s="10">
        <f t="shared" si="136"/>
        <v>10.788983341141238</v>
      </c>
      <c r="F856" s="10">
        <f t="shared" si="140"/>
        <v>8.0003523527334863E-2</v>
      </c>
      <c r="G856" s="10">
        <f t="shared" si="137"/>
        <v>1.7947958304195044E-2</v>
      </c>
      <c r="H856" s="10">
        <f t="shared" si="138"/>
        <v>0.50448686913072904</v>
      </c>
      <c r="I856" s="10">
        <f t="shared" si="141"/>
        <v>1.116369765686076E-3</v>
      </c>
      <c r="J856" s="20">
        <f t="shared" si="139"/>
        <v>-2.2204460492503131E-16</v>
      </c>
      <c r="K856" s="10">
        <f t="shared" si="142"/>
        <v>7.4429277105876324E-3</v>
      </c>
      <c r="L856" s="10">
        <f t="shared" si="143"/>
        <v>4.4657566263525683E-3</v>
      </c>
    </row>
    <row r="857" spans="1:12" x14ac:dyDescent="0.2">
      <c r="A857" s="14">
        <v>0.79200000000000004</v>
      </c>
      <c r="B857" s="10">
        <f t="shared" si="133"/>
        <v>1.3370233121131081</v>
      </c>
      <c r="C857" s="10">
        <f t="shared" si="134"/>
        <v>0.39041080713702764</v>
      </c>
      <c r="D857" s="10">
        <f t="shared" si="135"/>
        <v>2.3860028397075608</v>
      </c>
      <c r="E857" s="10">
        <f t="shared" si="136"/>
        <v>10.86995802638523</v>
      </c>
      <c r="F857" s="10">
        <f t="shared" si="140"/>
        <v>8.0974685243992539E-2</v>
      </c>
      <c r="G857" s="10">
        <f t="shared" si="137"/>
        <v>2.2434330623670506E-2</v>
      </c>
      <c r="H857" s="10">
        <f t="shared" si="138"/>
        <v>0.50560834743483041</v>
      </c>
      <c r="I857" s="10">
        <f t="shared" si="141"/>
        <v>1.1214783041013643E-3</v>
      </c>
      <c r="J857" s="20">
        <f t="shared" si="139"/>
        <v>0</v>
      </c>
      <c r="K857" s="10">
        <f t="shared" si="142"/>
        <v>7.4772871991255485E-3</v>
      </c>
      <c r="L857" s="10">
        <f t="shared" si="143"/>
        <v>4.4863723194754623E-3</v>
      </c>
    </row>
    <row r="858" spans="1:12" x14ac:dyDescent="0.2">
      <c r="A858" s="14">
        <v>0.79300000000000004</v>
      </c>
      <c r="B858" s="10">
        <f t="shared" si="133"/>
        <v>1.3431044283694791</v>
      </c>
      <c r="C858" s="10">
        <f t="shared" si="134"/>
        <v>0.39352959751225741</v>
      </c>
      <c r="D858" s="10">
        <f t="shared" si="135"/>
        <v>2.3935147797785716</v>
      </c>
      <c r="E858" s="10">
        <f t="shared" si="136"/>
        <v>10.951919960803098</v>
      </c>
      <c r="F858" s="10">
        <f t="shared" si="140"/>
        <v>8.1961934417867255E-2</v>
      </c>
      <c r="G858" s="10">
        <f t="shared" si="137"/>
        <v>2.6941494666276988E-2</v>
      </c>
      <c r="H858" s="10">
        <f t="shared" si="138"/>
        <v>0.50673496629351544</v>
      </c>
      <c r="I858" s="10">
        <f t="shared" si="141"/>
        <v>1.1266188586850356E-3</v>
      </c>
      <c r="J858" s="20">
        <f t="shared" si="139"/>
        <v>-1.6653345369377348E-16</v>
      </c>
      <c r="K858" s="10">
        <f t="shared" si="142"/>
        <v>7.5119400710108586E-3</v>
      </c>
      <c r="L858" s="10">
        <f t="shared" si="143"/>
        <v>4.5071640426064818E-3</v>
      </c>
    </row>
    <row r="859" spans="1:12" x14ac:dyDescent="0.2">
      <c r="A859" s="14">
        <v>0.79400000000000004</v>
      </c>
      <c r="B859" s="10">
        <f t="shared" si="133"/>
        <v>1.3492072924575549</v>
      </c>
      <c r="C859" s="10">
        <f t="shared" si="134"/>
        <v>0.39666694398252117</v>
      </c>
      <c r="D859" s="10">
        <f t="shared" si="135"/>
        <v>2.4010616702650154</v>
      </c>
      <c r="E859" s="10">
        <f t="shared" si="136"/>
        <v>11.034885573782212</v>
      </c>
      <c r="F859" s="10">
        <f t="shared" si="140"/>
        <v>8.2965612979114312E-2</v>
      </c>
      <c r="G859" s="10">
        <f t="shared" si="137"/>
        <v>3.1469628958143092E-2</v>
      </c>
      <c r="H859" s="10">
        <f t="shared" si="138"/>
        <v>0.50786675802143144</v>
      </c>
      <c r="I859" s="10">
        <f t="shared" si="141"/>
        <v>1.1317917279159984E-3</v>
      </c>
      <c r="J859" s="20">
        <f t="shared" si="139"/>
        <v>-2.2204460492503131E-16</v>
      </c>
      <c r="K859" s="10">
        <f t="shared" si="142"/>
        <v>7.5468904864437469E-3</v>
      </c>
      <c r="L859" s="10">
        <f t="shared" si="143"/>
        <v>4.5281342918661038E-3</v>
      </c>
    </row>
    <row r="860" spans="1:12" x14ac:dyDescent="0.2">
      <c r="A860" s="14">
        <v>0.79500000000000004</v>
      </c>
      <c r="B860" s="10">
        <f t="shared" si="133"/>
        <v>1.355332135515924</v>
      </c>
      <c r="C860" s="10">
        <f t="shared" si="134"/>
        <v>0.39982297997719762</v>
      </c>
      <c r="D860" s="10">
        <f t="shared" si="135"/>
        <v>2.4086438129503729</v>
      </c>
      <c r="E860" s="10">
        <f t="shared" si="136"/>
        <v>11.118871645553998</v>
      </c>
      <c r="F860" s="10">
        <f t="shared" si="140"/>
        <v>8.3986071771786186E-2</v>
      </c>
      <c r="G860" s="10">
        <f t="shared" si="137"/>
        <v>3.601891456935763E-2</v>
      </c>
      <c r="H860" s="10">
        <f t="shared" si="138"/>
        <v>0.50900375523574004</v>
      </c>
      <c r="I860" s="10">
        <f t="shared" si="141"/>
        <v>1.1369972143085993E-3</v>
      </c>
      <c r="J860" s="20">
        <f t="shared" si="139"/>
        <v>-2.7755575615628914E-16</v>
      </c>
      <c r="K860" s="10">
        <f t="shared" si="142"/>
        <v>7.5821426853575069E-3</v>
      </c>
      <c r="L860" s="10">
        <f t="shared" si="143"/>
        <v>4.5492856112145375E-3</v>
      </c>
    </row>
    <row r="861" spans="1:12" x14ac:dyDescent="0.2">
      <c r="A861" s="14">
        <v>0.79600000000000004</v>
      </c>
      <c r="B861" s="10">
        <f t="shared" si="133"/>
        <v>1.3614791920001668</v>
      </c>
      <c r="C861" s="10">
        <f t="shared" si="134"/>
        <v>0.40299784083204943</v>
      </c>
      <c r="D861" s="10">
        <f t="shared" si="135"/>
        <v>2.4162615139397259</v>
      </c>
      <c r="E861" s="10">
        <f t="shared" si="136"/>
        <v>11.203895316384097</v>
      </c>
      <c r="F861" s="10">
        <f t="shared" si="140"/>
        <v>8.5023670830098652E-2</v>
      </c>
      <c r="G861" s="10">
        <f t="shared" si="137"/>
        <v>4.0589535162969315E-2</v>
      </c>
      <c r="H861" s="10">
        <f t="shared" si="138"/>
        <v>0.51014599086023116</v>
      </c>
      <c r="I861" s="10">
        <f t="shared" si="141"/>
        <v>1.1422356244911169E-3</v>
      </c>
      <c r="J861" s="20">
        <f t="shared" si="139"/>
        <v>-3.8857805861880479E-16</v>
      </c>
      <c r="K861" s="10">
        <f t="shared" si="142"/>
        <v>7.6177009893529934E-3</v>
      </c>
      <c r="L861" s="10">
        <f t="shared" si="143"/>
        <v>4.570620593611685E-3</v>
      </c>
    </row>
    <row r="862" spans="1:12" x14ac:dyDescent="0.2">
      <c r="A862" s="14">
        <v>0.79700000000000004</v>
      </c>
      <c r="B862" s="10">
        <f t="shared" si="133"/>
        <v>1.3676486997484281</v>
      </c>
      <c r="C862" s="10">
        <f t="shared" si="134"/>
        <v>0.40619166382528321</v>
      </c>
      <c r="D862" s="10">
        <f t="shared" si="135"/>
        <v>2.4239150837434105</v>
      </c>
      <c r="E862" s="10">
        <f t="shared" si="136"/>
        <v>11.289974096048688</v>
      </c>
      <c r="F862" s="10">
        <f t="shared" si="140"/>
        <v>8.607877966459121E-2</v>
      </c>
      <c r="G862" s="10">
        <f t="shared" si="137"/>
        <v>4.5181677045180446E-2</v>
      </c>
      <c r="H862" s="10">
        <f t="shared" si="138"/>
        <v>0.51129349812951408</v>
      </c>
      <c r="I862" s="10">
        <f t="shared" si="141"/>
        <v>1.1475072692829213E-3</v>
      </c>
      <c r="J862" s="20">
        <f t="shared" si="139"/>
        <v>-5.5511151231257827E-17</v>
      </c>
      <c r="K862" s="10">
        <f t="shared" si="142"/>
        <v>7.6535698036845901E-3</v>
      </c>
      <c r="L862" s="10">
        <f t="shared" si="143"/>
        <v>4.5921418822111315E-3</v>
      </c>
    </row>
    <row r="863" spans="1:12" x14ac:dyDescent="0.2">
      <c r="A863" s="14">
        <v>0.79800000000000004</v>
      </c>
      <c r="B863" s="10">
        <f t="shared" si="133"/>
        <v>1.3738409000486043</v>
      </c>
      <c r="C863" s="10">
        <f t="shared" si="134"/>
        <v>0.40940458821448411</v>
      </c>
      <c r="D863" s="10">
        <f t="shared" si="135"/>
        <v>2.4316048373627215</v>
      </c>
      <c r="E863" s="10">
        <f t="shared" si="136"/>
        <v>11.377125873607421</v>
      </c>
      <c r="F863" s="10">
        <f t="shared" si="140"/>
        <v>8.7151777558732491E-2</v>
      </c>
      <c r="G863" s="10">
        <f t="shared" si="137"/>
        <v>4.9795529216766943E-2</v>
      </c>
      <c r="H863" s="10">
        <f t="shared" si="138"/>
        <v>0.51244631059329027</v>
      </c>
      <c r="I863" s="10">
        <f t="shared" si="141"/>
        <v>1.1528124637761872E-3</v>
      </c>
      <c r="J863" s="20">
        <f t="shared" si="139"/>
        <v>-1.6653345369377348E-16</v>
      </c>
      <c r="K863" s="10">
        <f t="shared" si="142"/>
        <v>7.6897536193110128E-3</v>
      </c>
      <c r="L863" s="10">
        <f t="shared" si="143"/>
        <v>4.6138521715864966E-3</v>
      </c>
    </row>
    <row r="864" spans="1:12" x14ac:dyDescent="0.2">
      <c r="A864" s="14">
        <v>0.79900000000000004</v>
      </c>
      <c r="B864" s="10">
        <f t="shared" si="133"/>
        <v>1.3800560377071991</v>
      </c>
      <c r="C864" s="10">
        <f t="shared" si="134"/>
        <v>0.41263675527445259</v>
      </c>
      <c r="D864" s="10">
        <f t="shared" si="135"/>
        <v>2.4393310943777213</v>
      </c>
      <c r="E864" s="10">
        <f t="shared" si="136"/>
        <v>11.465368927483595</v>
      </c>
      <c r="F864" s="10">
        <f t="shared" si="140"/>
        <v>8.8243053876174926E-2</v>
      </c>
      <c r="G864" s="10">
        <f t="shared" si="137"/>
        <v>5.4431283425766752E-2</v>
      </c>
      <c r="H864" s="10">
        <f t="shared" si="138"/>
        <v>0.51360446212070876</v>
      </c>
      <c r="I864" s="10">
        <f t="shared" si="141"/>
        <v>1.1581515274184939E-3</v>
      </c>
      <c r="J864" s="20">
        <f t="shared" si="139"/>
        <v>-2.2204460492503131E-16</v>
      </c>
      <c r="K864" s="10">
        <f t="shared" si="142"/>
        <v>7.7262570149998488E-3</v>
      </c>
      <c r="L864" s="10">
        <f t="shared" si="143"/>
        <v>4.6357542089998094E-3</v>
      </c>
    </row>
    <row r="865" spans="1:12" x14ac:dyDescent="0.2">
      <c r="A865" s="14">
        <v>0.8</v>
      </c>
      <c r="B865" s="10">
        <f t="shared" si="133"/>
        <v>1.3862943611198908</v>
      </c>
      <c r="C865" s="10">
        <f t="shared" si="134"/>
        <v>0.41588830833596729</v>
      </c>
      <c r="D865" s="10">
        <f t="shared" si="135"/>
        <v>2.4470941790372209</v>
      </c>
      <c r="E865" s="10">
        <f t="shared" si="136"/>
        <v>11.554721935862959</v>
      </c>
      <c r="F865" s="10">
        <f t="shared" si="140"/>
        <v>8.9353008379363885E-2</v>
      </c>
      <c r="G865" s="10">
        <f t="shared" si="137"/>
        <v>5.9089134221466499E-2</v>
      </c>
      <c r="H865" s="10">
        <f t="shared" si="138"/>
        <v>0.51476798690480474</v>
      </c>
      <c r="I865" s="10">
        <f t="shared" si="141"/>
        <v>1.1635247840959817E-3</v>
      </c>
      <c r="J865" s="20">
        <f t="shared" si="139"/>
        <v>-2.7755575615628914E-16</v>
      </c>
      <c r="K865" s="10">
        <f t="shared" si="142"/>
        <v>7.7630846594995973E-3</v>
      </c>
      <c r="L865" s="10">
        <f t="shared" si="143"/>
        <v>4.6578507956997472E-3</v>
      </c>
    </row>
    <row r="866" spans="1:12" x14ac:dyDescent="0.2">
      <c r="A866" s="14">
        <v>0.80100000000000005</v>
      </c>
      <c r="B866" s="10">
        <f t="shared" si="133"/>
        <v>1.3925561223438672</v>
      </c>
      <c r="C866" s="10">
        <f t="shared" si="134"/>
        <v>0.41915939282550407</v>
      </c>
      <c r="D866" s="10">
        <f t="shared" si="135"/>
        <v>2.4548944203509993</v>
      </c>
      <c r="E866" s="10">
        <f t="shared" si="136"/>
        <v>11.645203987422743</v>
      </c>
      <c r="F866" s="10">
        <f t="shared" si="140"/>
        <v>9.0482051559783727E-2</v>
      </c>
      <c r="G866" s="10">
        <f t="shared" si="137"/>
        <v>6.3769279009733393E-2</v>
      </c>
      <c r="H866" s="10">
        <f t="shared" si="138"/>
        <v>0.51593691946702747</v>
      </c>
      <c r="I866" s="10">
        <f t="shared" si="141"/>
        <v>1.1689325622227242E-3</v>
      </c>
      <c r="J866" s="20">
        <f t="shared" si="139"/>
        <v>-3.3306690738754696E-16</v>
      </c>
      <c r="K866" s="10">
        <f t="shared" si="142"/>
        <v>7.8002413137783222E-3</v>
      </c>
      <c r="L866" s="10">
        <f t="shared" si="143"/>
        <v>4.6801447882668934E-3</v>
      </c>
    </row>
    <row r="867" spans="1:12" x14ac:dyDescent="0.2">
      <c r="A867" s="14">
        <v>0.80200000000000005</v>
      </c>
      <c r="B867" s="10">
        <f t="shared" si="133"/>
        <v>1.3988415771719795</v>
      </c>
      <c r="C867" s="10">
        <f t="shared" si="134"/>
        <v>0.42245015630593791</v>
      </c>
      <c r="D867" s="10">
        <f t="shared" si="135"/>
        <v>2.4627321521843193</v>
      </c>
      <c r="E867" s="10">
        <f t="shared" si="136"/>
        <v>11.736834592403085</v>
      </c>
      <c r="F867" s="10">
        <f t="shared" si="140"/>
        <v>9.1630604980341701E-2</v>
      </c>
      <c r="G867" s="10">
        <f t="shared" si="137"/>
        <v>6.8471918109725471E-2</v>
      </c>
      <c r="H867" s="10">
        <f t="shared" si="138"/>
        <v>0.51711129466185524</v>
      </c>
      <c r="I867" s="10">
        <f t="shared" si="141"/>
        <v>1.1743751948277703E-3</v>
      </c>
      <c r="J867" s="20">
        <f t="shared" si="139"/>
        <v>-2.7755575615628914E-16</v>
      </c>
      <c r="K867" s="10">
        <f t="shared" si="142"/>
        <v>7.8377318333200385E-3</v>
      </c>
      <c r="L867" s="10">
        <f t="shared" si="143"/>
        <v>4.7026390999920786E-3</v>
      </c>
    </row>
    <row r="868" spans="1:12" x14ac:dyDescent="0.2">
      <c r="A868" s="14">
        <v>0.80300000000000005</v>
      </c>
      <c r="B868" s="10">
        <f t="shared" si="133"/>
        <v>1.4051509852087734</v>
      </c>
      <c r="C868" s="10">
        <f t="shared" si="134"/>
        <v>0.4257607485182584</v>
      </c>
      <c r="D868" s="10">
        <f t="shared" si="135"/>
        <v>2.4706077133548234</v>
      </c>
      <c r="E868" s="10">
        <f t="shared" si="136"/>
        <v>11.829633694033662</v>
      </c>
      <c r="F868" s="10">
        <f t="shared" si="140"/>
        <v>9.2799101630577141E-2</v>
      </c>
      <c r="G868" s="10">
        <f t="shared" si="137"/>
        <v>7.319725481202799E-2</v>
      </c>
      <c r="H868" s="10">
        <f t="shared" si="138"/>
        <v>0.51829114768150275</v>
      </c>
      <c r="I868" s="10">
        <f t="shared" si="141"/>
        <v>1.1798530196475143E-3</v>
      </c>
      <c r="J868" s="20">
        <f t="shared" si="139"/>
        <v>-1.1102230246251565E-16</v>
      </c>
      <c r="K868" s="10">
        <f t="shared" si="142"/>
        <v>7.8755611705041417E-3</v>
      </c>
      <c r="L868" s="10">
        <f t="shared" si="143"/>
        <v>4.7253367023025183E-3</v>
      </c>
    </row>
    <row r="869" spans="1:12" x14ac:dyDescent="0.2">
      <c r="A869" s="14">
        <v>0.80400000000000005</v>
      </c>
      <c r="B869" s="10">
        <f t="shared" si="133"/>
        <v>1.4114846099484495</v>
      </c>
      <c r="C869" s="10">
        <f t="shared" si="134"/>
        <v>0.42909132142432871</v>
      </c>
      <c r="D869" s="10">
        <f t="shared" si="135"/>
        <v>2.4785214477318691</v>
      </c>
      <c r="E869" s="10">
        <f t="shared" si="136"/>
        <v>11.923621680328621</v>
      </c>
      <c r="F869" s="10">
        <f t="shared" si="140"/>
        <v>9.3987986294958858E-2</v>
      </c>
      <c r="G869" s="10">
        <f t="shared" si="137"/>
        <v>7.7945495438255297E-2</v>
      </c>
      <c r="H869" s="10">
        <f t="shared" si="138"/>
        <v>0.51947651406072215</v>
      </c>
      <c r="I869" s="10">
        <f t="shared" si="141"/>
        <v>1.1853663792193991E-3</v>
      </c>
      <c r="J869" s="20">
        <f t="shared" si="139"/>
        <v>-3.8857805861880479E-16</v>
      </c>
      <c r="K869" s="10">
        <f t="shared" si="142"/>
        <v>7.9137343770456781E-3</v>
      </c>
      <c r="L869" s="10">
        <f t="shared" si="143"/>
        <v>4.7482406262273069E-3</v>
      </c>
    </row>
    <row r="870" spans="1:12" x14ac:dyDescent="0.2">
      <c r="A870" s="14">
        <v>0.80500000000000005</v>
      </c>
      <c r="B870" s="10">
        <f t="shared" si="133"/>
        <v>1.4178427188548168</v>
      </c>
      <c r="C870" s="10">
        <f t="shared" si="134"/>
        <v>0.43244202925071923</v>
      </c>
      <c r="D870" s="10">
        <f t="shared" si="135"/>
        <v>2.4864737043383824</v>
      </c>
      <c r="E870" s="10">
        <f t="shared" si="136"/>
        <v>12.018819396263691</v>
      </c>
      <c r="F870" s="10">
        <f t="shared" si="140"/>
        <v>9.5197715935070093E-2</v>
      </c>
      <c r="G870" s="10">
        <f t="shared" si="137"/>
        <v>8.2716849402163284E-2</v>
      </c>
      <c r="H870" s="10">
        <f t="shared" si="138"/>
        <v>0.52066742968169977</v>
      </c>
      <c r="I870" s="10">
        <f t="shared" si="141"/>
        <v>1.1909156209776173E-3</v>
      </c>
      <c r="J870" s="20">
        <f t="shared" si="139"/>
        <v>-2.2204460492503131E-16</v>
      </c>
      <c r="K870" s="10">
        <f t="shared" si="142"/>
        <v>7.9522566065133304E-3</v>
      </c>
      <c r="L870" s="10">
        <f t="shared" si="143"/>
        <v>4.7713539639079872E-3</v>
      </c>
    </row>
    <row r="871" spans="1:12" x14ac:dyDescent="0.2">
      <c r="A871" s="14">
        <v>0.80600000000000005</v>
      </c>
      <c r="B871" s="10">
        <f t="shared" si="133"/>
        <v>1.4242255834433004</v>
      </c>
      <c r="C871" s="10">
        <f t="shared" si="134"/>
        <v>0.43581302853365</v>
      </c>
      <c r="D871" s="10">
        <f t="shared" si="135"/>
        <v>2.4944648374553124</v>
      </c>
      <c r="E871" s="10">
        <f t="shared" si="136"/>
        <v>12.115248156349873</v>
      </c>
      <c r="F871" s="10">
        <f t="shared" si="140"/>
        <v>9.6428760086181953E-2</v>
      </c>
      <c r="G871" s="10">
        <f t="shared" si="137"/>
        <v>8.7511529272321364E-2</v>
      </c>
      <c r="H871" s="10">
        <f t="shared" si="138"/>
        <v>0.52186393077905202</v>
      </c>
      <c r="I871" s="10">
        <f t="shared" si="141"/>
        <v>1.1965010973522539E-3</v>
      </c>
      <c r="J871" s="20">
        <f t="shared" si="139"/>
        <v>-2.7755575615628914E-16</v>
      </c>
      <c r="K871" s="10">
        <f t="shared" si="142"/>
        <v>7.9911331169300048E-3</v>
      </c>
      <c r="L871" s="10">
        <f t="shared" si="143"/>
        <v>4.7946798701580806E-3</v>
      </c>
    </row>
    <row r="872" spans="1:12" x14ac:dyDescent="0.2">
      <c r="A872" s="14">
        <v>0.80700000000000005</v>
      </c>
      <c r="B872" s="10">
        <f t="shared" si="133"/>
        <v>1.4306334793650637</v>
      </c>
      <c r="C872" s="10">
        <f t="shared" si="134"/>
        <v>0.43920447816507463</v>
      </c>
      <c r="D872" s="10">
        <f t="shared" si="135"/>
        <v>2.5024952067287582</v>
      </c>
      <c r="E872" s="10">
        <f t="shared" si="136"/>
        <v>12.212929757618658</v>
      </c>
      <c r="F872" s="10">
        <f t="shared" si="140"/>
        <v>9.7681601268785556E-2</v>
      </c>
      <c r="G872" s="10">
        <f t="shared" si="137"/>
        <v>9.2329750836389057E-2</v>
      </c>
      <c r="H872" s="10">
        <f t="shared" si="138"/>
        <v>0.52306605394492289</v>
      </c>
      <c r="I872" s="10">
        <f t="shared" si="141"/>
        <v>1.202123165870872E-3</v>
      </c>
      <c r="J872" s="20">
        <f t="shared" si="139"/>
        <v>-1.1102230246251565E-16</v>
      </c>
      <c r="K872" s="10">
        <f t="shared" si="142"/>
        <v>8.0303692734458032E-3</v>
      </c>
      <c r="L872" s="10">
        <f t="shared" si="143"/>
        <v>4.8182215640676929E-3</v>
      </c>
    </row>
    <row r="873" spans="1:12" x14ac:dyDescent="0.2">
      <c r="A873" s="14">
        <v>0.80800000000000005</v>
      </c>
      <c r="B873" s="10">
        <f t="shared" si="133"/>
        <v>1.4370666864933141</v>
      </c>
      <c r="C873" s="10">
        <f t="shared" si="134"/>
        <v>0.44261653943994084</v>
      </c>
      <c r="D873" s="10">
        <f t="shared" si="135"/>
        <v>2.5105651772798554</v>
      </c>
      <c r="E873" s="10">
        <f t="shared" si="136"/>
        <v>12.311886493034455</v>
      </c>
      <c r="F873" s="10">
        <f t="shared" si="140"/>
        <v>9.895673541579697E-2</v>
      </c>
      <c r="G873" s="10">
        <f t="shared" si="137"/>
        <v>9.7171733167047414E-2</v>
      </c>
      <c r="H873" s="10">
        <f t="shared" si="138"/>
        <v>0.52427383613418432</v>
      </c>
      <c r="I873" s="10">
        <f t="shared" si="141"/>
        <v>1.2077821892614304E-3</v>
      </c>
      <c r="J873" s="20">
        <f t="shared" si="139"/>
        <v>0</v>
      </c>
      <c r="K873" s="10">
        <f t="shared" si="142"/>
        <v>8.0699705510971498E-3</v>
      </c>
      <c r="L873" s="10">
        <f t="shared" si="143"/>
        <v>4.8419823306583565E-3</v>
      </c>
    </row>
    <row r="874" spans="1:12" x14ac:dyDescent="0.2">
      <c r="A874" s="14">
        <v>0.80900000000000005</v>
      </c>
      <c r="B874" s="10">
        <f t="shared" si="133"/>
        <v>1.4435254890118623</v>
      </c>
      <c r="C874" s="10">
        <f t="shared" si="134"/>
        <v>0.4460493761046655</v>
      </c>
      <c r="D874" s="10">
        <f t="shared" si="135"/>
        <v>2.5186751198175106</v>
      </c>
      <c r="E874" s="10">
        <f t="shared" si="136"/>
        <v>12.412141165350601</v>
      </c>
      <c r="F874" s="10">
        <f t="shared" si="140"/>
        <v>0.10025467231614549</v>
      </c>
      <c r="G874" s="10">
        <f t="shared" si="137"/>
        <v>0.10203769868964019</v>
      </c>
      <c r="H874" s="10">
        <f t="shared" si="138"/>
        <v>0.5254873146697443</v>
      </c>
      <c r="I874" s="10">
        <f t="shared" si="141"/>
        <v>1.2134785355599753E-3</v>
      </c>
      <c r="J874" s="20">
        <f t="shared" si="139"/>
        <v>-3.3306690738754696E-16</v>
      </c>
      <c r="K874" s="10">
        <f t="shared" si="142"/>
        <v>8.1099425376551793E-3</v>
      </c>
      <c r="L874" s="10">
        <f t="shared" si="143"/>
        <v>4.8659655225927745E-3</v>
      </c>
    </row>
    <row r="875" spans="1:12" x14ac:dyDescent="0.2">
      <c r="A875" s="14">
        <v>0.81</v>
      </c>
      <c r="B875" s="10">
        <f t="shared" si="133"/>
        <v>1.4500101755059986</v>
      </c>
      <c r="C875" s="10">
        <f t="shared" si="134"/>
        <v>0.44950315440685967</v>
      </c>
      <c r="D875" s="10">
        <f t="shared" si="135"/>
        <v>2.5268254107540633</v>
      </c>
      <c r="E875" s="10">
        <f t="shared" si="136"/>
        <v>12.513717101425867</v>
      </c>
      <c r="F875" s="10">
        <f t="shared" si="140"/>
        <v>0.10157593607526572</v>
      </c>
      <c r="G875" s="10">
        <f t="shared" si="137"/>
        <v>0.10692787325157194</v>
      </c>
      <c r="H875" s="10">
        <f t="shared" si="138"/>
        <v>0.52670652724796441</v>
      </c>
      <c r="I875" s="10">
        <f t="shared" si="141"/>
        <v>1.219212578220108E-3</v>
      </c>
      <c r="J875" s="20">
        <f t="shared" si="139"/>
        <v>-2.2204460492503131E-16</v>
      </c>
      <c r="K875" s="10">
        <f t="shared" si="142"/>
        <v>8.1502909365527287E-3</v>
      </c>
      <c r="L875" s="10">
        <f t="shared" si="143"/>
        <v>4.8901745619317483E-3</v>
      </c>
    </row>
    <row r="876" spans="1:12" x14ac:dyDescent="0.2">
      <c r="A876" s="14">
        <v>0.81100000000000005</v>
      </c>
      <c r="B876" s="10">
        <f t="shared" si="133"/>
        <v>1.456521039055771</v>
      </c>
      <c r="C876" s="10">
        <f t="shared" si="134"/>
        <v>0.45297804314634488</v>
      </c>
      <c r="D876" s="10">
        <f t="shared" si="135"/>
        <v>2.535016432323987</v>
      </c>
      <c r="E876" s="10">
        <f t="shared" si="136"/>
        <v>12.616638167019516</v>
      </c>
      <c r="F876" s="10">
        <f t="shared" si="140"/>
        <v>0.10292106559364989</v>
      </c>
      <c r="G876" s="10">
        <f t="shared" si="137"/>
        <v>0.11184248619352599</v>
      </c>
      <c r="H876" s="10">
        <f t="shared" si="138"/>
        <v>0.52793151194418952</v>
      </c>
      <c r="I876" s="10">
        <f t="shared" si="141"/>
        <v>1.2249846962251176E-3</v>
      </c>
      <c r="J876" s="20">
        <f t="shared" si="139"/>
        <v>-3.3306690738754696E-16</v>
      </c>
      <c r="K876" s="10">
        <f t="shared" si="142"/>
        <v>8.1910215699236844E-3</v>
      </c>
      <c r="L876" s="10">
        <f t="shared" si="143"/>
        <v>4.9146129419540552E-3</v>
      </c>
    </row>
    <row r="877" spans="1:12" x14ac:dyDescent="0.2">
      <c r="A877" s="14">
        <v>0.81200000000000006</v>
      </c>
      <c r="B877" s="10">
        <f t="shared" si="133"/>
        <v>1.4630583773317292</v>
      </c>
      <c r="C877" s="10">
        <f t="shared" si="134"/>
        <v>0.45647421372749958</v>
      </c>
      <c r="D877" s="10">
        <f t="shared" si="135"/>
        <v>2.5432485727056968</v>
      </c>
      <c r="E877" s="10">
        <f t="shared" si="136"/>
        <v>12.720928782083131</v>
      </c>
      <c r="F877" s="10">
        <f t="shared" si="140"/>
        <v>0.10429061506361492</v>
      </c>
      <c r="G877" s="10">
        <f t="shared" si="137"/>
        <v>0.11678177042255217</v>
      </c>
      <c r="H877" s="10">
        <f t="shared" si="138"/>
        <v>0.52916230721839341</v>
      </c>
      <c r="I877" s="10">
        <f t="shared" si="141"/>
        <v>1.2307952742038886E-3</v>
      </c>
      <c r="J877" s="20">
        <f t="shared" si="139"/>
        <v>0</v>
      </c>
      <c r="K877" s="10">
        <f t="shared" si="142"/>
        <v>8.2321403817098293E-3</v>
      </c>
      <c r="L877" s="10">
        <f t="shared" si="143"/>
        <v>4.9392842290261751E-3</v>
      </c>
    </row>
    <row r="878" spans="1:12" x14ac:dyDescent="0.2">
      <c r="A878" s="14">
        <v>0.81299999999999994</v>
      </c>
      <c r="B878" s="10">
        <f t="shared" si="133"/>
        <v>1.4696224926932235</v>
      </c>
      <c r="C878" s="10">
        <f t="shared" si="134"/>
        <v>0.4599918402129789</v>
      </c>
      <c r="D878" s="10">
        <f t="shared" si="135"/>
        <v>2.5515222261465937</v>
      </c>
      <c r="E878" s="10">
        <f t="shared" si="136"/>
        <v>12.826613936568975</v>
      </c>
      <c r="F878" s="10">
        <f t="shared" si="140"/>
        <v>0.10568515448584392</v>
      </c>
      <c r="G878" s="10">
        <f t="shared" si="137"/>
        <v>0.12174596248709019</v>
      </c>
      <c r="H878" s="10">
        <f t="shared" si="138"/>
        <v>0.53039895192094266</v>
      </c>
      <c r="I878" s="10">
        <f t="shared" si="141"/>
        <v>1.23664470254925E-3</v>
      </c>
      <c r="J878" s="20">
        <f t="shared" si="139"/>
        <v>-2.7755575615628914E-16</v>
      </c>
      <c r="K878" s="10">
        <f t="shared" si="142"/>
        <v>8.273653440896922E-3</v>
      </c>
      <c r="L878" s="10">
        <f t="shared" si="143"/>
        <v>4.96419206453802E-3</v>
      </c>
    </row>
    <row r="879" spans="1:12" x14ac:dyDescent="0.2">
      <c r="A879" s="14">
        <v>0.81399999999999995</v>
      </c>
      <c r="B879" s="10">
        <f t="shared" si="133"/>
        <v>1.4762136922893387</v>
      </c>
      <c r="C879" s="10">
        <f t="shared" si="134"/>
        <v>0.46353109937885228</v>
      </c>
      <c r="D879" s="10">
        <f t="shared" si="135"/>
        <v>2.5598377930914245</v>
      </c>
      <c r="E879" s="10">
        <f t="shared" si="136"/>
        <v>12.933719206774892</v>
      </c>
      <c r="F879" s="10">
        <f t="shared" si="140"/>
        <v>0.10710527020591698</v>
      </c>
      <c r="G879" s="10">
        <f t="shared" si="137"/>
        <v>0.12673530265398864</v>
      </c>
      <c r="H879" s="10">
        <f t="shared" si="138"/>
        <v>0.53164148529848387</v>
      </c>
      <c r="I879" s="10">
        <f t="shared" si="141"/>
        <v>1.2425333775412106E-3</v>
      </c>
      <c r="J879" s="20">
        <f t="shared" si="139"/>
        <v>0</v>
      </c>
      <c r="K879" s="10">
        <f t="shared" si="142"/>
        <v>8.3155669448307101E-3</v>
      </c>
      <c r="L879" s="10">
        <f t="shared" si="143"/>
        <v>4.9893401668984483E-3</v>
      </c>
    </row>
    <row r="880" spans="1:12" x14ac:dyDescent="0.2">
      <c r="A880" s="14">
        <v>0.81499999999999995</v>
      </c>
      <c r="B880" s="10">
        <f t="shared" si="133"/>
        <v>1.4828322881625375</v>
      </c>
      <c r="C880" s="10">
        <f t="shared" si="134"/>
        <v>0.46709217077119924</v>
      </c>
      <c r="D880" s="10">
        <f t="shared" si="135"/>
        <v>2.5681956803140746</v>
      </c>
      <c r="E880" s="10">
        <f t="shared" si="136"/>
        <v>13.042270772247029</v>
      </c>
      <c r="F880" s="10">
        <f t="shared" si="140"/>
        <v>0.10855156547213696</v>
      </c>
      <c r="G880" s="10">
        <f t="shared" si="137"/>
        <v>0.13175003498757859</v>
      </c>
      <c r="H880" s="10">
        <f t="shared" si="138"/>
        <v>0.53288994699995362</v>
      </c>
      <c r="I880" s="10">
        <f t="shared" si="141"/>
        <v>1.2484617014697497E-3</v>
      </c>
      <c r="J880" s="20">
        <f t="shared" si="139"/>
        <v>-2.7755575615628914E-16</v>
      </c>
      <c r="K880" s="10">
        <f t="shared" si="142"/>
        <v>8.3578872226501844E-3</v>
      </c>
      <c r="L880" s="10">
        <f t="shared" si="143"/>
        <v>5.0147323335899552E-3</v>
      </c>
    </row>
    <row r="881" spans="1:12" x14ac:dyDescent="0.2">
      <c r="A881" s="14">
        <v>0.81599999999999995</v>
      </c>
      <c r="B881" s="10">
        <f t="shared" si="133"/>
        <v>1.489478597355121</v>
      </c>
      <c r="C881" s="10">
        <f t="shared" si="134"/>
        <v>0.47067523676421819</v>
      </c>
      <c r="D881" s="10">
        <f t="shared" si="135"/>
        <v>2.5765963010529074</v>
      </c>
      <c r="E881" s="10">
        <f t="shared" si="136"/>
        <v>13.15229543326253</v>
      </c>
      <c r="F881" s="10">
        <f t="shared" si="140"/>
        <v>0.11002466101550112</v>
      </c>
      <c r="G881" s="10">
        <f t="shared" si="137"/>
        <v>0.13679040743087839</v>
      </c>
      <c r="H881" s="10">
        <f t="shared" si="138"/>
        <v>0.53414437708272022</v>
      </c>
      <c r="I881" s="10">
        <f t="shared" si="141"/>
        <v>1.2544300827666E-3</v>
      </c>
      <c r="J881" s="20">
        <f t="shared" si="139"/>
        <v>0</v>
      </c>
      <c r="K881" s="10">
        <f t="shared" si="142"/>
        <v>8.4006207388327425E-3</v>
      </c>
      <c r="L881" s="10">
        <f t="shared" si="143"/>
        <v>5.0403724432998009E-3</v>
      </c>
    </row>
    <row r="882" spans="1:12" x14ac:dyDescent="0.2">
      <c r="A882" s="14">
        <v>0.81699999999999995</v>
      </c>
      <c r="B882" s="10">
        <f t="shared" si="133"/>
        <v>1.4961529420185815</v>
      </c>
      <c r="C882" s="10">
        <f t="shared" si="134"/>
        <v>0.47428048261989025</v>
      </c>
      <c r="D882" s="10">
        <f t="shared" si="135"/>
        <v>2.58504007514976</v>
      </c>
      <c r="E882" s="10">
        <f t="shared" si="136"/>
        <v>13.263820628915314</v>
      </c>
      <c r="F882" s="10">
        <f t="shared" si="140"/>
        <v>0.11152519565278318</v>
      </c>
      <c r="G882" s="10">
        <f t="shared" si="137"/>
        <v>0.14185667188899004</v>
      </c>
      <c r="H882" s="10">
        <f t="shared" si="138"/>
        <v>0.5354048160188557</v>
      </c>
      <c r="I882" s="10">
        <f t="shared" si="141"/>
        <v>1.2604389361354773E-3</v>
      </c>
      <c r="J882" s="20">
        <f t="shared" si="139"/>
        <v>0</v>
      </c>
      <c r="K882" s="10">
        <f t="shared" si="142"/>
        <v>8.4437740968525965E-3</v>
      </c>
      <c r="L882" s="10">
        <f t="shared" si="143"/>
        <v>5.0662644581116467E-3</v>
      </c>
    </row>
    <row r="883" spans="1:12" x14ac:dyDescent="0.2">
      <c r="A883" s="14">
        <v>0.81799999999999995</v>
      </c>
      <c r="B883" s="10">
        <f t="shared" si="133"/>
        <v>1.5028556495259513</v>
      </c>
      <c r="C883" s="10">
        <f t="shared" si="134"/>
        <v>0.47790809654925243</v>
      </c>
      <c r="D883" s="10">
        <f t="shared" si="135"/>
        <v>2.5935274291927151</v>
      </c>
      <c r="E883" s="10">
        <f t="shared" si="136"/>
        <v>13.376874455829062</v>
      </c>
      <c r="F883" s="10">
        <f t="shared" si="140"/>
        <v>0.11305382691374888</v>
      </c>
      <c r="G883" s="10">
        <f t="shared" si="137"/>
        <v>0.14694908431476289</v>
      </c>
      <c r="H883" s="10">
        <f t="shared" si="138"/>
        <v>0.53667130470154489</v>
      </c>
      <c r="I883" s="10">
        <f t="shared" si="141"/>
        <v>1.266488682689193E-3</v>
      </c>
      <c r="J883" s="20">
        <f t="shared" si="139"/>
        <v>-2.7755575615628914E-16</v>
      </c>
      <c r="K883" s="10">
        <f t="shared" si="142"/>
        <v>8.4873540429550864E-3</v>
      </c>
      <c r="L883" s="10">
        <f t="shared" si="143"/>
        <v>5.092412425772852E-3</v>
      </c>
    </row>
    <row r="884" spans="1:12" x14ac:dyDescent="0.2">
      <c r="A884" s="14">
        <v>0.81899999999999995</v>
      </c>
      <c r="B884" s="10">
        <f t="shared" si="133"/>
        <v>1.5095870525872432</v>
      </c>
      <c r="C884" s="10">
        <f t="shared" si="134"/>
        <v>0.48155826977533051</v>
      </c>
      <c r="D884" s="10">
        <f t="shared" si="135"/>
        <v>2.6020587966627753</v>
      </c>
      <c r="E884" s="10">
        <f t="shared" si="136"/>
        <v>13.491485687522804</v>
      </c>
      <c r="F884" s="10">
        <f t="shared" si="140"/>
        <v>0.11461123169374154</v>
      </c>
      <c r="G884" s="10">
        <f t="shared" si="137"/>
        <v>0.15206790479679916</v>
      </c>
      <c r="H884" s="10">
        <f t="shared" si="138"/>
        <v>0.5379438844516341</v>
      </c>
      <c r="I884" s="10">
        <f t="shared" si="141"/>
        <v>1.2725797500892089E-3</v>
      </c>
      <c r="J884" s="20">
        <f t="shared" si="139"/>
        <v>0</v>
      </c>
      <c r="K884" s="10">
        <f t="shared" si="142"/>
        <v>8.5313674700602249E-3</v>
      </c>
      <c r="L884" s="10">
        <f t="shared" si="143"/>
        <v>5.1188204820362682E-3</v>
      </c>
    </row>
    <row r="885" spans="1:12" x14ac:dyDescent="0.2">
      <c r="A885" s="14">
        <v>0.82</v>
      </c>
      <c r="B885" s="10">
        <f t="shared" si="133"/>
        <v>1.5163474893680882</v>
      </c>
      <c r="C885" s="10">
        <f t="shared" si="134"/>
        <v>0.48523119659778813</v>
      </c>
      <c r="D885" s="10">
        <f t="shared" si="135"/>
        <v>2.6106346180845725</v>
      </c>
      <c r="E885" s="10">
        <f t="shared" si="136"/>
        <v>13.607683794455539</v>
      </c>
      <c r="F885" s="10">
        <f t="shared" si="140"/>
        <v>0.11619810693273536</v>
      </c>
      <c r="G885" s="10">
        <f t="shared" si="137"/>
        <v>0.1572133976498773</v>
      </c>
      <c r="H885" s="10">
        <f t="shared" si="138"/>
        <v>0.53922259702432407</v>
      </c>
      <c r="I885" s="10">
        <f t="shared" si="141"/>
        <v>1.2787125726899662E-3</v>
      </c>
      <c r="J885" s="20">
        <f t="shared" si="139"/>
        <v>-4.4408920985006262E-16</v>
      </c>
      <c r="K885" s="10">
        <f t="shared" si="142"/>
        <v>8.5758214217972473E-3</v>
      </c>
      <c r="L885" s="10">
        <f t="shared" si="143"/>
        <v>5.1454928530781374E-3</v>
      </c>
    </row>
    <row r="886" spans="1:12" x14ac:dyDescent="0.2">
      <c r="A886" s="14">
        <v>0.82099999999999995</v>
      </c>
      <c r="B886" s="10">
        <f t="shared" si="133"/>
        <v>1.5231373036116729</v>
      </c>
      <c r="C886" s="10">
        <f t="shared" si="134"/>
        <v>0.48892707445934691</v>
      </c>
      <c r="D886" s="10">
        <f t="shared" si="135"/>
        <v>2.619255341181232</v>
      </c>
      <c r="E886" s="10">
        <f t="shared" si="136"/>
        <v>13.725498964777453</v>
      </c>
      <c r="F886" s="10">
        <f t="shared" si="140"/>
        <v>0.11781517032191324</v>
      </c>
      <c r="G886" s="10">
        <f t="shared" si="137"/>
        <v>0.16238583150787339</v>
      </c>
      <c r="H886" s="10">
        <f t="shared" si="138"/>
        <v>0.54050748461601039</v>
      </c>
      <c r="I886" s="10">
        <f t="shared" si="141"/>
        <v>1.2848875916863234E-3</v>
      </c>
      <c r="J886" s="20">
        <f t="shared" si="139"/>
        <v>0</v>
      </c>
      <c r="K886" s="10">
        <f t="shared" si="142"/>
        <v>8.6207230966595105E-3</v>
      </c>
      <c r="L886" s="10">
        <f t="shared" si="143"/>
        <v>5.1724338579960949E-3</v>
      </c>
    </row>
    <row r="887" spans="1:12" x14ac:dyDescent="0.2">
      <c r="A887" s="14">
        <v>0.82199999999999995</v>
      </c>
      <c r="B887" s="10">
        <f t="shared" si="133"/>
        <v>1.5299568447640945</v>
      </c>
      <c r="C887" s="10">
        <f t="shared" si="134"/>
        <v>0.49264610401403836</v>
      </c>
      <c r="D887" s="10">
        <f t="shared" si="135"/>
        <v>2.6279214210335566</v>
      </c>
      <c r="E887" s="10">
        <f t="shared" si="136"/>
        <v>13.844962125816997</v>
      </c>
      <c r="F887" s="10">
        <f t="shared" si="140"/>
        <v>0.11946316103954402</v>
      </c>
      <c r="G887" s="10">
        <f t="shared" si="137"/>
        <v>0.16758547941926788</v>
      </c>
      <c r="H887" s="10">
        <f t="shared" si="138"/>
        <v>0.54179858987127638</v>
      </c>
      <c r="I887" s="10">
        <f t="shared" si="141"/>
        <v>1.2911052552659896E-3</v>
      </c>
      <c r="J887" s="20">
        <f t="shared" si="139"/>
        <v>-2.7755575615628914E-16</v>
      </c>
      <c r="K887" s="10">
        <f t="shared" si="142"/>
        <v>8.666079852324593E-3</v>
      </c>
      <c r="L887" s="10">
        <f t="shared" si="143"/>
        <v>5.1996479113944893E-3</v>
      </c>
    </row>
    <row r="888" spans="1:12" x14ac:dyDescent="0.2">
      <c r="A888" s="14">
        <v>0.82299999999999995</v>
      </c>
      <c r="B888" s="10">
        <f t="shared" si="133"/>
        <v>1.5368064681032403</v>
      </c>
      <c r="C888" s="10">
        <f t="shared" si="134"/>
        <v>0.49638848919734652</v>
      </c>
      <c r="D888" s="10">
        <f t="shared" si="135"/>
        <v>2.6366333202436407</v>
      </c>
      <c r="E888" s="10">
        <f t="shared" si="136"/>
        <v>13.966104966333742</v>
      </c>
      <c r="F888" s="10">
        <f t="shared" si="140"/>
        <v>0.12114284051674495</v>
      </c>
      <c r="G888" s="10">
        <f t="shared" si="137"/>
        <v>0.17281261894531824</v>
      </c>
      <c r="H888" s="10">
        <f t="shared" si="138"/>
        <v>0.54309595589004334</v>
      </c>
      <c r="I888" s="10">
        <f t="shared" si="141"/>
        <v>1.2973660187669545E-3</v>
      </c>
      <c r="J888" s="20">
        <f t="shared" si="139"/>
        <v>-2.7755575615628914E-16</v>
      </c>
      <c r="K888" s="10">
        <f t="shared" si="142"/>
        <v>8.7118992100840842E-3</v>
      </c>
      <c r="L888" s="10">
        <f t="shared" si="143"/>
        <v>5.2271395260503617E-3</v>
      </c>
    </row>
    <row r="889" spans="1:12" x14ac:dyDescent="0.2">
      <c r="A889" s="14">
        <v>0.82399999999999995</v>
      </c>
      <c r="B889" s="10">
        <f t="shared" si="133"/>
        <v>1.5436865348713198</v>
      </c>
      <c r="C889" s="10">
        <f t="shared" si="134"/>
        <v>0.50015443729830755</v>
      </c>
      <c r="D889" s="10">
        <f t="shared" si="135"/>
        <v>2.6453915091031006</v>
      </c>
      <c r="E889" s="10">
        <f t="shared" si="136"/>
        <v>14.088959959569195</v>
      </c>
      <c r="F889" s="10">
        <f t="shared" si="140"/>
        <v>0.12285499323545324</v>
      </c>
      <c r="G889" s="10">
        <f t="shared" si="137"/>
        <v>0.1780675322609942</v>
      </c>
      <c r="H889" s="10">
        <f t="shared" si="138"/>
        <v>0.54439962623488036</v>
      </c>
      <c r="I889" s="10">
        <f t="shared" si="141"/>
        <v>1.3036703448370268E-3</v>
      </c>
      <c r="J889" s="20">
        <f t="shared" si="139"/>
        <v>-3.8857805861880479E-16</v>
      </c>
      <c r="K889" s="10">
        <f t="shared" si="142"/>
        <v>8.7581888594598922E-3</v>
      </c>
      <c r="L889" s="10">
        <f t="shared" si="143"/>
        <v>5.2549133156759575E-3</v>
      </c>
    </row>
    <row r="890" spans="1:12" x14ac:dyDescent="0.2">
      <c r="A890" s="14">
        <v>0.82499999999999996</v>
      </c>
      <c r="B890" s="10">
        <f t="shared" si="133"/>
        <v>1.5505974124111666</v>
      </c>
      <c r="C890" s="10">
        <f t="shared" si="134"/>
        <v>0.5039441590336291</v>
      </c>
      <c r="D890" s="10">
        <f t="shared" si="135"/>
        <v>2.6541964657660495</v>
      </c>
      <c r="E890" s="10">
        <f t="shared" si="136"/>
        <v>14.213560387128522</v>
      </c>
      <c r="F890" s="10">
        <f t="shared" si="140"/>
        <v>0.12460042755932754</v>
      </c>
      <c r="G890" s="10">
        <f t="shared" si="137"/>
        <v>0.18335050625876348</v>
      </c>
      <c r="H890" s="10">
        <f t="shared" si="138"/>
        <v>0.54570964493848184</v>
      </c>
      <c r="I890" s="10">
        <f t="shared" si="141"/>
        <v>1.3100187036014788E-3</v>
      </c>
      <c r="J890" s="20">
        <f t="shared" si="139"/>
        <v>-4.4408920985006262E-16</v>
      </c>
      <c r="K890" s="10">
        <f t="shared" si="142"/>
        <v>8.8049566629488929E-3</v>
      </c>
      <c r="L890" s="10">
        <f t="shared" si="143"/>
        <v>5.2829739977692802E-3</v>
      </c>
    </row>
    <row r="891" spans="1:12" x14ac:dyDescent="0.2">
      <c r="A891" s="14">
        <v>0.82599999999999996</v>
      </c>
      <c r="B891" s="10">
        <f t="shared" si="133"/>
        <v>1.5575394743064488</v>
      </c>
      <c r="C891" s="10">
        <f t="shared" si="134"/>
        <v>0.50775786862390226</v>
      </c>
      <c r="D891" s="10">
        <f t="shared" si="135"/>
        <v>2.6630486764269961</v>
      </c>
      <c r="E891" s="10">
        <f t="shared" si="136"/>
        <v>14.339940363728187</v>
      </c>
      <c r="F891" s="10">
        <f t="shared" si="140"/>
        <v>0.12637997659966516</v>
      </c>
      <c r="G891" s="10">
        <f t="shared" si="137"/>
        <v>0.18866183265533182</v>
      </c>
      <c r="H891" s="10">
        <f t="shared" si="138"/>
        <v>0.54702605651131508</v>
      </c>
      <c r="I891" s="10">
        <f t="shared" si="141"/>
        <v>1.3164115728332426E-3</v>
      </c>
      <c r="J891" s="20">
        <f t="shared" si="139"/>
        <v>0</v>
      </c>
      <c r="K891" s="10">
        <f t="shared" si="142"/>
        <v>8.8522106609465467E-3</v>
      </c>
      <c r="L891" s="10">
        <f t="shared" si="143"/>
        <v>5.3113263965683388E-3</v>
      </c>
    </row>
    <row r="892" spans="1:12" x14ac:dyDescent="0.2">
      <c r="A892" s="14">
        <v>0.82699999999999996</v>
      </c>
      <c r="B892" s="10">
        <f t="shared" si="133"/>
        <v>1.5645131005259121</v>
      </c>
      <c r="C892" s="10">
        <f t="shared" si="134"/>
        <v>0.51159578387197313</v>
      </c>
      <c r="D892" s="10">
        <f t="shared" si="135"/>
        <v>2.6719486355038309</v>
      </c>
      <c r="E892" s="10">
        <f t="shared" si="136"/>
        <v>14.468134862846009</v>
      </c>
      <c r="F892" s="10">
        <f t="shared" si="140"/>
        <v>0.12819449911782144</v>
      </c>
      <c r="G892" s="10">
        <f t="shared" si="137"/>
        <v>0.19400180810143242</v>
      </c>
      <c r="H892" s="10">
        <f t="shared" si="138"/>
        <v>0.54834890594944308</v>
      </c>
      <c r="I892" s="10">
        <f t="shared" si="141"/>
        <v>1.3228494381279932E-3</v>
      </c>
      <c r="J892" s="20">
        <f t="shared" si="139"/>
        <v>-3.3306690738754696E-16</v>
      </c>
      <c r="K892" s="10">
        <f t="shared" si="142"/>
        <v>8.8999590768348291E-3</v>
      </c>
      <c r="L892" s="10">
        <f t="shared" si="143"/>
        <v>5.3399754461005977E-3</v>
      </c>
    </row>
    <row r="893" spans="1:12" x14ac:dyDescent="0.2">
      <c r="A893" s="14">
        <v>0.82799999999999996</v>
      </c>
      <c r="B893" s="10">
        <f t="shared" si="133"/>
        <v>1.5715186775718064</v>
      </c>
      <c r="C893" s="10">
        <f t="shared" si="134"/>
        <v>0.51545812624355247</v>
      </c>
      <c r="D893" s="10">
        <f t="shared" si="135"/>
        <v>2.6808968458260716</v>
      </c>
      <c r="E893" s="10">
        <f t="shared" si="136"/>
        <v>14.598179743311789</v>
      </c>
      <c r="F893" s="10">
        <f t="shared" si="140"/>
        <v>0.13004488046578011</v>
      </c>
      <c r="G893" s="10">
        <f t="shared" si="137"/>
        <v>0.1993707342947767</v>
      </c>
      <c r="H893" s="10">
        <f t="shared" si="138"/>
        <v>0.54967823874252986</v>
      </c>
      <c r="I893" s="10">
        <f t="shared" si="141"/>
        <v>1.3293327930867793E-3</v>
      </c>
      <c r="J893" s="20">
        <f t="shared" si="139"/>
        <v>-3.3306690738754696E-16</v>
      </c>
      <c r="K893" s="10">
        <f t="shared" si="142"/>
        <v>8.9482103222406906E-3</v>
      </c>
      <c r="L893" s="10">
        <f t="shared" si="143"/>
        <v>5.3689261933442811E-3</v>
      </c>
    </row>
    <row r="894" spans="1:12" x14ac:dyDescent="0.2">
      <c r="A894" s="14">
        <v>0.82899999999999996</v>
      </c>
      <c r="B894" s="10">
        <f t="shared" si="133"/>
        <v>1.5785565986326349</v>
      </c>
      <c r="C894" s="10">
        <f t="shared" si="134"/>
        <v>0.51934512095013685</v>
      </c>
      <c r="D894" s="10">
        <f t="shared" si="135"/>
        <v>2.6898938188285593</v>
      </c>
      <c r="E894" s="10">
        <f t="shared" si="136"/>
        <v>14.73011177687882</v>
      </c>
      <c r="F894" s="10">
        <f t="shared" si="140"/>
        <v>0.13193203356703087</v>
      </c>
      <c r="G894" s="10">
        <f t="shared" si="137"/>
        <v>0.20476891809626979</v>
      </c>
      <c r="H894" s="10">
        <f t="shared" si="138"/>
        <v>0.5510141008820304</v>
      </c>
      <c r="I894" s="10">
        <f t="shared" si="141"/>
        <v>1.3358621395005432E-3</v>
      </c>
      <c r="J894" s="20">
        <f t="shared" si="139"/>
        <v>0</v>
      </c>
      <c r="K894" s="10">
        <f t="shared" si="142"/>
        <v>8.9969730024876959E-3</v>
      </c>
      <c r="L894" s="10">
        <f t="shared" si="143"/>
        <v>5.398183801493095E-3</v>
      </c>
    </row>
    <row r="895" spans="1:12" x14ac:dyDescent="0.2">
      <c r="A895" s="14">
        <v>0.83</v>
      </c>
      <c r="B895" s="10">
        <f t="shared" si="133"/>
        <v>1.5856272637403817</v>
      </c>
      <c r="C895" s="10">
        <f t="shared" si="134"/>
        <v>0.52325699703432593</v>
      </c>
      <c r="D895" s="10">
        <f t="shared" si="135"/>
        <v>2.6989400747507966</v>
      </c>
      <c r="E895" s="10">
        <f t="shared" si="136"/>
        <v>14.863968676818326</v>
      </c>
      <c r="F895" s="10">
        <f t="shared" si="140"/>
        <v>0.13385689993950578</v>
      </c>
      <c r="G895" s="10">
        <f t="shared" si="137"/>
        <v>0.21019667164961164</v>
      </c>
      <c r="H895" s="10">
        <f t="shared" si="138"/>
        <v>0.55235653886957503</v>
      </c>
      <c r="I895" s="10">
        <f t="shared" si="141"/>
        <v>1.3424379875446313E-3</v>
      </c>
      <c r="J895" s="20">
        <f t="shared" si="139"/>
        <v>-3.3306690738754696E-16</v>
      </c>
      <c r="K895" s="10">
        <f t="shared" si="142"/>
        <v>9.0462559222372896E-3</v>
      </c>
      <c r="L895" s="10">
        <f t="shared" si="143"/>
        <v>5.4277535533418519E-3</v>
      </c>
    </row>
    <row r="896" spans="1:12" x14ac:dyDescent="0.2">
      <c r="A896" s="14">
        <v>0.83099999999999996</v>
      </c>
      <c r="B896" s="10">
        <f t="shared" si="133"/>
        <v>1.5927310799323744</v>
      </c>
      <c r="C896" s="10">
        <f t="shared" si="134"/>
        <v>0.52719398745761581</v>
      </c>
      <c r="D896" s="10">
        <f t="shared" si="135"/>
        <v>2.7080361428421069</v>
      </c>
      <c r="E896" s="10">
        <f t="shared" si="136"/>
        <v>14.999789127580707</v>
      </c>
      <c r="F896" s="10">
        <f t="shared" si="140"/>
        <v>0.13582045076238103</v>
      </c>
      <c r="G896" s="10">
        <f t="shared" si="137"/>
        <v>0.21565431250439815</v>
      </c>
      <c r="H896" s="10">
        <f t="shared" si="138"/>
        <v>0.55370559972554945</v>
      </c>
      <c r="I896" s="10">
        <f t="shared" si="141"/>
        <v>1.3490608559744155E-3</v>
      </c>
      <c r="J896" s="20">
        <f t="shared" si="139"/>
        <v>-2.2204460492503131E-16</v>
      </c>
      <c r="K896" s="10">
        <f t="shared" si="142"/>
        <v>9.0960680913103609E-3</v>
      </c>
      <c r="L896" s="10">
        <f t="shared" si="143"/>
        <v>5.4576408547865052E-3</v>
      </c>
    </row>
    <row r="897" spans="1:12" x14ac:dyDescent="0.2">
      <c r="A897" s="14">
        <v>0.83199999999999996</v>
      </c>
      <c r="B897" s="10">
        <f t="shared" si="133"/>
        <v>1.5998684614179493</v>
      </c>
      <c r="C897" s="10">
        <f t="shared" si="134"/>
        <v>0.53115632919075906</v>
      </c>
      <c r="D897" s="10">
        <f t="shared" si="135"/>
        <v>2.7171825615728578</v>
      </c>
      <c r="E897" s="10">
        <f t="shared" si="136"/>
        <v>15.137612815570472</v>
      </c>
      <c r="F897" s="10">
        <f t="shared" si="140"/>
        <v>0.13782368798976563</v>
      </c>
      <c r="G897" s="10">
        <f t="shared" si="137"/>
        <v>0.22114216374284834</v>
      </c>
      <c r="H897" s="10">
        <f t="shared" si="138"/>
        <v>0.55506133099788102</v>
      </c>
      <c r="I897" s="10">
        <f t="shared" si="141"/>
        <v>1.3557312723315729E-3</v>
      </c>
      <c r="J897" s="20">
        <f t="shared" si="139"/>
        <v>-4.4408920985006262E-16</v>
      </c>
      <c r="K897" s="10">
        <f t="shared" si="142"/>
        <v>9.1464187307508382E-3</v>
      </c>
      <c r="L897" s="10">
        <f t="shared" si="143"/>
        <v>5.4878512384501921E-3</v>
      </c>
    </row>
    <row r="898" spans="1:12" x14ac:dyDescent="0.2">
      <c r="A898" s="14">
        <v>0.83299999999999996</v>
      </c>
      <c r="B898" s="10">
        <f t="shared" ref="B898:B961" si="144">LN(A898/(1-A898))</f>
        <v>1.6070398297500872</v>
      </c>
      <c r="C898" s="10">
        <f t="shared" ref="C898:C961" si="145">(A898-0.5)*B898</f>
        <v>0.535144263306779</v>
      </c>
      <c r="D898" s="10">
        <f t="shared" ref="D898:D961" si="146">$B$45+$B$46*B898+$B$47*C898</f>
        <v>2.7263798788519216</v>
      </c>
      <c r="E898" s="10">
        <f t="shared" ref="E898:E961" si="147">$B$14+EXP(D898)</f>
        <v>15.277480461082849</v>
      </c>
      <c r="F898" s="10">
        <f t="shared" si="140"/>
        <v>0.13986764551237663</v>
      </c>
      <c r="G898" s="10">
        <f t="shared" ref="G898:G961" si="148">$C$45+$C$46*B898+$C$47*C898</f>
        <v>0.22666055411028696</v>
      </c>
      <c r="H898" s="10">
        <f t="shared" ref="H898:H961" si="149">$C$14+($C$15-$C$14)/(1+EXP(-G898))</f>
        <v>0.55642378077103305</v>
      </c>
      <c r="I898" s="10">
        <f t="shared" si="141"/>
        <v>1.3624497731520302E-3</v>
      </c>
      <c r="J898" s="20">
        <f t="shared" ref="J898:J961" si="150">G898-($B$22+$B$21*D898)</f>
        <v>0</v>
      </c>
      <c r="K898" s="10">
        <f t="shared" si="142"/>
        <v>9.1973172790638102E-3</v>
      </c>
      <c r="L898" s="10">
        <f t="shared" si="143"/>
        <v>5.5183903674386192E-3</v>
      </c>
    </row>
    <row r="899" spans="1:12" x14ac:dyDescent="0.2">
      <c r="A899" s="14">
        <v>0.83399999999999996</v>
      </c>
      <c r="B899" s="10">
        <f t="shared" si="144"/>
        <v>1.6142456140022032</v>
      </c>
      <c r="C899" s="10">
        <f t="shared" si="145"/>
        <v>0.53915803507673588</v>
      </c>
      <c r="D899" s="10">
        <f t="shared" si="146"/>
        <v>2.7356286522506363</v>
      </c>
      <c r="E899" s="10">
        <f t="shared" si="147"/>
        <v>15.41943385145367</v>
      </c>
      <c r="F899" s="10">
        <f t="shared" ref="F899:F962" si="151">E899-E898</f>
        <v>0.141953390370821</v>
      </c>
      <c r="G899" s="10">
        <f t="shared" si="148"/>
        <v>0.23220981814951558</v>
      </c>
      <c r="H899" s="10">
        <f t="shared" si="149"/>
        <v>0.55779299767521784</v>
      </c>
      <c r="I899" s="10">
        <f t="shared" ref="I899:I962" si="152">H899-H898</f>
        <v>1.369216904184789E-3</v>
      </c>
      <c r="J899" s="20">
        <f t="shared" si="150"/>
        <v>-4.4408920985006262E-16</v>
      </c>
      <c r="K899" s="10">
        <f t="shared" ref="K899:K962" si="153">D899-D898</f>
        <v>9.2487733987147713E-3</v>
      </c>
      <c r="L899" s="10">
        <f t="shared" ref="L899:L962" si="154">G899-G898</f>
        <v>5.5492640392286186E-3</v>
      </c>
    </row>
    <row r="900" spans="1:12" x14ac:dyDescent="0.2">
      <c r="A900" s="14">
        <v>0.83499999999999996</v>
      </c>
      <c r="B900" s="10">
        <f t="shared" si="144"/>
        <v>1.6214862509502748</v>
      </c>
      <c r="C900" s="10">
        <f t="shared" si="145"/>
        <v>0.54319789406834196</v>
      </c>
      <c r="D900" s="10">
        <f t="shared" si="146"/>
        <v>2.7449294492334686</v>
      </c>
      <c r="E900" s="10">
        <f t="shared" si="147"/>
        <v>15.563515875475717</v>
      </c>
      <c r="F900" s="10">
        <f t="shared" si="151"/>
        <v>0.14408202402204751</v>
      </c>
      <c r="G900" s="10">
        <f t="shared" si="148"/>
        <v>0.23779029633921506</v>
      </c>
      <c r="H900" s="10">
        <f t="shared" si="149"/>
        <v>0.55916903089583214</v>
      </c>
      <c r="I900" s="10">
        <f t="shared" si="152"/>
        <v>1.3760332206143033E-3</v>
      </c>
      <c r="J900" s="20">
        <f t="shared" si="150"/>
        <v>-2.7755575615628914E-16</v>
      </c>
      <c r="K900" s="10">
        <f t="shared" si="153"/>
        <v>9.3007969828322601E-3</v>
      </c>
      <c r="L900" s="10">
        <f t="shared" si="154"/>
        <v>5.5804781896994782E-3</v>
      </c>
    </row>
    <row r="901" spans="1:12" x14ac:dyDescent="0.2">
      <c r="A901" s="14">
        <v>0.83599999999999997</v>
      </c>
      <c r="B901" s="10">
        <f t="shared" si="144"/>
        <v>1.6287621852605028</v>
      </c>
      <c r="C901" s="10">
        <f t="shared" si="145"/>
        <v>0.54726409424752887</v>
      </c>
      <c r="D901" s="10">
        <f t="shared" si="146"/>
        <v>2.7542828473956487</v>
      </c>
      <c r="E901" s="10">
        <f t="shared" si="147"/>
        <v>15.709770559138228</v>
      </c>
      <c r="F901" s="10">
        <f t="shared" si="151"/>
        <v>0.14625468366251049</v>
      </c>
      <c r="G901" s="10">
        <f t="shared" si="148"/>
        <v>0.24340233523652305</v>
      </c>
      <c r="H901" s="10">
        <f t="shared" si="149"/>
        <v>0.56055193018312355</v>
      </c>
      <c r="I901" s="10">
        <f t="shared" si="152"/>
        <v>1.3828992872914059E-3</v>
      </c>
      <c r="J901" s="20">
        <f t="shared" si="150"/>
        <v>-2.7755575615628914E-16</v>
      </c>
      <c r="K901" s="10">
        <f t="shared" si="153"/>
        <v>9.3533981621800599E-3</v>
      </c>
      <c r="L901" s="10">
        <f t="shared" si="154"/>
        <v>5.6120388973079915E-3</v>
      </c>
    </row>
    <row r="902" spans="1:12" x14ac:dyDescent="0.2">
      <c r="A902" s="14">
        <v>0.83699999999999997</v>
      </c>
      <c r="B902" s="10">
        <f t="shared" si="144"/>
        <v>1.6360738696827126</v>
      </c>
      <c r="C902" s="10">
        <f t="shared" si="145"/>
        <v>0.55135689408307409</v>
      </c>
      <c r="D902" s="10">
        <f t="shared" si="146"/>
        <v>2.7636894347080134</v>
      </c>
      <c r="E902" s="10">
        <f t="shared" si="147"/>
        <v>15.858243102748453</v>
      </c>
      <c r="F902" s="10">
        <f t="shared" si="151"/>
        <v>0.14847254361022522</v>
      </c>
      <c r="G902" s="10">
        <f t="shared" si="148"/>
        <v>0.24904628762394182</v>
      </c>
      <c r="H902" s="10">
        <f t="shared" si="149"/>
        <v>0.56194174586209489</v>
      </c>
      <c r="I902" s="10">
        <f t="shared" si="152"/>
        <v>1.3898156789713401E-3</v>
      </c>
      <c r="J902" s="20">
        <f t="shared" si="150"/>
        <v>-2.7755575615628914E-16</v>
      </c>
      <c r="K902" s="10">
        <f t="shared" si="153"/>
        <v>9.406587312364767E-3</v>
      </c>
      <c r="L902" s="10">
        <f t="shared" si="154"/>
        <v>5.6439523874187714E-3</v>
      </c>
    </row>
    <row r="903" spans="1:12" x14ac:dyDescent="0.2">
      <c r="A903" s="14">
        <v>0.83799999999999997</v>
      </c>
      <c r="B903" s="10">
        <f t="shared" si="144"/>
        <v>1.6434217652496987</v>
      </c>
      <c r="C903" s="10">
        <f t="shared" si="145"/>
        <v>0.5554765566543981</v>
      </c>
      <c r="D903" s="10">
        <f t="shared" si="146"/>
        <v>2.7731498097693286</v>
      </c>
      <c r="E903" s="10">
        <f t="shared" si="147"/>
        <v>16.008979919497595</v>
      </c>
      <c r="F903" s="10">
        <f t="shared" si="151"/>
        <v>0.15073681674914141</v>
      </c>
      <c r="G903" s="10">
        <f t="shared" si="148"/>
        <v>0.25472251266073093</v>
      </c>
      <c r="H903" s="10">
        <f t="shared" si="149"/>
        <v>0.56333852884265323</v>
      </c>
      <c r="I903" s="10">
        <f t="shared" si="152"/>
        <v>1.396782980558342E-3</v>
      </c>
      <c r="J903" s="20">
        <f t="shared" si="150"/>
        <v>0</v>
      </c>
      <c r="K903" s="10">
        <f t="shared" si="153"/>
        <v>9.4603750613151405E-3</v>
      </c>
      <c r="L903" s="10">
        <f t="shared" si="154"/>
        <v>5.6762250367891065E-3</v>
      </c>
    </row>
    <row r="904" spans="1:12" x14ac:dyDescent="0.2">
      <c r="A904" s="14">
        <v>0.83899999999999997</v>
      </c>
      <c r="B904" s="10">
        <f t="shared" si="144"/>
        <v>1.650806341482743</v>
      </c>
      <c r="C904" s="10">
        <f t="shared" si="145"/>
        <v>0.55962334976264982</v>
      </c>
      <c r="D904" s="10">
        <f t="shared" si="146"/>
        <v>2.7826645820663711</v>
      </c>
      <c r="E904" s="10">
        <f t="shared" si="147"/>
        <v>16.162028675536611</v>
      </c>
      <c r="F904" s="10">
        <f t="shared" si="151"/>
        <v>0.15304875603901635</v>
      </c>
      <c r="G904" s="10">
        <f t="shared" si="148"/>
        <v>0.2604313760389565</v>
      </c>
      <c r="H904" s="10">
        <f t="shared" si="149"/>
        <v>0.56474233063001289</v>
      </c>
      <c r="I904" s="10">
        <f t="shared" si="152"/>
        <v>1.4038017873596598E-3</v>
      </c>
      <c r="J904" s="20">
        <f t="shared" si="150"/>
        <v>0</v>
      </c>
      <c r="K904" s="10">
        <f t="shared" si="153"/>
        <v>9.5147722970425619E-3</v>
      </c>
      <c r="L904" s="10">
        <f t="shared" si="154"/>
        <v>5.7088633782255704E-3</v>
      </c>
    </row>
    <row r="905" spans="1:12" x14ac:dyDescent="0.2">
      <c r="A905" s="14">
        <v>0.84</v>
      </c>
      <c r="B905" s="10">
        <f t="shared" si="144"/>
        <v>1.6582280766035322</v>
      </c>
      <c r="C905" s="10">
        <f t="shared" si="145"/>
        <v>0.56379754604520094</v>
      </c>
      <c r="D905" s="10">
        <f t="shared" si="146"/>
        <v>2.7922343722420537</v>
      </c>
      <c r="E905" s="10">
        <f t="shared" si="147"/>
        <v>16.31743833163058</v>
      </c>
      <c r="F905" s="10">
        <f t="shared" si="151"/>
        <v>0.15540965609396906</v>
      </c>
      <c r="G905" s="10">
        <f t="shared" si="148"/>
        <v>0.26617325014436582</v>
      </c>
      <c r="H905" s="10">
        <f t="shared" si="149"/>
        <v>0.56615320333535946</v>
      </c>
      <c r="I905" s="10">
        <f t="shared" si="152"/>
        <v>1.4108727053465664E-3</v>
      </c>
      <c r="J905" s="20">
        <f t="shared" si="150"/>
        <v>-4.9960036108132044E-16</v>
      </c>
      <c r="K905" s="10">
        <f t="shared" si="153"/>
        <v>9.569790175682602E-3</v>
      </c>
      <c r="L905" s="10">
        <f t="shared" si="154"/>
        <v>5.7418741054093281E-3</v>
      </c>
    </row>
    <row r="906" spans="1:12" x14ac:dyDescent="0.2">
      <c r="A906" s="14">
        <v>0.84099999999999997</v>
      </c>
      <c r="B906" s="10">
        <f t="shared" si="144"/>
        <v>1.6656874577527163</v>
      </c>
      <c r="C906" s="10">
        <f t="shared" si="145"/>
        <v>0.56799942309367624</v>
      </c>
      <c r="D906" s="10">
        <f t="shared" si="146"/>
        <v>2.8018598123718936</v>
      </c>
      <c r="E906" s="10">
        <f t="shared" si="147"/>
        <v>16.475259186463994</v>
      </c>
      <c r="F906" s="10">
        <f t="shared" si="151"/>
        <v>0.1578208548334139</v>
      </c>
      <c r="G906" s="10">
        <f t="shared" si="148"/>
        <v>0.27194851422227018</v>
      </c>
      <c r="H906" s="10">
        <f t="shared" si="149"/>
        <v>0.56757119968678382</v>
      </c>
      <c r="I906" s="10">
        <f t="shared" si="152"/>
        <v>1.4179963514243665E-3</v>
      </c>
      <c r="J906" s="20">
        <f t="shared" si="150"/>
        <v>0</v>
      </c>
      <c r="K906" s="10">
        <f t="shared" si="153"/>
        <v>9.6254401298399017E-3</v>
      </c>
      <c r="L906" s="10">
        <f t="shared" si="154"/>
        <v>5.7752640779043518E-3</v>
      </c>
    </row>
    <row r="907" spans="1:12" x14ac:dyDescent="0.2">
      <c r="A907" s="14">
        <v>0.84199999999999997</v>
      </c>
      <c r="B907" s="10">
        <f t="shared" si="144"/>
        <v>1.6731849812153599</v>
      </c>
      <c r="C907" s="10">
        <f t="shared" si="145"/>
        <v>0.57222926357565307</v>
      </c>
      <c r="D907" s="10">
        <f t="shared" si="146"/>
        <v>2.8115415462491486</v>
      </c>
      <c r="E907" s="10">
        <f t="shared" si="147"/>
        <v>16.635542921673377</v>
      </c>
      <c r="F907" s="10">
        <f t="shared" si="151"/>
        <v>0.16028373520938288</v>
      </c>
      <c r="G907" s="10">
        <f t="shared" si="148"/>
        <v>0.27775755454862289</v>
      </c>
      <c r="H907" s="10">
        <f t="shared" si="149"/>
        <v>0.56899637304049422</v>
      </c>
      <c r="I907" s="10">
        <f t="shared" si="152"/>
        <v>1.4251733537103961E-3</v>
      </c>
      <c r="J907" s="20">
        <f t="shared" si="150"/>
        <v>0</v>
      </c>
      <c r="K907" s="10">
        <f t="shared" si="153"/>
        <v>9.6817338772550166E-3</v>
      </c>
      <c r="L907" s="10">
        <f t="shared" si="154"/>
        <v>5.8090403263527102E-3</v>
      </c>
    </row>
    <row r="908" spans="1:12" x14ac:dyDescent="0.2">
      <c r="A908" s="14">
        <v>0.84299999999999997</v>
      </c>
      <c r="B908" s="10">
        <f t="shared" si="144"/>
        <v>1.680721152653547</v>
      </c>
      <c r="C908" s="10">
        <f t="shared" si="145"/>
        <v>0.5764873553601666</v>
      </c>
      <c r="D908" s="10">
        <f t="shared" si="146"/>
        <v>2.8212802296789286</v>
      </c>
      <c r="E908" s="10">
        <f t="shared" si="147"/>
        <v>16.798342648686994</v>
      </c>
      <c r="F908" s="10">
        <f t="shared" si="151"/>
        <v>0.162799727013617</v>
      </c>
      <c r="G908" s="10">
        <f t="shared" si="148"/>
        <v>0.28360076460649103</v>
      </c>
      <c r="H908" s="10">
        <f t="shared" si="149"/>
        <v>0.57042877739231679</v>
      </c>
      <c r="I908" s="10">
        <f t="shared" si="152"/>
        <v>1.4324043518225693E-3</v>
      </c>
      <c r="J908" s="20">
        <f t="shared" si="150"/>
        <v>0</v>
      </c>
      <c r="K908" s="10">
        <f t="shared" si="153"/>
        <v>9.7386834297799041E-3</v>
      </c>
      <c r="L908" s="10">
        <f t="shared" si="154"/>
        <v>5.8432100578681423E-3</v>
      </c>
    </row>
    <row r="909" spans="1:12" x14ac:dyDescent="0.2">
      <c r="A909" s="14">
        <v>0.84399999999999997</v>
      </c>
      <c r="B909" s="10">
        <f t="shared" si="144"/>
        <v>1.6882964873464199</v>
      </c>
      <c r="C909" s="10">
        <f t="shared" si="145"/>
        <v>0.58077399164716836</v>
      </c>
      <c r="D909" s="10">
        <f t="shared" si="146"/>
        <v>2.8310765307816563</v>
      </c>
      <c r="E909" s="10">
        <f t="shared" si="147"/>
        <v>16.963712957456714</v>
      </c>
      <c r="F909" s="10">
        <f t="shared" si="151"/>
        <v>0.16537030876972025</v>
      </c>
      <c r="G909" s="10">
        <f t="shared" si="148"/>
        <v>0.28947854526812761</v>
      </c>
      <c r="H909" s="10">
        <f t="shared" si="149"/>
        <v>0.57186846738949282</v>
      </c>
      <c r="I909" s="10">
        <f t="shared" si="152"/>
        <v>1.4396899971760302E-3</v>
      </c>
      <c r="J909" s="20">
        <f t="shared" si="150"/>
        <v>0</v>
      </c>
      <c r="K909" s="10">
        <f t="shared" si="153"/>
        <v>9.796301102727778E-3</v>
      </c>
      <c r="L909" s="10">
        <f t="shared" si="154"/>
        <v>5.877780661636578E-3</v>
      </c>
    </row>
    <row r="910" spans="1:12" x14ac:dyDescent="0.2">
      <c r="A910" s="14">
        <v>0.84499999999999997</v>
      </c>
      <c r="B910" s="10">
        <f t="shared" si="144"/>
        <v>1.695911510437927</v>
      </c>
      <c r="C910" s="10">
        <f t="shared" si="145"/>
        <v>0.58508947110108478</v>
      </c>
      <c r="D910" s="10">
        <f t="shared" si="146"/>
        <v>2.8409311303062008</v>
      </c>
      <c r="E910" s="10">
        <f t="shared" si="147"/>
        <v>17.131709967170359</v>
      </c>
      <c r="F910" s="10">
        <f t="shared" si="151"/>
        <v>0.16799700971364473</v>
      </c>
      <c r="G910" s="10">
        <f t="shared" si="148"/>
        <v>0.29539130498285421</v>
      </c>
      <c r="H910" s="10">
        <f t="shared" si="149"/>
        <v>0.57331549834278306</v>
      </c>
      <c r="I910" s="10">
        <f t="shared" si="152"/>
        <v>1.4470309532902403E-3</v>
      </c>
      <c r="J910" s="20">
        <f t="shared" si="150"/>
        <v>-4.9960036108132044E-16</v>
      </c>
      <c r="K910" s="10">
        <f t="shared" si="153"/>
        <v>9.8545995245444828E-3</v>
      </c>
      <c r="L910" s="10">
        <f t="shared" si="154"/>
        <v>5.9127597147266009E-3</v>
      </c>
    </row>
    <row r="911" spans="1:12" x14ac:dyDescent="0.2">
      <c r="A911" s="14">
        <v>0.84599999999999997</v>
      </c>
      <c r="B911" s="10">
        <f t="shared" si="144"/>
        <v>1.7035667571925939</v>
      </c>
      <c r="C911" s="10">
        <f t="shared" si="145"/>
        <v>0.58943409798863744</v>
      </c>
      <c r="D911" s="10">
        <f t="shared" si="146"/>
        <v>2.8508447219530879</v>
      </c>
      <c r="E911" s="10">
        <f t="shared" si="147"/>
        <v>17.30239137903877</v>
      </c>
      <c r="F911" s="10">
        <f t="shared" si="151"/>
        <v>0.17068141186841146</v>
      </c>
      <c r="G911" s="10">
        <f t="shared" si="148"/>
        <v>0.30133945997098655</v>
      </c>
      <c r="H911" s="10">
        <f t="shared" si="149"/>
        <v>0.57476992623889045</v>
      </c>
      <c r="I911" s="10">
        <f t="shared" si="152"/>
        <v>1.4544278961073909E-3</v>
      </c>
      <c r="J911" s="20">
        <f t="shared" si="150"/>
        <v>0</v>
      </c>
      <c r="K911" s="10">
        <f t="shared" si="153"/>
        <v>9.9135916468870988E-3</v>
      </c>
      <c r="L911" s="10">
        <f t="shared" si="154"/>
        <v>5.948154988132337E-3</v>
      </c>
    </row>
    <row r="912" spans="1:12" x14ac:dyDescent="0.2">
      <c r="A912" s="14">
        <v>0.84699999999999998</v>
      </c>
      <c r="B912" s="10">
        <f t="shared" si="144"/>
        <v>1.7112627732596188</v>
      </c>
      <c r="C912" s="10">
        <f t="shared" si="145"/>
        <v>0.59380818232108767</v>
      </c>
      <c r="D912" s="10">
        <f t="shared" si="146"/>
        <v>2.8608180127081617</v>
      </c>
      <c r="E912" s="10">
        <f t="shared" si="147"/>
        <v>17.475816531256225</v>
      </c>
      <c r="F912" s="10">
        <f t="shared" si="151"/>
        <v>0.17342515221745458</v>
      </c>
      <c r="G912" s="10">
        <f t="shared" si="148"/>
        <v>0.30732343442403059</v>
      </c>
      <c r="H912" s="10">
        <f t="shared" si="149"/>
        <v>0.57623180775320904</v>
      </c>
      <c r="I912" s="10">
        <f t="shared" si="152"/>
        <v>1.4618815143185859E-3</v>
      </c>
      <c r="J912" s="20">
        <f t="shared" si="150"/>
        <v>-6.106226635438361E-16</v>
      </c>
      <c r="K912" s="10">
        <f t="shared" si="153"/>
        <v>9.9732907550738048E-3</v>
      </c>
      <c r="L912" s="10">
        <f t="shared" si="154"/>
        <v>5.9839744530440497E-3</v>
      </c>
    </row>
    <row r="913" spans="1:12" x14ac:dyDescent="0.2">
      <c r="A913" s="14">
        <v>0.84799999999999998</v>
      </c>
      <c r="B913" s="10">
        <f t="shared" si="144"/>
        <v>1.7190001149456264</v>
      </c>
      <c r="C913" s="10">
        <f t="shared" si="145"/>
        <v>0.59821204000107797</v>
      </c>
      <c r="D913" s="10">
        <f t="shared" si="146"/>
        <v>2.8708517231871098</v>
      </c>
      <c r="E913" s="10">
        <f t="shared" si="147"/>
        <v>17.65204645623832</v>
      </c>
      <c r="F913" s="10">
        <f t="shared" si="151"/>
        <v>0.17622992498209555</v>
      </c>
      <c r="G913" s="10">
        <f t="shared" si="148"/>
        <v>0.31334366071139969</v>
      </c>
      <c r="H913" s="10">
        <f t="shared" si="149"/>
        <v>0.57770120026291438</v>
      </c>
      <c r="I913" s="10">
        <f t="shared" si="152"/>
        <v>1.4693925097053473E-3</v>
      </c>
      <c r="J913" s="20">
        <f t="shared" si="150"/>
        <v>0</v>
      </c>
      <c r="K913" s="10">
        <f t="shared" si="153"/>
        <v>1.0033710478948077E-2</v>
      </c>
      <c r="L913" s="10">
        <f t="shared" si="154"/>
        <v>6.0202262873690904E-3</v>
      </c>
    </row>
    <row r="914" spans="1:12" x14ac:dyDescent="0.2">
      <c r="A914" s="14">
        <v>0.84899999999999998</v>
      </c>
      <c r="B914" s="10">
        <f t="shared" si="144"/>
        <v>1.7267793494964228</v>
      </c>
      <c r="C914" s="10">
        <f t="shared" si="145"/>
        <v>0.60264599297425148</v>
      </c>
      <c r="D914" s="10">
        <f t="shared" si="146"/>
        <v>2.8809465879912901</v>
      </c>
      <c r="E914" s="10">
        <f t="shared" si="147"/>
        <v>17.831143940247568</v>
      </c>
      <c r="F914" s="10">
        <f t="shared" si="151"/>
        <v>0.17909748400924741</v>
      </c>
      <c r="G914" s="10">
        <f t="shared" si="148"/>
        <v>0.31940057959390777</v>
      </c>
      <c r="H914" s="10">
        <f t="shared" si="149"/>
        <v>0.57917816186040272</v>
      </c>
      <c r="I914" s="10">
        <f t="shared" si="152"/>
        <v>1.4769615974883354E-3</v>
      </c>
      <c r="J914" s="20">
        <f t="shared" si="150"/>
        <v>0</v>
      </c>
      <c r="K914" s="10">
        <f t="shared" si="153"/>
        <v>1.0094864804180315E-2</v>
      </c>
      <c r="L914" s="10">
        <f t="shared" si="154"/>
        <v>6.0569188825080889E-3</v>
      </c>
    </row>
    <row r="915" spans="1:12" x14ac:dyDescent="0.2">
      <c r="A915" s="14">
        <v>0.85</v>
      </c>
      <c r="B915" s="10">
        <f t="shared" si="144"/>
        <v>1.7346010553881064</v>
      </c>
      <c r="C915" s="10">
        <f t="shared" si="145"/>
        <v>0.60711036938583718</v>
      </c>
      <c r="D915" s="10">
        <f t="shared" si="146"/>
        <v>2.8911033560752903</v>
      </c>
      <c r="E915" s="10">
        <f t="shared" si="147"/>
        <v>18.013173585522271</v>
      </c>
      <c r="F915" s="10">
        <f t="shared" si="151"/>
        <v>0.182029645274703</v>
      </c>
      <c r="G915" s="10">
        <f t="shared" si="148"/>
        <v>0.32549464044430798</v>
      </c>
      <c r="H915" s="10">
        <f t="shared" si="149"/>
        <v>0.58066275136709466</v>
      </c>
      <c r="I915" s="10">
        <f t="shared" si="152"/>
        <v>1.4845895066919468E-3</v>
      </c>
      <c r="J915" s="20">
        <f t="shared" si="150"/>
        <v>-4.4408920985006262E-16</v>
      </c>
      <c r="K915" s="10">
        <f t="shared" si="153"/>
        <v>1.0156768084000234E-2</v>
      </c>
      <c r="L915" s="10">
        <f t="shared" si="154"/>
        <v>6.094060850400207E-3</v>
      </c>
    </row>
    <row r="916" spans="1:12" x14ac:dyDescent="0.2">
      <c r="A916" s="14">
        <v>0.85099999999999998</v>
      </c>
      <c r="B916" s="10">
        <f t="shared" si="144"/>
        <v>1.7424658226279148</v>
      </c>
      <c r="C916" s="10">
        <f t="shared" si="145"/>
        <v>0.61160550374239808</v>
      </c>
      <c r="D916" s="10">
        <f t="shared" si="146"/>
        <v>2.9013227911267059</v>
      </c>
      <c r="E916" s="10">
        <f t="shared" si="147"/>
        <v>18.198201875031497</v>
      </c>
      <c r="F916" s="10">
        <f t="shared" si="151"/>
        <v>0.18502828950922634</v>
      </c>
      <c r="G916" s="10">
        <f t="shared" si="148"/>
        <v>0.33162630147515748</v>
      </c>
      <c r="H916" s="10">
        <f t="shared" si="149"/>
        <v>0.58215502834761301</v>
      </c>
      <c r="I916" s="10">
        <f t="shared" si="152"/>
        <v>1.4922769805183478E-3</v>
      </c>
      <c r="J916" s="20">
        <f t="shared" si="150"/>
        <v>0</v>
      </c>
      <c r="K916" s="10">
        <f t="shared" si="153"/>
        <v>1.0219435051415537E-2</v>
      </c>
      <c r="L916" s="10">
        <f t="shared" si="154"/>
        <v>6.1316610308495001E-3</v>
      </c>
    </row>
    <row r="917" spans="1:12" x14ac:dyDescent="0.2">
      <c r="A917" s="14">
        <v>0.85199999999999998</v>
      </c>
      <c r="B917" s="10">
        <f t="shared" si="144"/>
        <v>1.7503742530652007</v>
      </c>
      <c r="C917" s="10">
        <f t="shared" si="145"/>
        <v>0.61613173707895064</v>
      </c>
      <c r="D917" s="10">
        <f t="shared" si="146"/>
        <v>2.9116056719586201</v>
      </c>
      <c r="E917" s="10">
        <f t="shared" si="147"/>
        <v>18.386297239985275</v>
      </c>
      <c r="F917" s="10">
        <f t="shared" si="151"/>
        <v>0.18809536495377799</v>
      </c>
      <c r="G917" s="10">
        <f t="shared" si="148"/>
        <v>0.33779602997430558</v>
      </c>
      <c r="H917" s="10">
        <f t="shared" si="149"/>
        <v>0.58365505312435073</v>
      </c>
      <c r="I917" s="10">
        <f t="shared" si="152"/>
        <v>1.5000247767377184E-3</v>
      </c>
      <c r="J917" s="20">
        <f t="shared" si="150"/>
        <v>-5.5511151231257827E-16</v>
      </c>
      <c r="K917" s="10">
        <f t="shared" si="153"/>
        <v>1.0282880831914198E-2</v>
      </c>
      <c r="L917" s="10">
        <f t="shared" si="154"/>
        <v>6.1697284991480972E-3</v>
      </c>
    </row>
    <row r="918" spans="1:12" x14ac:dyDescent="0.2">
      <c r="A918" s="14">
        <v>0.85299999999999998</v>
      </c>
      <c r="B918" s="10">
        <f t="shared" si="144"/>
        <v>1.7583269607129426</v>
      </c>
      <c r="C918" s="10">
        <f t="shared" si="145"/>
        <v>0.6206894171316687</v>
      </c>
      <c r="D918" s="10">
        <f t="shared" si="146"/>
        <v>2.9219527929152935</v>
      </c>
      <c r="E918" s="10">
        <f t="shared" si="147"/>
        <v>18.57753013023645</v>
      </c>
      <c r="F918" s="10">
        <f t="shared" si="151"/>
        <v>0.19123289025117529</v>
      </c>
      <c r="G918" s="10">
        <f t="shared" si="148"/>
        <v>0.34400430254830977</v>
      </c>
      <c r="H918" s="10">
        <f t="shared" si="149"/>
        <v>0.585162886792439</v>
      </c>
      <c r="I918" s="10">
        <f t="shared" si="152"/>
        <v>1.5078336680882654E-3</v>
      </c>
      <c r="J918" s="20">
        <f t="shared" si="150"/>
        <v>0</v>
      </c>
      <c r="K918" s="10">
        <f t="shared" si="153"/>
        <v>1.034712095667345E-2</v>
      </c>
      <c r="L918" s="10">
        <f t="shared" si="154"/>
        <v>6.2082725740041922E-3</v>
      </c>
    </row>
    <row r="919" spans="1:12" x14ac:dyDescent="0.2">
      <c r="A919" s="14">
        <v>0.85399999999999998</v>
      </c>
      <c r="B919" s="10">
        <f t="shared" si="144"/>
        <v>1.7663245720802332</v>
      </c>
      <c r="C919" s="10">
        <f t="shared" si="145"/>
        <v>0.6252788985164025</v>
      </c>
      <c r="D919" s="10">
        <f t="shared" si="146"/>
        <v>2.9323649642916236</v>
      </c>
      <c r="E919" s="10">
        <f t="shared" si="147"/>
        <v>18.771973087718933</v>
      </c>
      <c r="F919" s="10">
        <f t="shared" si="151"/>
        <v>0.19444295748248308</v>
      </c>
      <c r="G919" s="10">
        <f t="shared" si="148"/>
        <v>0.35025160537410777</v>
      </c>
      <c r="H919" s="10">
        <f t="shared" si="149"/>
        <v>0.58667859123513422</v>
      </c>
      <c r="I919" s="10">
        <f t="shared" si="152"/>
        <v>1.5157044426952204E-3</v>
      </c>
      <c r="J919" s="20">
        <f t="shared" si="150"/>
        <v>-4.9960036108132044E-16</v>
      </c>
      <c r="K919" s="10">
        <f t="shared" si="153"/>
        <v>1.0412171376330104E-2</v>
      </c>
      <c r="L919" s="10">
        <f t="shared" si="154"/>
        <v>6.2473028257979957E-3</v>
      </c>
    </row>
    <row r="920" spans="1:12" x14ac:dyDescent="0.2">
      <c r="A920" s="14">
        <v>0.85499999999999998</v>
      </c>
      <c r="B920" s="10">
        <f t="shared" si="144"/>
        <v>1.7743677265161857</v>
      </c>
      <c r="C920" s="10">
        <f t="shared" si="145"/>
        <v>0.62990054291324593</v>
      </c>
      <c r="D920" s="10">
        <f t="shared" si="146"/>
        <v>2.9428430127669101</v>
      </c>
      <c r="E920" s="10">
        <f t="shared" si="147"/>
        <v>18.969700823074351</v>
      </c>
      <c r="F920" s="10">
        <f t="shared" si="151"/>
        <v>0.19772773535541788</v>
      </c>
      <c r="G920" s="10">
        <f t="shared" si="148"/>
        <v>0.3565384344592798</v>
      </c>
      <c r="H920" s="10">
        <f t="shared" si="149"/>
        <v>0.58820222913963405</v>
      </c>
      <c r="I920" s="10">
        <f t="shared" si="152"/>
        <v>1.5236379044998305E-3</v>
      </c>
      <c r="J920" s="20">
        <f t="shared" si="150"/>
        <v>0</v>
      </c>
      <c r="K920" s="10">
        <f t="shared" si="153"/>
        <v>1.0478048475286439E-2</v>
      </c>
      <c r="L920" s="10">
        <f t="shared" si="154"/>
        <v>6.2868290851720299E-3</v>
      </c>
    </row>
    <row r="921" spans="1:12" x14ac:dyDescent="0.2">
      <c r="A921" s="14">
        <v>0.85599999999999998</v>
      </c>
      <c r="B921" s="10">
        <f t="shared" si="144"/>
        <v>1.7824570765657413</v>
      </c>
      <c r="C921" s="10">
        <f t="shared" si="145"/>
        <v>0.63455471925740381</v>
      </c>
      <c r="D921" s="10">
        <f t="shared" si="146"/>
        <v>2.9533877818535439</v>
      </c>
      <c r="E921" s="10">
        <f t="shared" si="147"/>
        <v>19.170790295628919</v>
      </c>
      <c r="F921" s="10">
        <f t="shared" si="151"/>
        <v>0.20108947255456755</v>
      </c>
      <c r="G921" s="10">
        <f t="shared" si="148"/>
        <v>0.36286529591125993</v>
      </c>
      <c r="H921" s="10">
        <f t="shared" si="149"/>
        <v>0.58973386401334194</v>
      </c>
      <c r="I921" s="10">
        <f t="shared" si="152"/>
        <v>1.5316348737078878E-3</v>
      </c>
      <c r="J921" s="20">
        <f t="shared" si="150"/>
        <v>-4.4408920985006262E-16</v>
      </c>
      <c r="K921" s="10">
        <f t="shared" si="153"/>
        <v>1.0544769086633821E-2</v>
      </c>
      <c r="L921" s="10">
        <f t="shared" si="154"/>
        <v>6.3268614519801369E-3</v>
      </c>
    </row>
    <row r="922" spans="1:12" x14ac:dyDescent="0.2">
      <c r="A922" s="14">
        <v>0.85699999999999998</v>
      </c>
      <c r="B922" s="10">
        <f t="shared" si="144"/>
        <v>1.7905932883378723</v>
      </c>
      <c r="C922" s="10">
        <f t="shared" si="145"/>
        <v>0.63924180393662045</v>
      </c>
      <c r="D922" s="10">
        <f t="shared" si="146"/>
        <v>2.9640001323612237</v>
      </c>
      <c r="E922" s="10">
        <f t="shared" si="147"/>
        <v>19.375320796890858</v>
      </c>
      <c r="F922" s="10">
        <f t="shared" si="151"/>
        <v>0.20453050126193872</v>
      </c>
      <c r="G922" s="10">
        <f t="shared" si="148"/>
        <v>0.3692327062158679</v>
      </c>
      <c r="H922" s="10">
        <f t="shared" si="149"/>
        <v>0.5912735602005933</v>
      </c>
      <c r="I922" s="10">
        <f t="shared" si="152"/>
        <v>1.5396961872513604E-3</v>
      </c>
      <c r="J922" s="20">
        <f t="shared" si="150"/>
        <v>-5.5511151231257827E-16</v>
      </c>
      <c r="K922" s="10">
        <f t="shared" si="153"/>
        <v>1.0612350507679835E-2</v>
      </c>
      <c r="L922" s="10">
        <f t="shared" si="154"/>
        <v>6.3674103046079678E-3</v>
      </c>
    </row>
    <row r="923" spans="1:12" x14ac:dyDescent="0.2">
      <c r="A923" s="14">
        <v>0.85799999999999998</v>
      </c>
      <c r="B923" s="10">
        <f t="shared" si="144"/>
        <v>1.7987770418867015</v>
      </c>
      <c r="C923" s="10">
        <f t="shared" si="145"/>
        <v>0.64396218099543912</v>
      </c>
      <c r="D923" s="10">
        <f t="shared" si="146"/>
        <v>2.9746809428773613</v>
      </c>
      <c r="E923" s="10">
        <f t="shared" si="147"/>
        <v>19.583374037749188</v>
      </c>
      <c r="F923" s="10">
        <f t="shared" si="151"/>
        <v>0.20805324085833021</v>
      </c>
      <c r="G923" s="10">
        <f t="shared" si="148"/>
        <v>0.37564119252555034</v>
      </c>
      <c r="H923" s="10">
        <f t="shared" si="149"/>
        <v>0.59282138289986297</v>
      </c>
      <c r="I923" s="10">
        <f t="shared" si="152"/>
        <v>1.5478226992696742E-3</v>
      </c>
      <c r="J923" s="20">
        <f t="shared" si="150"/>
        <v>-6.106226635438361E-16</v>
      </c>
      <c r="K923" s="10">
        <f t="shared" si="153"/>
        <v>1.0680810516137562E-2</v>
      </c>
      <c r="L923" s="10">
        <f t="shared" si="154"/>
        <v>6.4084863096824374E-3</v>
      </c>
    </row>
    <row r="924" spans="1:12" x14ac:dyDescent="0.2">
      <c r="A924" s="14">
        <v>0.85899999999999999</v>
      </c>
      <c r="B924" s="10">
        <f t="shared" si="144"/>
        <v>1.8070090316060869</v>
      </c>
      <c r="C924" s="10">
        <f t="shared" si="145"/>
        <v>0.6487162423465852</v>
      </c>
      <c r="D924" s="10">
        <f t="shared" si="146"/>
        <v>2.9854311102643507</v>
      </c>
      <c r="E924" s="10">
        <f t="shared" si="147"/>
        <v>19.795034239564966</v>
      </c>
      <c r="F924" s="10">
        <f t="shared" si="151"/>
        <v>0.21166020181577849</v>
      </c>
      <c r="G924" s="10">
        <f t="shared" si="148"/>
        <v>0.38209129295774424</v>
      </c>
      <c r="H924" s="10">
        <f t="shared" si="149"/>
        <v>0.59437739818146818</v>
      </c>
      <c r="I924" s="10">
        <f t="shared" si="152"/>
        <v>1.5560152816052053E-3</v>
      </c>
      <c r="J924" s="20">
        <f t="shared" si="150"/>
        <v>0</v>
      </c>
      <c r="K924" s="10">
        <f t="shared" si="153"/>
        <v>1.0750167386989418E-2</v>
      </c>
      <c r="L924" s="10">
        <f t="shared" si="154"/>
        <v>6.4501004321939059E-3</v>
      </c>
    </row>
    <row r="925" spans="1:12" x14ac:dyDescent="0.2">
      <c r="A925" s="14">
        <v>0.86</v>
      </c>
      <c r="B925" s="10">
        <f t="shared" si="144"/>
        <v>1.8152899666382489</v>
      </c>
      <c r="C925" s="10">
        <f t="shared" si="145"/>
        <v>0.65350438798976962</v>
      </c>
      <c r="D925" s="10">
        <f t="shared" si="146"/>
        <v>2.99625155017443</v>
      </c>
      <c r="E925" s="10">
        <f t="shared" si="147"/>
        <v>20.010388229357666</v>
      </c>
      <c r="F925" s="10">
        <f t="shared" si="151"/>
        <v>0.21535398979269971</v>
      </c>
      <c r="G925" s="10">
        <f t="shared" si="148"/>
        <v>0.38858355690379182</v>
      </c>
      <c r="H925" s="10">
        <f t="shared" si="149"/>
        <v>0.59594167300578926</v>
      </c>
      <c r="I925" s="10">
        <f t="shared" si="152"/>
        <v>1.564274824321088E-3</v>
      </c>
      <c r="J925" s="20">
        <f t="shared" si="150"/>
        <v>0</v>
      </c>
      <c r="K925" s="10">
        <f t="shared" si="153"/>
        <v>1.0820439910079305E-2</v>
      </c>
      <c r="L925" s="10">
        <f t="shared" si="154"/>
        <v>6.4922639460475717E-3</v>
      </c>
    </row>
    <row r="926" spans="1:12" x14ac:dyDescent="0.2">
      <c r="A926" s="14">
        <v>0.86099999999999999</v>
      </c>
      <c r="B926" s="10">
        <f t="shared" si="144"/>
        <v>1.823620571297039</v>
      </c>
      <c r="C926" s="10">
        <f t="shared" si="145"/>
        <v>0.65832702623823103</v>
      </c>
      <c r="D926" s="10">
        <f t="shared" si="146"/>
        <v>3.0071431975828737</v>
      </c>
      <c r="E926" s="10">
        <f t="shared" si="147"/>
        <v>20.229525539301061</v>
      </c>
      <c r="F926" s="10">
        <f t="shared" si="151"/>
        <v>0.21913730994339531</v>
      </c>
      <c r="G926" s="10">
        <f t="shared" si="148"/>
        <v>0.39511854534885804</v>
      </c>
      <c r="H926" s="10">
        <f t="shared" si="149"/>
        <v>0.59751427524202405</v>
      </c>
      <c r="I926" s="10">
        <f t="shared" si="152"/>
        <v>1.572602236234788E-3</v>
      </c>
      <c r="J926" s="20">
        <f t="shared" si="150"/>
        <v>0</v>
      </c>
      <c r="K926" s="10">
        <f t="shared" si="153"/>
        <v>1.0891647408443728E-2</v>
      </c>
      <c r="L926" s="10">
        <f t="shared" si="154"/>
        <v>6.5349884450662254E-3</v>
      </c>
    </row>
    <row r="927" spans="1:12" x14ac:dyDescent="0.2">
      <c r="A927" s="14">
        <v>0.86199999999999999</v>
      </c>
      <c r="B927" s="10">
        <f t="shared" si="144"/>
        <v>1.8320015855064884</v>
      </c>
      <c r="C927" s="10">
        <f t="shared" si="145"/>
        <v>0.66318457395334873</v>
      </c>
      <c r="D927" s="10">
        <f t="shared" si="146"/>
        <v>3.01810700734032</v>
      </c>
      <c r="E927" s="10">
        <f t="shared" si="147"/>
        <v>20.452538510756241</v>
      </c>
      <c r="F927" s="10">
        <f t="shared" si="151"/>
        <v>0.22301297145518006</v>
      </c>
      <c r="G927" s="10">
        <f t="shared" si="148"/>
        <v>0.40169683120332561</v>
      </c>
      <c r="H927" s="10">
        <f t="shared" si="149"/>
        <v>0.59909527368749771</v>
      </c>
      <c r="I927" s="10">
        <f t="shared" si="152"/>
        <v>1.5809984454736581E-3</v>
      </c>
      <c r="J927" s="20">
        <f t="shared" si="150"/>
        <v>0</v>
      </c>
      <c r="K927" s="10">
        <f t="shared" si="153"/>
        <v>1.0963809757446263E-2</v>
      </c>
      <c r="L927" s="10">
        <f t="shared" si="154"/>
        <v>6.5782858544675693E-3</v>
      </c>
    </row>
    <row r="928" spans="1:12" x14ac:dyDescent="0.2">
      <c r="A928" s="14">
        <v>0.86299999999999999</v>
      </c>
      <c r="B928" s="10">
        <f t="shared" si="144"/>
        <v>1.8404337652553029</v>
      </c>
      <c r="C928" s="10">
        <f t="shared" si="145"/>
        <v>0.66807745678767494</v>
      </c>
      <c r="D928" s="10">
        <f t="shared" si="146"/>
        <v>3.029143954745058</v>
      </c>
      <c r="E928" s="10">
        <f t="shared" si="147"/>
        <v>20.679522403082924</v>
      </c>
      <c r="F928" s="10">
        <f t="shared" si="151"/>
        <v>0.22698389232668248</v>
      </c>
      <c r="G928" s="10">
        <f t="shared" si="148"/>
        <v>0.40831899964616852</v>
      </c>
      <c r="H928" s="10">
        <f t="shared" si="149"/>
        <v>0.60068473808754896</v>
      </c>
      <c r="I928" s="10">
        <f t="shared" si="152"/>
        <v>1.5894644000512548E-3</v>
      </c>
      <c r="J928" s="20">
        <f t="shared" si="150"/>
        <v>0</v>
      </c>
      <c r="K928" s="10">
        <f t="shared" si="153"/>
        <v>1.103694740473804E-2</v>
      </c>
      <c r="L928" s="10">
        <f t="shared" si="154"/>
        <v>6.6221684428429128E-3</v>
      </c>
    </row>
    <row r="929" spans="1:12" x14ac:dyDescent="0.2">
      <c r="A929" s="14">
        <v>0.86399999999999999</v>
      </c>
      <c r="B929" s="10">
        <f t="shared" si="144"/>
        <v>1.8489178830680035</v>
      </c>
      <c r="C929" s="10">
        <f t="shared" si="145"/>
        <v>0.67300610943675332</v>
      </c>
      <c r="D929" s="10">
        <f t="shared" si="146"/>
        <v>3.040255036136152</v>
      </c>
      <c r="E929" s="10">
        <f t="shared" si="147"/>
        <v>20.910575507484921</v>
      </c>
      <c r="F929" s="10">
        <f t="shared" si="151"/>
        <v>0.23105310440199744</v>
      </c>
      <c r="G929" s="10">
        <f t="shared" si="148"/>
        <v>0.4149856484808247</v>
      </c>
      <c r="H929" s="10">
        <f t="shared" si="149"/>
        <v>0.60228273915601416</v>
      </c>
      <c r="I929" s="10">
        <f t="shared" si="152"/>
        <v>1.5980010684651935E-3</v>
      </c>
      <c r="J929" s="20">
        <f t="shared" si="150"/>
        <v>-4.9960036108132044E-16</v>
      </c>
      <c r="K929" s="10">
        <f t="shared" si="153"/>
        <v>1.1111081391093958E-2</v>
      </c>
      <c r="L929" s="10">
        <f t="shared" si="154"/>
        <v>6.6666488346561747E-3</v>
      </c>
    </row>
    <row r="930" spans="1:12" x14ac:dyDescent="0.2">
      <c r="A930" s="14">
        <v>0.86499999999999999</v>
      </c>
      <c r="B930" s="10">
        <f t="shared" si="144"/>
        <v>1.8574547284934497</v>
      </c>
      <c r="C930" s="10">
        <f t="shared" si="145"/>
        <v>0.67797097590010913</v>
      </c>
      <c r="D930" s="10">
        <f t="shared" si="146"/>
        <v>3.0514412695083135</v>
      </c>
      <c r="E930" s="10">
        <f t="shared" si="147"/>
        <v>21.145799266161223</v>
      </c>
      <c r="F930" s="10">
        <f t="shared" si="151"/>
        <v>0.23522375867630174</v>
      </c>
      <c r="G930" s="10">
        <f t="shared" si="148"/>
        <v>0.4216973885041217</v>
      </c>
      <c r="H930" s="10">
        <f t="shared" si="149"/>
        <v>0.60388934859633159</v>
      </c>
      <c r="I930" s="10">
        <f t="shared" si="152"/>
        <v>1.6066094403174302E-3</v>
      </c>
      <c r="J930" s="20">
        <f t="shared" si="150"/>
        <v>-4.9960036108132044E-16</v>
      </c>
      <c r="K930" s="10">
        <f t="shared" si="153"/>
        <v>1.1186233372161514E-2</v>
      </c>
      <c r="L930" s="10">
        <f t="shared" si="154"/>
        <v>6.711740023296997E-3</v>
      </c>
    </row>
    <row r="931" spans="1:12" x14ac:dyDescent="0.2">
      <c r="A931" s="14">
        <v>0.86599999999999999</v>
      </c>
      <c r="B931" s="10">
        <f t="shared" si="144"/>
        <v>1.8660451086115237</v>
      </c>
      <c r="C931" s="10">
        <f t="shared" si="145"/>
        <v>0.68297250975181767</v>
      </c>
      <c r="D931" s="10">
        <f t="shared" si="146"/>
        <v>3.0627036951495032</v>
      </c>
      <c r="E931" s="10">
        <f t="shared" si="147"/>
        <v>21.385298397051283</v>
      </c>
      <c r="F931" s="10">
        <f t="shared" si="151"/>
        <v>0.23949913089006003</v>
      </c>
      <c r="G931" s="10">
        <f t="shared" si="148"/>
        <v>0.42845484388883553</v>
      </c>
      <c r="H931" s="10">
        <f t="shared" si="149"/>
        <v>0.60550463912329222</v>
      </c>
      <c r="I931" s="10">
        <f t="shared" si="152"/>
        <v>1.6152905269606332E-3</v>
      </c>
      <c r="J931" s="20">
        <f t="shared" si="150"/>
        <v>-4.9960036108132044E-16</v>
      </c>
      <c r="K931" s="10">
        <f t="shared" si="153"/>
        <v>1.1262425641189733E-2</v>
      </c>
      <c r="L931" s="10">
        <f t="shared" si="154"/>
        <v>6.7574553847138397E-3</v>
      </c>
    </row>
    <row r="932" spans="1:12" x14ac:dyDescent="0.2">
      <c r="A932" s="14">
        <v>0.86699999999999999</v>
      </c>
      <c r="B932" s="10">
        <f t="shared" si="144"/>
        <v>1.8746898485587882</v>
      </c>
      <c r="C932" s="10">
        <f t="shared" si="145"/>
        <v>0.68801117442107529</v>
      </c>
      <c r="D932" s="10">
        <f t="shared" si="146"/>
        <v>3.0740433763022601</v>
      </c>
      <c r="E932" s="10">
        <f t="shared" si="147"/>
        <v>21.629181024480445</v>
      </c>
      <c r="F932" s="10">
        <f t="shared" si="151"/>
        <v>0.24388262742916211</v>
      </c>
      <c r="G932" s="10">
        <f t="shared" si="148"/>
        <v>0.43525865258048968</v>
      </c>
      <c r="H932" s="10">
        <f t="shared" si="149"/>
        <v>0.60712868448545865</v>
      </c>
      <c r="I932" s="10">
        <f t="shared" si="152"/>
        <v>1.6240453621664264E-3</v>
      </c>
      <c r="J932" s="20">
        <f t="shared" si="150"/>
        <v>-5.5511151231257827E-16</v>
      </c>
      <c r="K932" s="10">
        <f t="shared" si="153"/>
        <v>1.1339681152756853E-2</v>
      </c>
      <c r="L932" s="10">
        <f t="shared" si="154"/>
        <v>6.8038086916541451E-3</v>
      </c>
    </row>
    <row r="933" spans="1:12" x14ac:dyDescent="0.2">
      <c r="A933" s="14">
        <v>0.86799999999999999</v>
      </c>
      <c r="B933" s="10">
        <f t="shared" si="144"/>
        <v>1.8833897920739793</v>
      </c>
      <c r="C933" s="10">
        <f t="shared" si="145"/>
        <v>0.69308744348322437</v>
      </c>
      <c r="D933" s="10">
        <f t="shared" si="146"/>
        <v>3.0854613998498452</v>
      </c>
      <c r="E933" s="10">
        <f t="shared" si="147"/>
        <v>21.877558816031282</v>
      </c>
      <c r="F933" s="10">
        <f t="shared" si="151"/>
        <v>0.24837779155083695</v>
      </c>
      <c r="G933" s="10">
        <f t="shared" si="148"/>
        <v>0.44210946670904089</v>
      </c>
      <c r="H933" s="10">
        <f t="shared" si="149"/>
        <v>0.60876155948828203</v>
      </c>
      <c r="I933" s="10">
        <f t="shared" si="152"/>
        <v>1.6328750028233863E-3</v>
      </c>
      <c r="J933" s="20">
        <f t="shared" si="150"/>
        <v>0</v>
      </c>
      <c r="K933" s="10">
        <f t="shared" si="153"/>
        <v>1.1418023547585143E-2</v>
      </c>
      <c r="L933" s="10">
        <f t="shared" si="154"/>
        <v>6.8508141285512081E-3</v>
      </c>
    </row>
    <row r="934" spans="1:12" x14ac:dyDescent="0.2">
      <c r="A934" s="14">
        <v>0.86899999999999999</v>
      </c>
      <c r="B934" s="10">
        <f t="shared" si="144"/>
        <v>1.8921458020642403</v>
      </c>
      <c r="C934" s="10">
        <f t="shared" si="145"/>
        <v>0.6982018009617047</v>
      </c>
      <c r="D934" s="10">
        <f t="shared" si="146"/>
        <v>3.0969588770283201</v>
      </c>
      <c r="E934" s="10">
        <f t="shared" si="147"/>
        <v>22.130547125986716</v>
      </c>
      <c r="F934" s="10">
        <f t="shared" si="151"/>
        <v>0.25298830995543398</v>
      </c>
      <c r="G934" s="10">
        <f t="shared" si="148"/>
        <v>0.44900795301612556</v>
      </c>
      <c r="H934" s="10">
        <f t="shared" si="149"/>
        <v>0.61040334001794239</v>
      </c>
      <c r="I934" s="10">
        <f t="shared" si="152"/>
        <v>1.6417805296603527E-3</v>
      </c>
      <c r="J934" s="20">
        <f t="shared" si="150"/>
        <v>-6.106226635438361E-16</v>
      </c>
      <c r="K934" s="10">
        <f t="shared" si="153"/>
        <v>1.1497477178474824E-2</v>
      </c>
      <c r="L934" s="10">
        <f t="shared" si="154"/>
        <v>6.8984863070846725E-3</v>
      </c>
    </row>
    <row r="935" spans="1:12" x14ac:dyDescent="0.2">
      <c r="A935" s="14">
        <v>0.87</v>
      </c>
      <c r="B935" s="10">
        <f t="shared" si="144"/>
        <v>1.900958761193047</v>
      </c>
      <c r="C935" s="10">
        <f t="shared" si="145"/>
        <v>0.70335474164142742</v>
      </c>
      <c r="D935" s="10">
        <f t="shared" si="146"/>
        <v>3.1085369441657438</v>
      </c>
      <c r="E935" s="10">
        <f t="shared" si="147"/>
        <v>22.38826514571296</v>
      </c>
      <c r="F935" s="10">
        <f t="shared" si="151"/>
        <v>0.25771801972624431</v>
      </c>
      <c r="G935" s="10">
        <f t="shared" si="148"/>
        <v>0.45595479329858024</v>
      </c>
      <c r="H935" s="10">
        <f t="shared" si="149"/>
        <v>0.61205410306594121</v>
      </c>
      <c r="I935" s="10">
        <f t="shared" si="152"/>
        <v>1.6507630479988267E-3</v>
      </c>
      <c r="J935" s="20">
        <f t="shared" si="150"/>
        <v>0</v>
      </c>
      <c r="K935" s="10">
        <f t="shared" si="153"/>
        <v>1.1578067137423709E-2</v>
      </c>
      <c r="L935" s="10">
        <f t="shared" si="154"/>
        <v>6.9468402824546804E-3</v>
      </c>
    </row>
    <row r="936" spans="1:12" x14ac:dyDescent="0.2">
      <c r="A936" s="14">
        <v>0.871</v>
      </c>
      <c r="B936" s="10">
        <f t="shared" si="144"/>
        <v>1.9098295724908305</v>
      </c>
      <c r="C936" s="10">
        <f t="shared" si="145"/>
        <v>0.70854677139409816</v>
      </c>
      <c r="D936" s="10">
        <f t="shared" si="146"/>
        <v>3.1201967634497527</v>
      </c>
      <c r="E936" s="10">
        <f t="shared" si="147"/>
        <v>22.650836061374129</v>
      </c>
      <c r="F936" s="10">
        <f t="shared" si="151"/>
        <v>0.26257091566116841</v>
      </c>
      <c r="G936" s="10">
        <f t="shared" si="148"/>
        <v>0.46295068486898533</v>
      </c>
      <c r="H936" s="10">
        <f t="shared" si="149"/>
        <v>0.61371392675447844</v>
      </c>
      <c r="I936" s="10">
        <f t="shared" si="152"/>
        <v>1.6598236885372319E-3</v>
      </c>
      <c r="J936" s="20">
        <f t="shared" si="150"/>
        <v>0</v>
      </c>
      <c r="K936" s="10">
        <f t="shared" si="153"/>
        <v>1.1659819284008943E-2</v>
      </c>
      <c r="L936" s="10">
        <f t="shared" si="154"/>
        <v>6.9958915704050884E-3</v>
      </c>
    </row>
    <row r="937" spans="1:12" x14ac:dyDescent="0.2">
      <c r="A937" s="14">
        <v>0.872</v>
      </c>
      <c r="B937" s="10">
        <f t="shared" si="144"/>
        <v>1.9187591599893625</v>
      </c>
      <c r="C937" s="10">
        <f t="shared" si="145"/>
        <v>0.71377840751604282</v>
      </c>
      <c r="D937" s="10">
        <f t="shared" si="146"/>
        <v>3.1319395237248249</v>
      </c>
      <c r="E937" s="10">
        <f t="shared" si="147"/>
        <v>22.918387219395154</v>
      </c>
      <c r="F937" s="10">
        <f t="shared" si="151"/>
        <v>0.2675511580210248</v>
      </c>
      <c r="G937" s="10">
        <f t="shared" si="148"/>
        <v>0.4699963410340286</v>
      </c>
      <c r="H937" s="10">
        <f t="shared" si="149"/>
        <v>0.61538289036264238</v>
      </c>
      <c r="I937" s="10">
        <f t="shared" si="152"/>
        <v>1.6689636081639314E-3</v>
      </c>
      <c r="J937" s="20">
        <f t="shared" si="150"/>
        <v>-4.9960036108132044E-16</v>
      </c>
      <c r="K937" s="10">
        <f t="shared" si="153"/>
        <v>1.174276027507215E-2</v>
      </c>
      <c r="L937" s="10">
        <f t="shared" si="154"/>
        <v>7.0456561650432681E-3</v>
      </c>
    </row>
    <row r="938" spans="1:12" x14ac:dyDescent="0.2">
      <c r="A938" s="14">
        <v>0.873</v>
      </c>
      <c r="B938" s="10">
        <f t="shared" si="144"/>
        <v>1.927748469381011</v>
      </c>
      <c r="C938" s="10">
        <f t="shared" si="145"/>
        <v>0.71905017907911706</v>
      </c>
      <c r="D938" s="10">
        <f t="shared" si="146"/>
        <v>3.1437664413206408</v>
      </c>
      <c r="E938" s="10">
        <f t="shared" si="147"/>
        <v>23.191050300117613</v>
      </c>
      <c r="F938" s="10">
        <f t="shared" si="151"/>
        <v>0.27266308072245948</v>
      </c>
      <c r="G938" s="10">
        <f t="shared" si="148"/>
        <v>0.47709249159151818</v>
      </c>
      <c r="H938" s="10">
        <f t="shared" si="149"/>
        <v>0.6170610743534497</v>
      </c>
      <c r="I938" s="10">
        <f t="shared" si="152"/>
        <v>1.6781839908073248E-3</v>
      </c>
      <c r="J938" s="20">
        <f t="shared" si="150"/>
        <v>0</v>
      </c>
      <c r="K938" s="10">
        <f t="shared" si="153"/>
        <v>1.1826917595815889E-2</v>
      </c>
      <c r="L938" s="10">
        <f t="shared" si="154"/>
        <v>7.0961505574895778E-3</v>
      </c>
    </row>
    <row r="939" spans="1:12" x14ac:dyDescent="0.2">
      <c r="A939" s="14">
        <v>0.874</v>
      </c>
      <c r="B939" s="10">
        <f t="shared" si="144"/>
        <v>1.9367984687040576</v>
      </c>
      <c r="C939" s="10">
        <f t="shared" si="145"/>
        <v>0.72436262729531753</v>
      </c>
      <c r="D939" s="10">
        <f t="shared" si="146"/>
        <v>3.155678760912993</v>
      </c>
      <c r="E939" s="10">
        <f t="shared" si="147"/>
        <v>23.468961500121363</v>
      </c>
      <c r="F939" s="10">
        <f t="shared" si="151"/>
        <v>0.27791120000375003</v>
      </c>
      <c r="G939" s="10">
        <f t="shared" si="148"/>
        <v>0.48423988334692952</v>
      </c>
      <c r="H939" s="10">
        <f t="shared" si="149"/>
        <v>0.61874856040176718</v>
      </c>
      <c r="I939" s="10">
        <f t="shared" si="152"/>
        <v>1.6874860483174769E-3</v>
      </c>
      <c r="J939" s="20">
        <f t="shared" si="150"/>
        <v>0</v>
      </c>
      <c r="K939" s="10">
        <f t="shared" si="153"/>
        <v>1.1912319592352283E-2</v>
      </c>
      <c r="L939" s="10">
        <f t="shared" si="154"/>
        <v>7.1473917554113475E-3</v>
      </c>
    </row>
    <row r="940" spans="1:12" x14ac:dyDescent="0.2">
      <c r="A940" s="14">
        <v>0.875</v>
      </c>
      <c r="B940" s="10">
        <f t="shared" si="144"/>
        <v>1.9459101490553132</v>
      </c>
      <c r="C940" s="10">
        <f t="shared" si="145"/>
        <v>0.72971630589574243</v>
      </c>
      <c r="D940" s="10">
        <f t="shared" si="146"/>
        <v>3.1676777564188043</v>
      </c>
      <c r="E940" s="10">
        <f t="shared" si="147"/>
        <v>23.752261723716831</v>
      </c>
      <c r="F940" s="10">
        <f t="shared" si="151"/>
        <v>0.28330022359546803</v>
      </c>
      <c r="G940" s="10">
        <f t="shared" si="148"/>
        <v>0.49143928065041637</v>
      </c>
      <c r="H940" s="10">
        <f t="shared" si="149"/>
        <v>0.620445431423153</v>
      </c>
      <c r="I940" s="10">
        <f t="shared" si="152"/>
        <v>1.6968710213858262E-3</v>
      </c>
      <c r="J940" s="20">
        <f t="shared" si="150"/>
        <v>0</v>
      </c>
      <c r="K940" s="10">
        <f t="shared" si="153"/>
        <v>1.1998995505811294E-2</v>
      </c>
      <c r="L940" s="10">
        <f t="shared" si="154"/>
        <v>7.199397303486843E-3</v>
      </c>
    </row>
    <row r="941" spans="1:12" x14ac:dyDescent="0.2">
      <c r="A941" s="14">
        <v>0.876</v>
      </c>
      <c r="B941" s="10">
        <f t="shared" si="144"/>
        <v>1.9550845253313545</v>
      </c>
      <c r="C941" s="10">
        <f t="shared" si="145"/>
        <v>0.73511178152458923</v>
      </c>
      <c r="D941" s="10">
        <f t="shared" si="146"/>
        <v>3.1797647319268902</v>
      </c>
      <c r="E941" s="10">
        <f t="shared" si="147"/>
        <v>24.041096784146294</v>
      </c>
      <c r="F941" s="10">
        <f t="shared" si="151"/>
        <v>0.28883506042946294</v>
      </c>
      <c r="G941" s="10">
        <f t="shared" si="148"/>
        <v>0.4986914659552677</v>
      </c>
      <c r="H941" s="10">
        <f t="shared" si="149"/>
        <v>0.62215177160365753</v>
      </c>
      <c r="I941" s="10">
        <f t="shared" si="152"/>
        <v>1.7063401805045286E-3</v>
      </c>
      <c r="J941" s="20">
        <f t="shared" si="150"/>
        <v>-4.4408920985006262E-16</v>
      </c>
      <c r="K941" s="10">
        <f t="shared" si="153"/>
        <v>1.2086975508085906E-2</v>
      </c>
      <c r="L941" s="10">
        <f t="shared" si="154"/>
        <v>7.2521853048513329E-3</v>
      </c>
    </row>
    <row r="942" spans="1:12" x14ac:dyDescent="0.2">
      <c r="A942" s="14">
        <v>0.877</v>
      </c>
      <c r="B942" s="10">
        <f t="shared" si="144"/>
        <v>1.9643226369997655</v>
      </c>
      <c r="C942" s="10">
        <f t="shared" si="145"/>
        <v>0.74054963414891162</v>
      </c>
      <c r="D942" s="10">
        <f t="shared" si="146"/>
        <v>3.1919410226661915</v>
      </c>
      <c r="E942" s="10">
        <f t="shared" si="147"/>
        <v>24.335617615068443</v>
      </c>
      <c r="F942" s="10">
        <f t="shared" si="151"/>
        <v>0.2945208309221492</v>
      </c>
      <c r="G942" s="10">
        <f t="shared" si="148"/>
        <v>0.50599724039884841</v>
      </c>
      <c r="H942" s="10">
        <f t="shared" si="149"/>
        <v>0.62386766643062164</v>
      </c>
      <c r="I942" s="10">
        <f t="shared" si="152"/>
        <v>1.7158948269641039E-3</v>
      </c>
      <c r="J942" s="20">
        <f t="shared" si="150"/>
        <v>0</v>
      </c>
      <c r="K942" s="10">
        <f t="shared" si="153"/>
        <v>1.2176290739301265E-2</v>
      </c>
      <c r="L942" s="10">
        <f t="shared" si="154"/>
        <v>7.3057744435807148E-3</v>
      </c>
    </row>
    <row r="943" spans="1:12" x14ac:dyDescent="0.2">
      <c r="A943" s="14">
        <v>0.878</v>
      </c>
      <c r="B943" s="10">
        <f t="shared" si="144"/>
        <v>1.9736255489018601</v>
      </c>
      <c r="C943" s="10">
        <f t="shared" si="145"/>
        <v>0.74603045748490315</v>
      </c>
      <c r="D943" s="10">
        <f t="shared" si="146"/>
        <v>3.2042079960133107</v>
      </c>
      <c r="E943" s="10">
        <f t="shared" si="147"/>
        <v>24.63598049293995</v>
      </c>
      <c r="F943" s="10">
        <f t="shared" si="151"/>
        <v>0.30036287787150684</v>
      </c>
      <c r="G943" s="10">
        <f t="shared" si="148"/>
        <v>0.51335742440712018</v>
      </c>
      <c r="H943" s="10">
        <f t="shared" si="149"/>
        <v>0.62559320272451513</v>
      </c>
      <c r="I943" s="10">
        <f t="shared" si="152"/>
        <v>1.7255362938934926E-3</v>
      </c>
      <c r="J943" s="20">
        <f t="shared" si="150"/>
        <v>0</v>
      </c>
      <c r="K943" s="10">
        <f t="shared" si="153"/>
        <v>1.2266973347119237E-2</v>
      </c>
      <c r="L943" s="10">
        <f t="shared" si="154"/>
        <v>7.360184008271764E-3</v>
      </c>
    </row>
    <row r="944" spans="1:12" x14ac:dyDescent="0.2">
      <c r="A944" s="14">
        <v>0.879</v>
      </c>
      <c r="B944" s="10">
        <f t="shared" si="144"/>
        <v>1.9829943520884359</v>
      </c>
      <c r="C944" s="10">
        <f t="shared" si="145"/>
        <v>0.75155485944151723</v>
      </c>
      <c r="D944" s="10">
        <f t="shared" si="146"/>
        <v>3.2165670525412891</v>
      </c>
      <c r="E944" s="10">
        <f t="shared" si="147"/>
        <v>24.942347270949391</v>
      </c>
      <c r="F944" s="10">
        <f t="shared" si="151"/>
        <v>0.30636677800944057</v>
      </c>
      <c r="G944" s="10">
        <f t="shared" si="148"/>
        <v>0.52077285832390707</v>
      </c>
      <c r="H944" s="10">
        <f t="shared" si="149"/>
        <v>0.62732846867186365</v>
      </c>
      <c r="I944" s="10">
        <f t="shared" si="152"/>
        <v>1.7352659473485188E-3</v>
      </c>
      <c r="J944" s="20">
        <f t="shared" si="150"/>
        <v>0</v>
      </c>
      <c r="K944" s="10">
        <f t="shared" si="153"/>
        <v>1.2359056527978307E-2</v>
      </c>
      <c r="L944" s="10">
        <f t="shared" si="154"/>
        <v>7.4154339167868955E-3</v>
      </c>
    </row>
    <row r="945" spans="1:12" x14ac:dyDescent="0.2">
      <c r="A945" s="14">
        <v>0.88</v>
      </c>
      <c r="B945" s="10">
        <f t="shared" si="144"/>
        <v>1.9924301646902063</v>
      </c>
      <c r="C945" s="10">
        <f t="shared" si="145"/>
        <v>0.75712346258227836</v>
      </c>
      <c r="D945" s="10">
        <f t="shared" si="146"/>
        <v>3.2290196271116547</v>
      </c>
      <c r="E945" s="10">
        <f t="shared" si="147"/>
        <v>25.25488562520383</v>
      </c>
      <c r="F945" s="10">
        <f t="shared" si="151"/>
        <v>0.3125383542544391</v>
      </c>
      <c r="G945" s="10">
        <f t="shared" si="148"/>
        <v>0.52824440306612641</v>
      </c>
      <c r="H945" s="10">
        <f t="shared" si="149"/>
        <v>0.62907355385930563</v>
      </c>
      <c r="I945" s="10">
        <f t="shared" si="152"/>
        <v>1.7450851874419859E-3</v>
      </c>
      <c r="J945" s="20">
        <f t="shared" si="150"/>
        <v>0</v>
      </c>
      <c r="K945" s="10">
        <f t="shared" si="153"/>
        <v>1.2452574570365638E-2</v>
      </c>
      <c r="L945" s="10">
        <f t="shared" si="154"/>
        <v>7.4715447422193382E-3</v>
      </c>
    </row>
    <row r="946" spans="1:12" x14ac:dyDescent="0.2">
      <c r="A946" s="14">
        <v>0.88100000000000001</v>
      </c>
      <c r="B946" s="10">
        <f t="shared" si="144"/>
        <v>2.0019341328246503</v>
      </c>
      <c r="C946" s="10">
        <f t="shared" si="145"/>
        <v>0.76273690460619181</v>
      </c>
      <c r="D946" s="10">
        <f t="shared" si="146"/>
        <v>3.2415671900119274</v>
      </c>
      <c r="E946" s="10">
        <f t="shared" si="147"/>
        <v>25.573769313917786</v>
      </c>
      <c r="F946" s="10">
        <f t="shared" si="151"/>
        <v>0.31888368871395656</v>
      </c>
      <c r="G946" s="10">
        <f t="shared" si="148"/>
        <v>0.5357729408062899</v>
      </c>
      <c r="H946" s="10">
        <f t="shared" si="149"/>
        <v>0.63082854930883303</v>
      </c>
      <c r="I946" s="10">
        <f t="shared" si="152"/>
        <v>1.7549954495273967E-3</v>
      </c>
      <c r="J946" s="20">
        <f t="shared" si="150"/>
        <v>0</v>
      </c>
      <c r="K946" s="10">
        <f t="shared" si="153"/>
        <v>1.2547562900272702E-2</v>
      </c>
      <c r="L946" s="10">
        <f t="shared" si="154"/>
        <v>7.5285377401634879E-3</v>
      </c>
    </row>
    <row r="947" spans="1:12" x14ac:dyDescent="0.2">
      <c r="A947" s="14">
        <v>0.88200000000000001</v>
      </c>
      <c r="B947" s="10">
        <f t="shared" si="144"/>
        <v>2.0115074315411268</v>
      </c>
      <c r="C947" s="10">
        <f t="shared" si="145"/>
        <v>0.76839583884871043</v>
      </c>
      <c r="D947" s="10">
        <f t="shared" si="146"/>
        <v>3.2542112481408569</v>
      </c>
      <c r="E947" s="10">
        <f t="shared" si="147"/>
        <v>25.899178450406026</v>
      </c>
      <c r="F947" s="10">
        <f t="shared" si="151"/>
        <v>0.32540913648823988</v>
      </c>
      <c r="G947" s="10">
        <f t="shared" si="148"/>
        <v>0.54335937568364756</v>
      </c>
      <c r="H947" s="10">
        <f t="shared" si="149"/>
        <v>0.63259354751426511</v>
      </c>
      <c r="I947" s="10">
        <f t="shared" si="152"/>
        <v>1.7649982054320779E-3</v>
      </c>
      <c r="J947" s="20">
        <f t="shared" si="150"/>
        <v>0</v>
      </c>
      <c r="K947" s="10">
        <f t="shared" si="153"/>
        <v>1.2644058128929547E-2</v>
      </c>
      <c r="L947" s="10">
        <f t="shared" si="154"/>
        <v>7.5864348773576618E-3</v>
      </c>
    </row>
    <row r="948" spans="1:12" x14ac:dyDescent="0.2">
      <c r="A948" s="14">
        <v>0.88300000000000001</v>
      </c>
      <c r="B948" s="10">
        <f t="shared" si="144"/>
        <v>2.0211512658062039</v>
      </c>
      <c r="C948" s="10">
        <f t="shared" si="145"/>
        <v>0.77410093480377606</v>
      </c>
      <c r="D948" s="10">
        <f t="shared" si="146"/>
        <v>3.2669533462438327</v>
      </c>
      <c r="E948" s="10">
        <f t="shared" si="147"/>
        <v>26.231299790738859</v>
      </c>
      <c r="F948" s="10">
        <f t="shared" si="151"/>
        <v>0.33212134033283292</v>
      </c>
      <c r="G948" s="10">
        <f t="shared" si="148"/>
        <v>0.55100463454543336</v>
      </c>
      <c r="H948" s="10">
        <f t="shared" si="149"/>
        <v>0.63436864247901226</v>
      </c>
      <c r="I948" s="10">
        <f t="shared" si="152"/>
        <v>1.7750949647471481E-3</v>
      </c>
      <c r="J948" s="20">
        <f t="shared" si="150"/>
        <v>0</v>
      </c>
      <c r="K948" s="10">
        <f t="shared" si="153"/>
        <v>1.2742098102975774E-2</v>
      </c>
      <c r="L948" s="10">
        <f t="shared" si="154"/>
        <v>7.6452588617857975E-3</v>
      </c>
    </row>
    <row r="949" spans="1:12" x14ac:dyDescent="0.2">
      <c r="A949" s="14">
        <v>0.88400000000000001</v>
      </c>
      <c r="B949" s="10">
        <f t="shared" si="144"/>
        <v>2.0308668715312788</v>
      </c>
      <c r="C949" s="10">
        <f t="shared" si="145"/>
        <v>0.77985287866801101</v>
      </c>
      <c r="D949" s="10">
        <f t="shared" si="146"/>
        <v>3.2797950682010395</v>
      </c>
      <c r="E949" s="10">
        <f t="shared" si="147"/>
        <v>26.570327036979613</v>
      </c>
      <c r="F949" s="10">
        <f t="shared" si="151"/>
        <v>0.33902724624075375</v>
      </c>
      <c r="G949" s="10">
        <f t="shared" si="148"/>
        <v>0.55870966771975716</v>
      </c>
      <c r="H949" s="10">
        <f t="shared" si="149"/>
        <v>0.6361539297551857</v>
      </c>
      <c r="I949" s="10">
        <f t="shared" si="152"/>
        <v>1.7852872761734417E-3</v>
      </c>
      <c r="J949" s="20">
        <f t="shared" si="150"/>
        <v>0</v>
      </c>
      <c r="K949" s="10">
        <f t="shared" si="153"/>
        <v>1.2841721957206786E-2</v>
      </c>
      <c r="L949" s="10">
        <f t="shared" si="154"/>
        <v>7.7050331743238054E-3</v>
      </c>
    </row>
    <row r="950" spans="1:12" x14ac:dyDescent="0.2">
      <c r="A950" s="14">
        <v>0.88500000000000001</v>
      </c>
      <c r="B950" s="10">
        <f t="shared" si="144"/>
        <v>2.0406555166446796</v>
      </c>
      <c r="C950" s="10">
        <f t="shared" si="145"/>
        <v>0.78565237390820164</v>
      </c>
      <c r="D950" s="10">
        <f t="shared" si="146"/>
        <v>3.2927380383710765</v>
      </c>
      <c r="E950" s="10">
        <f t="shared" si="147"/>
        <v>26.916461156989854</v>
      </c>
      <c r="F950" s="10">
        <f t="shared" si="151"/>
        <v>0.34613412001024102</v>
      </c>
      <c r="G950" s="10">
        <f t="shared" si="148"/>
        <v>0.56647544982177944</v>
      </c>
      <c r="H950" s="10">
        <f t="shared" si="149"/>
        <v>0.63794950648411453</v>
      </c>
      <c r="I950" s="10">
        <f t="shared" si="152"/>
        <v>1.7955767289288271E-3</v>
      </c>
      <c r="J950" s="20">
        <f t="shared" si="150"/>
        <v>0</v>
      </c>
      <c r="K950" s="10">
        <f t="shared" si="153"/>
        <v>1.2942970170036983E-2</v>
      </c>
      <c r="L950" s="10">
        <f t="shared" si="154"/>
        <v>7.7657821020222784E-3</v>
      </c>
    </row>
    <row r="951" spans="1:12" x14ac:dyDescent="0.2">
      <c r="A951" s="14">
        <v>0.88600000000000001</v>
      </c>
      <c r="B951" s="10">
        <f t="shared" si="144"/>
        <v>2.0505185022105854</v>
      </c>
      <c r="C951" s="10">
        <f t="shared" si="145"/>
        <v>0.79150014185328599</v>
      </c>
      <c r="D951" s="10">
        <f t="shared" si="146"/>
        <v>3.3057839229929602</v>
      </c>
      <c r="E951" s="10">
        <f t="shared" si="147"/>
        <v>27.269910721860221</v>
      </c>
      <c r="F951" s="10">
        <f t="shared" si="151"/>
        <v>0.35344956487036683</v>
      </c>
      <c r="G951" s="10">
        <f t="shared" si="148"/>
        <v>0.57430298059490981</v>
      </c>
      <c r="H951" s="10">
        <f t="shared" si="149"/>
        <v>0.63975547143833533</v>
      </c>
      <c r="I951" s="10">
        <f t="shared" si="152"/>
        <v>1.8059649542208067E-3</v>
      </c>
      <c r="J951" s="20">
        <f t="shared" si="150"/>
        <v>0</v>
      </c>
      <c r="K951" s="10">
        <f t="shared" si="153"/>
        <v>1.3045884621883719E-2</v>
      </c>
      <c r="L951" s="10">
        <f t="shared" si="154"/>
        <v>7.8275307731303645E-3</v>
      </c>
    </row>
    <row r="952" spans="1:12" x14ac:dyDescent="0.2">
      <c r="A952" s="14">
        <v>0.88700000000000001</v>
      </c>
      <c r="B952" s="10">
        <f t="shared" si="144"/>
        <v>2.0604571635972388</v>
      </c>
      <c r="C952" s="10">
        <f t="shared" si="145"/>
        <v>0.79739692231213144</v>
      </c>
      <c r="D952" s="10">
        <f t="shared" si="146"/>
        <v>3.318934431649565</v>
      </c>
      <c r="E952" s="10">
        <f t="shared" si="147"/>
        <v>27.630892262101153</v>
      </c>
      <c r="F952" s="10">
        <f t="shared" si="151"/>
        <v>0.36098154024093176</v>
      </c>
      <c r="G952" s="10">
        <f t="shared" si="148"/>
        <v>0.58219328578887264</v>
      </c>
      <c r="H952" s="10">
        <f t="shared" si="149"/>
        <v>0.64157192506512062</v>
      </c>
      <c r="I952" s="10">
        <f t="shared" si="152"/>
        <v>1.816453626785286E-3</v>
      </c>
      <c r="J952" s="20">
        <f t="shared" si="150"/>
        <v>0</v>
      </c>
      <c r="K952" s="10">
        <f t="shared" si="153"/>
        <v>1.3150508656604831E-2</v>
      </c>
      <c r="L952" s="10">
        <f t="shared" si="154"/>
        <v>7.8903051939628321E-3</v>
      </c>
    </row>
    <row r="953" spans="1:12" x14ac:dyDescent="0.2">
      <c r="A953" s="14">
        <v>0.88800000000000001</v>
      </c>
      <c r="B953" s="10">
        <f t="shared" si="144"/>
        <v>2.0704728716970755</v>
      </c>
      <c r="C953" s="10">
        <f t="shared" si="145"/>
        <v>0.8033434742184653</v>
      </c>
      <c r="D953" s="10">
        <f t="shared" si="146"/>
        <v>3.3321913187957755</v>
      </c>
      <c r="E953" s="10">
        <f t="shared" si="147"/>
        <v>27.999630643812168</v>
      </c>
      <c r="F953" s="10">
        <f t="shared" si="151"/>
        <v>0.36873838171101525</v>
      </c>
      <c r="G953" s="10">
        <f t="shared" si="148"/>
        <v>0.59014741807659887</v>
      </c>
      <c r="H953" s="10">
        <f t="shared" si="149"/>
        <v>0.6433989695316169</v>
      </c>
      <c r="I953" s="10">
        <f t="shared" si="152"/>
        <v>1.8270444664962859E-3</v>
      </c>
      <c r="J953" s="20">
        <f t="shared" si="150"/>
        <v>0</v>
      </c>
      <c r="K953" s="10">
        <f t="shared" si="153"/>
        <v>1.3256887146210428E-2</v>
      </c>
      <c r="L953" s="10">
        <f t="shared" si="154"/>
        <v>7.9541322877262344E-3</v>
      </c>
    </row>
    <row r="954" spans="1:12" x14ac:dyDescent="0.2">
      <c r="A954" s="14">
        <v>0.88900000000000001</v>
      </c>
      <c r="B954" s="10">
        <f t="shared" si="144"/>
        <v>2.0805670342015703</v>
      </c>
      <c r="C954" s="10">
        <f t="shared" si="145"/>
        <v>0.80934057630441092</v>
      </c>
      <c r="D954" s="10">
        <f t="shared" si="146"/>
        <v>3.3455563853548216</v>
      </c>
      <c r="E954" s="10">
        <f t="shared" si="147"/>
        <v>28.376359466139053</v>
      </c>
      <c r="F954" s="10">
        <f t="shared" si="151"/>
        <v>0.37672882232688565</v>
      </c>
      <c r="G954" s="10">
        <f t="shared" si="148"/>
        <v>0.59816645801202639</v>
      </c>
      <c r="H954" s="10">
        <f t="shared" si="149"/>
        <v>0.64523670877167072</v>
      </c>
      <c r="I954" s="10">
        <f t="shared" si="152"/>
        <v>1.8377392400538151E-3</v>
      </c>
      <c r="J954" s="20">
        <f t="shared" si="150"/>
        <v>0</v>
      </c>
      <c r="K954" s="10">
        <f t="shared" si="153"/>
        <v>1.3365066559046124E-2</v>
      </c>
      <c r="L954" s="10">
        <f t="shared" si="154"/>
        <v>8.0190399354275188E-3</v>
      </c>
    </row>
    <row r="955" spans="1:12" x14ac:dyDescent="0.2">
      <c r="A955" s="14">
        <v>0.89</v>
      </c>
      <c r="B955" s="10">
        <f t="shared" si="144"/>
        <v>2.0907410969337694</v>
      </c>
      <c r="C955" s="10">
        <f t="shared" si="145"/>
        <v>0.81538902780417011</v>
      </c>
      <c r="D955" s="10">
        <f t="shared" si="146"/>
        <v>3.3590314803864874</v>
      </c>
      <c r="E955" s="10">
        <f t="shared" si="147"/>
        <v>28.761321481426702</v>
      </c>
      <c r="F955" s="10">
        <f t="shared" si="151"/>
        <v>0.38496201528764828</v>
      </c>
      <c r="G955" s="10">
        <f t="shared" si="148"/>
        <v>0.60625151503102592</v>
      </c>
      <c r="H955" s="10">
        <f t="shared" si="149"/>
        <v>0.64708524853441918</v>
      </c>
      <c r="I955" s="10">
        <f t="shared" si="152"/>
        <v>1.8485397627484579E-3</v>
      </c>
      <c r="J955" s="20">
        <f t="shared" si="150"/>
        <v>0</v>
      </c>
      <c r="K955" s="10">
        <f t="shared" si="153"/>
        <v>1.3475095031665774E-2</v>
      </c>
      <c r="L955" s="10">
        <f t="shared" si="154"/>
        <v>8.0850570189995308E-3</v>
      </c>
    </row>
    <row r="956" spans="1:12" x14ac:dyDescent="0.2">
      <c r="A956" s="14">
        <v>0.89100000000000001</v>
      </c>
      <c r="B956" s="10">
        <f t="shared" si="144"/>
        <v>2.1009965452416659</v>
      </c>
      <c r="C956" s="10">
        <f t="shared" si="145"/>
        <v>0.82148964918949141</v>
      </c>
      <c r="D956" s="10">
        <f t="shared" si="146"/>
        <v>3.3726185028311129</v>
      </c>
      <c r="E956" s="10">
        <f t="shared" si="147"/>
        <v>29.154769039581964</v>
      </c>
      <c r="F956" s="10">
        <f t="shared" si="151"/>
        <v>0.39344755815526256</v>
      </c>
      <c r="G956" s="10">
        <f t="shared" si="148"/>
        <v>0.61440372849780145</v>
      </c>
      <c r="H956" s="10">
        <f t="shared" si="149"/>
        <v>0.64894469643473052</v>
      </c>
      <c r="I956" s="10">
        <f t="shared" si="152"/>
        <v>1.8594479003113396E-3</v>
      </c>
      <c r="J956" s="20">
        <f t="shared" si="150"/>
        <v>0</v>
      </c>
      <c r="K956" s="10">
        <f t="shared" si="153"/>
        <v>1.3587022444625507E-2</v>
      </c>
      <c r="L956" s="10">
        <f t="shared" si="154"/>
        <v>8.1522134667755264E-3</v>
      </c>
    </row>
    <row r="957" spans="1:12" x14ac:dyDescent="0.2">
      <c r="A957" s="14">
        <v>0.89200000000000002</v>
      </c>
      <c r="B957" s="10">
        <f t="shared" si="144"/>
        <v>2.1113349054557897</v>
      </c>
      <c r="C957" s="10">
        <f t="shared" si="145"/>
        <v>0.82764328293866962</v>
      </c>
      <c r="D957" s="10">
        <f t="shared" si="146"/>
        <v>3.386319403333574</v>
      </c>
      <c r="E957" s="10">
        <f t="shared" si="147"/>
        <v>29.556964558277208</v>
      </c>
      <c r="F957" s="10">
        <f t="shared" si="151"/>
        <v>0.40219551869524395</v>
      </c>
      <c r="G957" s="10">
        <f t="shared" si="148"/>
        <v>0.6226242687992779</v>
      </c>
      <c r="H957" s="10">
        <f t="shared" si="149"/>
        <v>0.65081516200558387</v>
      </c>
      <c r="I957" s="10">
        <f t="shared" si="152"/>
        <v>1.8704655708533524E-3</v>
      </c>
      <c r="J957" s="20">
        <f t="shared" si="150"/>
        <v>0</v>
      </c>
      <c r="K957" s="10">
        <f t="shared" si="153"/>
        <v>1.3700900502461089E-2</v>
      </c>
      <c r="L957" s="10">
        <f t="shared" si="154"/>
        <v>8.2205403014764533E-3</v>
      </c>
    </row>
    <row r="958" spans="1:12" x14ac:dyDescent="0.2">
      <c r="A958" s="14">
        <v>0.89300000000000002</v>
      </c>
      <c r="B958" s="10">
        <f t="shared" si="144"/>
        <v>2.1217577464145929</v>
      </c>
      <c r="C958" s="10">
        <f t="shared" si="145"/>
        <v>0.83385079434093501</v>
      </c>
      <c r="D958" s="10">
        <f t="shared" si="146"/>
        <v>3.4001361861516806</v>
      </c>
      <c r="E958" s="10">
        <f t="shared" si="147"/>
        <v>29.968181020750759</v>
      </c>
      <c r="F958" s="10">
        <f t="shared" si="151"/>
        <v>0.41121646247355059</v>
      </c>
      <c r="G958" s="10">
        <f t="shared" si="148"/>
        <v>0.63091433849014211</v>
      </c>
      <c r="H958" s="10">
        <f t="shared" si="149"/>
        <v>0.6526967567524824</v>
      </c>
      <c r="I958" s="10">
        <f t="shared" si="152"/>
        <v>1.8815947468985295E-3</v>
      </c>
      <c r="J958" s="20">
        <f t="shared" si="150"/>
        <v>0</v>
      </c>
      <c r="K958" s="10">
        <f t="shared" si="153"/>
        <v>1.381678281810661E-2</v>
      </c>
      <c r="L958" s="10">
        <f t="shared" si="154"/>
        <v>8.2900696908642102E-3</v>
      </c>
    </row>
    <row r="959" spans="1:12" x14ac:dyDescent="0.2">
      <c r="A959" s="14">
        <v>0.89400000000000002</v>
      </c>
      <c r="B959" s="10">
        <f t="shared" si="144"/>
        <v>2.1322666810614472</v>
      </c>
      <c r="C959" s="10">
        <f t="shared" si="145"/>
        <v>0.8401130723382102</v>
      </c>
      <c r="D959" s="10">
        <f t="shared" si="146"/>
        <v>3.4140709111537468</v>
      </c>
      <c r="E959" s="10">
        <f t="shared" si="147"/>
        <v>30.388702503098138</v>
      </c>
      <c r="F959" s="10">
        <f t="shared" si="151"/>
        <v>0.42052148234737885</v>
      </c>
      <c r="G959" s="10">
        <f t="shared" si="148"/>
        <v>0.63927517349138174</v>
      </c>
      <c r="H959" s="10">
        <f t="shared" si="149"/>
        <v>0.65458959420999829</v>
      </c>
      <c r="I959" s="10">
        <f t="shared" si="152"/>
        <v>1.8928374575158946E-3</v>
      </c>
      <c r="J959" s="20">
        <f t="shared" si="150"/>
        <v>0</v>
      </c>
      <c r="K959" s="10">
        <f t="shared" si="153"/>
        <v>1.3934725002066273E-2</v>
      </c>
      <c r="L959" s="10">
        <f t="shared" si="154"/>
        <v>8.3608350012396304E-3</v>
      </c>
    </row>
    <row r="960" spans="1:12" x14ac:dyDescent="0.2">
      <c r="A960" s="14">
        <v>0.89500000000000002</v>
      </c>
      <c r="B960" s="10">
        <f t="shared" si="144"/>
        <v>2.1428633681173324</v>
      </c>
      <c r="C960" s="10">
        <f t="shared" si="145"/>
        <v>0.84643103040634637</v>
      </c>
      <c r="D960" s="10">
        <f t="shared" si="146"/>
        <v>3.4281256959103699</v>
      </c>
      <c r="E960" s="10">
        <f t="shared" si="147"/>
        <v>30.81882473309604</v>
      </c>
      <c r="F960" s="10">
        <f t="shared" si="151"/>
        <v>0.43012222999790239</v>
      </c>
      <c r="G960" s="10">
        <f t="shared" si="148"/>
        <v>0.64770804434535567</v>
      </c>
      <c r="H960" s="10">
        <f t="shared" si="149"/>
        <v>0.65649379000055696</v>
      </c>
      <c r="I960" s="10">
        <f t="shared" si="152"/>
        <v>1.9041957905586715E-3</v>
      </c>
      <c r="J960" s="20">
        <f t="shared" si="150"/>
        <v>0</v>
      </c>
      <c r="K960" s="10">
        <f t="shared" si="153"/>
        <v>1.4054784756623029E-2</v>
      </c>
      <c r="L960" s="10">
        <f t="shared" si="154"/>
        <v>8.4328708539739283E-3</v>
      </c>
    </row>
    <row r="961" spans="1:12" x14ac:dyDescent="0.2">
      <c r="A961" s="14">
        <v>0.89600000000000002</v>
      </c>
      <c r="B961" s="10">
        <f t="shared" si="144"/>
        <v>2.1535495138335579</v>
      </c>
      <c r="C961" s="10">
        <f t="shared" si="145"/>
        <v>0.85280560747808898</v>
      </c>
      <c r="D961" s="10">
        <f t="shared" si="146"/>
        <v>3.4423027178858301</v>
      </c>
      <c r="E961" s="10">
        <f t="shared" si="147"/>
        <v>31.258855682764736</v>
      </c>
      <c r="F961" s="10">
        <f t="shared" si="151"/>
        <v>0.44003094966869583</v>
      </c>
      <c r="G961" s="10">
        <f t="shared" si="148"/>
        <v>0.65621425753063178</v>
      </c>
      <c r="H961" s="10">
        <f t="shared" si="149"/>
        <v>0.65840946189557081</v>
      </c>
      <c r="I961" s="10">
        <f t="shared" si="152"/>
        <v>1.9156718950138485E-3</v>
      </c>
      <c r="J961" s="20">
        <f t="shared" si="150"/>
        <v>0</v>
      </c>
      <c r="K961" s="10">
        <f t="shared" si="153"/>
        <v>1.4177021975460224E-2</v>
      </c>
      <c r="L961" s="10">
        <f t="shared" si="154"/>
        <v>8.5062131852761125E-3</v>
      </c>
    </row>
    <row r="962" spans="1:12" x14ac:dyDescent="0.2">
      <c r="A962" s="14">
        <v>0.89700000000000002</v>
      </c>
      <c r="B962" s="10">
        <f t="shared" ref="B962:B1025" si="155">LN(A962/(1-A962))</f>
        <v>2.1643268738291606</v>
      </c>
      <c r="C962" s="10">
        <f t="shared" ref="C962:C1025" si="156">(A962-0.5)*B962</f>
        <v>0.85923776891017678</v>
      </c>
      <c r="D962" s="10">
        <f t="shared" ref="D962:D1025" si="157">$B$45+$B$46*B962+$B$47*C962</f>
        <v>3.4566042167348545</v>
      </c>
      <c r="E962" s="10">
        <f t="shared" ref="E962:E1025" si="158">$B$14+EXP(D962)</f>
        <v>31.709116197050275</v>
      </c>
      <c r="F962" s="10">
        <f t="shared" si="151"/>
        <v>0.4502605142855387</v>
      </c>
      <c r="G962" s="10">
        <f t="shared" ref="G962:G1025" si="159">$C$45+$C$46*B962+$C$47*C962</f>
        <v>0.6647951568400462</v>
      </c>
      <c r="H962" s="10">
        <f t="shared" ref="H962:H1025" si="160">$C$14+($C$15-$C$14)/(1+EXP(-G962))</f>
        <v>0.66033672987904268</v>
      </c>
      <c r="I962" s="10">
        <f t="shared" si="152"/>
        <v>1.9272679834718698E-3</v>
      </c>
      <c r="J962" s="20">
        <f t="shared" ref="J962:J1025" si="161">G962-($B$22+$B$21*D962)</f>
        <v>0</v>
      </c>
      <c r="K962" s="10">
        <f t="shared" si="153"/>
        <v>1.430149884902443E-2</v>
      </c>
      <c r="L962" s="10">
        <f t="shared" si="154"/>
        <v>8.5808993094144137E-3</v>
      </c>
    </row>
    <row r="963" spans="1:12" x14ac:dyDescent="0.2">
      <c r="A963" s="14">
        <v>0.89800000000000002</v>
      </c>
      <c r="B963" s="10">
        <f t="shared" si="155"/>
        <v>2.1751972550179288</v>
      </c>
      <c r="C963" s="10">
        <f t="shared" si="156"/>
        <v>0.8657285074971357</v>
      </c>
      <c r="D963" s="10">
        <f t="shared" si="157"/>
        <v>3.4710324967108934</v>
      </c>
      <c r="E963" s="10">
        <f t="shared" si="158"/>
        <v>32.169940661201586</v>
      </c>
      <c r="F963" s="10">
        <f t="shared" ref="F963:F1026" si="162">E963-E962</f>
        <v>0.46082446415131173</v>
      </c>
      <c r="G963" s="10">
        <f t="shared" si="159"/>
        <v>0.67345212482566963</v>
      </c>
      <c r="H963" s="10">
        <f t="shared" si="160"/>
        <v>0.6622757162137628</v>
      </c>
      <c r="I963" s="10">
        <f t="shared" ref="I963:I1026" si="163">H963-H962</f>
        <v>1.9389863347201164E-3</v>
      </c>
      <c r="J963" s="20">
        <f t="shared" si="161"/>
        <v>0</v>
      </c>
      <c r="K963" s="10">
        <f t="shared" ref="K963:K1026" si="164">D963-D962</f>
        <v>1.4428279976038905E-2</v>
      </c>
      <c r="L963" s="10">
        <f t="shared" ref="L963:L1026" si="165">G963-G962</f>
        <v>8.6569679856234316E-3</v>
      </c>
    </row>
    <row r="964" spans="1:12" x14ac:dyDescent="0.2">
      <c r="A964" s="14">
        <v>0.89900000000000002</v>
      </c>
      <c r="B964" s="10">
        <f t="shared" si="155"/>
        <v>2.1861625176303612</v>
      </c>
      <c r="C964" s="10">
        <f t="shared" si="156"/>
        <v>0.87227884453451421</v>
      </c>
      <c r="D964" s="10">
        <f t="shared" si="157"/>
        <v>3.4855899291924932</v>
      </c>
      <c r="E964" s="10">
        <f t="shared" si="158"/>
        <v>32.64167770962861</v>
      </c>
      <c r="F964" s="10">
        <f t="shared" si="162"/>
        <v>0.47173704842702335</v>
      </c>
      <c r="G964" s="10">
        <f t="shared" si="159"/>
        <v>0.68218658431462942</v>
      </c>
      <c r="H964" s="10">
        <f t="shared" si="160"/>
        <v>0.66422654551023474</v>
      </c>
      <c r="I964" s="10">
        <f t="shared" si="163"/>
        <v>1.9508292964719454E-3</v>
      </c>
      <c r="J964" s="20">
        <f t="shared" si="161"/>
        <v>0</v>
      </c>
      <c r="K964" s="10">
        <f t="shared" si="164"/>
        <v>1.4557432481599797E-2</v>
      </c>
      <c r="L964" s="10">
        <f t="shared" si="165"/>
        <v>8.7344594889597893E-3</v>
      </c>
    </row>
    <row r="965" spans="1:12" x14ac:dyDescent="0.2">
      <c r="A965" s="14">
        <v>0.9</v>
      </c>
      <c r="B965" s="10">
        <f t="shared" si="155"/>
        <v>2.1972245773362196</v>
      </c>
      <c r="C965" s="10">
        <f t="shared" si="156"/>
        <v>0.87888983093448791</v>
      </c>
      <c r="D965" s="10">
        <f t="shared" si="157"/>
        <v>3.5002789553347764</v>
      </c>
      <c r="E965" s="10">
        <f t="shared" si="158"/>
        <v>33.124690979256847</v>
      </c>
      <c r="F965" s="10">
        <f t="shared" si="162"/>
        <v>0.48301326962823765</v>
      </c>
      <c r="G965" s="10">
        <f t="shared" si="159"/>
        <v>0.69099999999999961</v>
      </c>
      <c r="H965" s="10">
        <f t="shared" si="160"/>
        <v>0.66618934479847025</v>
      </c>
      <c r="I965" s="10">
        <f t="shared" si="163"/>
        <v>1.9627992882355061E-3</v>
      </c>
      <c r="J965" s="20">
        <f t="shared" si="161"/>
        <v>0</v>
      </c>
      <c r="K965" s="10">
        <f t="shared" si="164"/>
        <v>1.4689026142283179E-2</v>
      </c>
      <c r="L965" s="10">
        <f t="shared" si="165"/>
        <v>8.8134156853701962E-3</v>
      </c>
    </row>
    <row r="966" spans="1:12" x14ac:dyDescent="0.2">
      <c r="A966" s="14">
        <v>0.90100000000000002</v>
      </c>
      <c r="B966" s="10">
        <f t="shared" si="155"/>
        <v>2.2083854074737483</v>
      </c>
      <c r="C966" s="10">
        <f t="shared" si="156"/>
        <v>0.88556254839697313</v>
      </c>
      <c r="D966" s="10">
        <f t="shared" si="157"/>
        <v>3.5151020888535713</v>
      </c>
      <c r="E966" s="10">
        <f t="shared" si="158"/>
        <v>33.61935991064707</v>
      </c>
      <c r="F966" s="10">
        <f t="shared" si="162"/>
        <v>0.49466893139022261</v>
      </c>
      <c r="G966" s="10">
        <f t="shared" si="159"/>
        <v>0.6998938801112764</v>
      </c>
      <c r="H966" s="10">
        <f t="shared" si="160"/>
        <v>0.66816424360280635</v>
      </c>
      <c r="I966" s="10">
        <f t="shared" si="163"/>
        <v>1.9748988043361004E-3</v>
      </c>
      <c r="J966" s="20">
        <f t="shared" si="161"/>
        <v>0</v>
      </c>
      <c r="K966" s="10">
        <f t="shared" si="164"/>
        <v>1.482313351879494E-2</v>
      </c>
      <c r="L966" s="10">
        <f t="shared" si="165"/>
        <v>8.8938801112767862E-3</v>
      </c>
    </row>
    <row r="967" spans="1:12" x14ac:dyDescent="0.2">
      <c r="A967" s="14">
        <v>0.90200000000000002</v>
      </c>
      <c r="B967" s="10">
        <f t="shared" si="155"/>
        <v>2.2196470413920522</v>
      </c>
      <c r="C967" s="10">
        <f t="shared" si="156"/>
        <v>0.89229811063960507</v>
      </c>
      <c r="D967" s="10">
        <f t="shared" si="157"/>
        <v>3.5300619189502216</v>
      </c>
      <c r="E967" s="10">
        <f t="shared" si="158"/>
        <v>34.126080600422718</v>
      </c>
      <c r="F967" s="10">
        <f t="shared" si="162"/>
        <v>0.50672068977564777</v>
      </c>
      <c r="G967" s="10">
        <f t="shared" si="159"/>
        <v>0.70886977816926666</v>
      </c>
      <c r="H967" s="10">
        <f t="shared" si="160"/>
        <v>0.67015137401990132</v>
      </c>
      <c r="I967" s="10">
        <f t="shared" si="163"/>
        <v>1.9871304170949733E-3</v>
      </c>
      <c r="J967" s="20">
        <f t="shared" si="161"/>
        <v>0</v>
      </c>
      <c r="K967" s="10">
        <f t="shared" si="164"/>
        <v>1.4959830096650251E-2</v>
      </c>
      <c r="L967" s="10">
        <f t="shared" si="165"/>
        <v>8.9758980579902614E-3</v>
      </c>
    </row>
    <row r="968" spans="1:12" x14ac:dyDescent="0.2">
      <c r="A968" s="14">
        <v>0.90300000000000002</v>
      </c>
      <c r="B968" s="10">
        <f t="shared" si="155"/>
        <v>2.231011574913603</v>
      </c>
      <c r="C968" s="10">
        <f t="shared" si="156"/>
        <v>0.89909766469018204</v>
      </c>
      <c r="D968" s="10">
        <f t="shared" si="157"/>
        <v>3.5451611133857339</v>
      </c>
      <c r="E968" s="10">
        <f t="shared" si="158"/>
        <v>34.645266708851459</v>
      </c>
      <c r="F968" s="10">
        <f t="shared" si="162"/>
        <v>0.51918610842874102</v>
      </c>
      <c r="G968" s="10">
        <f t="shared" si="159"/>
        <v>0.71792929483057377</v>
      </c>
      <c r="H968" s="10">
        <f t="shared" si="160"/>
        <v>0.67215087080008318</v>
      </c>
      <c r="I968" s="10">
        <f t="shared" si="163"/>
        <v>1.9994967801818531E-3</v>
      </c>
      <c r="J968" s="20">
        <f t="shared" si="161"/>
        <v>0</v>
      </c>
      <c r="K968" s="10">
        <f t="shared" si="164"/>
        <v>1.5099194435512331E-2</v>
      </c>
      <c r="L968" s="10">
        <f t="shared" si="165"/>
        <v>9.0595166613071099E-3</v>
      </c>
    </row>
    <row r="969" spans="1:12" x14ac:dyDescent="0.2">
      <c r="A969" s="14">
        <v>0.90400000000000003</v>
      </c>
      <c r="B969" s="10">
        <f t="shared" si="155"/>
        <v>2.2424811689243405</v>
      </c>
      <c r="C969" s="10">
        <f t="shared" si="156"/>
        <v>0.90596239224543362</v>
      </c>
      <c r="D969" s="10">
        <f t="shared" si="157"/>
        <v>3.5604024217135017</v>
      </c>
      <c r="E969" s="10">
        <f t="shared" si="158"/>
        <v>35.177350426756867</v>
      </c>
      <c r="F969" s="10">
        <f t="shared" si="162"/>
        <v>0.53208371790540809</v>
      </c>
      <c r="G969" s="10">
        <f t="shared" si="159"/>
        <v>0.72707407982723449</v>
      </c>
      <c r="H969" s="10">
        <f t="shared" si="160"/>
        <v>0.6741628714322303</v>
      </c>
      <c r="I969" s="10">
        <f t="shared" si="163"/>
        <v>2.0120006321471262E-3</v>
      </c>
      <c r="J969" s="20">
        <f t="shared" si="161"/>
        <v>0</v>
      </c>
      <c r="K969" s="10">
        <f t="shared" si="164"/>
        <v>1.5241308327767822E-2</v>
      </c>
      <c r="L969" s="10">
        <f t="shared" si="165"/>
        <v>9.1447849966607153E-3</v>
      </c>
    </row>
    <row r="970" spans="1:12" x14ac:dyDescent="0.2">
      <c r="A970" s="14">
        <v>0.90500000000000003</v>
      </c>
      <c r="B970" s="10">
        <f t="shared" si="155"/>
        <v>2.2540580520993854</v>
      </c>
      <c r="C970" s="10">
        <f t="shared" si="156"/>
        <v>0.91289351110025119</v>
      </c>
      <c r="D970" s="10">
        <f t="shared" si="157"/>
        <v>3.5757886786805511</v>
      </c>
      <c r="E970" s="10">
        <f t="shared" si="158"/>
        <v>35.722783506300587</v>
      </c>
      <c r="F970" s="10">
        <f t="shared" si="162"/>
        <v>0.54543307954372011</v>
      </c>
      <c r="G970" s="10">
        <f t="shared" si="159"/>
        <v>0.73630583400746441</v>
      </c>
      <c r="H970" s="10">
        <f t="shared" si="160"/>
        <v>0.67618751623237827</v>
      </c>
      <c r="I970" s="10">
        <f t="shared" si="163"/>
        <v>2.0246448001479678E-3</v>
      </c>
      <c r="J970" s="20">
        <f t="shared" si="161"/>
        <v>0</v>
      </c>
      <c r="K970" s="10">
        <f t="shared" si="164"/>
        <v>1.5386256967049317E-2</v>
      </c>
      <c r="L970" s="10">
        <f t="shared" si="165"/>
        <v>9.231754180229923E-3</v>
      </c>
    </row>
    <row r="971" spans="1:12" x14ac:dyDescent="0.2">
      <c r="A971" s="14">
        <v>0.90600000000000003</v>
      </c>
      <c r="B971" s="10">
        <f t="shared" si="155"/>
        <v>2.2657445237729759</v>
      </c>
      <c r="C971" s="10">
        <f t="shared" si="156"/>
        <v>0.91989227665182827</v>
      </c>
      <c r="D971" s="10">
        <f t="shared" si="157"/>
        <v>3.5913228078079698</v>
      </c>
      <c r="E971" s="10">
        <f t="shared" si="158"/>
        <v>36.282038360573935</v>
      </c>
      <c r="F971" s="10">
        <f t="shared" si="162"/>
        <v>0.5592548542733482</v>
      </c>
      <c r="G971" s="10">
        <f t="shared" si="159"/>
        <v>0.74562631148391523</v>
      </c>
      <c r="H971" s="10">
        <f t="shared" si="160"/>
        <v>0.67822494843625769</v>
      </c>
      <c r="I971" s="10">
        <f t="shared" si="163"/>
        <v>2.037432203879419E-3</v>
      </c>
      <c r="J971" s="20">
        <f t="shared" si="161"/>
        <v>-8.8817841970012523E-16</v>
      </c>
      <c r="K971" s="10">
        <f t="shared" si="164"/>
        <v>1.5534129127418694E-2</v>
      </c>
      <c r="L971" s="10">
        <f t="shared" si="165"/>
        <v>9.3204774764508169E-3</v>
      </c>
    </row>
    <row r="972" spans="1:12" x14ac:dyDescent="0.2">
      <c r="A972" s="14">
        <v>0.90700000000000003</v>
      </c>
      <c r="B972" s="10">
        <f t="shared" si="155"/>
        <v>2.2775429569618808</v>
      </c>
      <c r="C972" s="10">
        <f t="shared" si="156"/>
        <v>0.92695998348348552</v>
      </c>
      <c r="D972" s="10">
        <f t="shared" si="157"/>
        <v>3.6070078251619844</v>
      </c>
      <c r="E972" s="10">
        <f t="shared" si="158"/>
        <v>36.855609237377081</v>
      </c>
      <c r="F972" s="10">
        <f t="shared" si="162"/>
        <v>0.57357087680314578</v>
      </c>
      <c r="G972" s="10">
        <f t="shared" si="159"/>
        <v>0.75503732189632411</v>
      </c>
      <c r="H972" s="10">
        <f t="shared" si="160"/>
        <v>0.68027531429598509</v>
      </c>
      <c r="I972" s="10">
        <f t="shared" si="163"/>
        <v>2.0503658597273988E-3</v>
      </c>
      <c r="J972" s="20">
        <f t="shared" si="161"/>
        <v>0</v>
      </c>
      <c r="K972" s="10">
        <f t="shared" si="164"/>
        <v>1.5685017354014619E-2</v>
      </c>
      <c r="L972" s="10">
        <f t="shared" si="165"/>
        <v>9.4110104124088823E-3</v>
      </c>
    </row>
    <row r="973" spans="1:12" x14ac:dyDescent="0.2">
      <c r="A973" s="14">
        <v>0.90800000000000003</v>
      </c>
      <c r="B973" s="10">
        <f t="shared" si="155"/>
        <v>2.2894558015522533</v>
      </c>
      <c r="C973" s="10">
        <f t="shared" si="156"/>
        <v>0.93409796703331938</v>
      </c>
      <c r="D973" s="10">
        <f t="shared" si="157"/>
        <v>3.6228468433280345</v>
      </c>
      <c r="E973" s="10">
        <f t="shared" si="158"/>
        <v>37.444013473047697</v>
      </c>
      <c r="F973" s="10">
        <f t="shared" si="162"/>
        <v>0.58840423567061606</v>
      </c>
      <c r="G973" s="10">
        <f t="shared" si="159"/>
        <v>0.76454073279595414</v>
      </c>
      <c r="H973" s="10">
        <f t="shared" si="160"/>
        <v>0.68233876318113884</v>
      </c>
      <c r="I973" s="10">
        <f t="shared" si="163"/>
        <v>2.0634488851537514E-3</v>
      </c>
      <c r="J973" s="20">
        <f t="shared" si="161"/>
        <v>0</v>
      </c>
      <c r="K973" s="10">
        <f t="shared" si="164"/>
        <v>1.5839018166050156E-2</v>
      </c>
      <c r="L973" s="10">
        <f t="shared" si="165"/>
        <v>9.5034108996300271E-3</v>
      </c>
    </row>
    <row r="974" spans="1:12" x14ac:dyDescent="0.2">
      <c r="A974" s="14">
        <v>0.90900000000000003</v>
      </c>
      <c r="B974" s="10">
        <f t="shared" si="155"/>
        <v>2.3014855876606291</v>
      </c>
      <c r="C974" s="10">
        <f t="shared" si="156"/>
        <v>0.94130760535319735</v>
      </c>
      <c r="D974" s="10">
        <f t="shared" si="157"/>
        <v>3.6388430756010877</v>
      </c>
      <c r="E974" s="10">
        <f t="shared" si="158"/>
        <v>38.047792832731673</v>
      </c>
      <c r="F974" s="10">
        <f t="shared" si="162"/>
        <v>0.60377935968397622</v>
      </c>
      <c r="G974" s="10">
        <f t="shared" si="159"/>
        <v>0.77413847215978615</v>
      </c>
      <c r="H974" s="10">
        <f t="shared" si="160"/>
        <v>0.68441544768447204</v>
      </c>
      <c r="I974" s="10">
        <f t="shared" si="163"/>
        <v>2.0766845033332038E-3</v>
      </c>
      <c r="J974" s="20">
        <f t="shared" si="161"/>
        <v>0</v>
      </c>
      <c r="K974" s="10">
        <f t="shared" si="164"/>
        <v>1.5996232273053135E-2</v>
      </c>
      <c r="L974" s="10">
        <f t="shared" si="165"/>
        <v>9.5977393638320141E-3</v>
      </c>
    </row>
    <row r="975" spans="1:12" x14ac:dyDescent="0.2">
      <c r="A975" s="14">
        <v>0.91</v>
      </c>
      <c r="B975" s="10">
        <f t="shared" si="155"/>
        <v>2.3136349291806311</v>
      </c>
      <c r="C975" s="10">
        <f t="shared" si="156"/>
        <v>0.94859032096405882</v>
      </c>
      <c r="D975" s="10">
        <f t="shared" si="157"/>
        <v>3.6549998404065205</v>
      </c>
      <c r="E975" s="10">
        <f t="shared" si="158"/>
        <v>38.667514944077638</v>
      </c>
      <c r="F975" s="10">
        <f t="shared" si="162"/>
        <v>0.61972211134596478</v>
      </c>
      <c r="G975" s="10">
        <f t="shared" si="159"/>
        <v>0.78383253104304562</v>
      </c>
      <c r="H975" s="10">
        <f t="shared" si="160"/>
        <v>0.68650552373252982</v>
      </c>
      <c r="I975" s="10">
        <f t="shared" si="163"/>
        <v>2.0900760480577762E-3</v>
      </c>
      <c r="J975" s="20">
        <f t="shared" si="161"/>
        <v>0</v>
      </c>
      <c r="K975" s="10">
        <f t="shared" si="164"/>
        <v>1.6156764805432822E-2</v>
      </c>
      <c r="L975" s="10">
        <f t="shared" si="165"/>
        <v>9.694058883259471E-3</v>
      </c>
    </row>
    <row r="976" spans="1:12" x14ac:dyDescent="0.2">
      <c r="A976" s="14">
        <v>0.91100000000000003</v>
      </c>
      <c r="B976" s="10">
        <f t="shared" si="155"/>
        <v>2.325906527527819</v>
      </c>
      <c r="C976" s="10">
        <f t="shared" si="156"/>
        <v>0.95594758281393366</v>
      </c>
      <c r="D976" s="10">
        <f t="shared" si="157"/>
        <v>3.6713205659669619</v>
      </c>
      <c r="E976" s="10">
        <f t="shared" si="158"/>
        <v>39.303774831983546</v>
      </c>
      <c r="F976" s="10">
        <f t="shared" si="162"/>
        <v>0.63625988790590782</v>
      </c>
      <c r="G976" s="10">
        <f t="shared" si="159"/>
        <v>0.79362496637931057</v>
      </c>
      <c r="H976" s="10">
        <f t="shared" si="160"/>
        <v>0.68860915070145645</v>
      </c>
      <c r="I976" s="10">
        <f t="shared" si="163"/>
        <v>2.1036269689266307E-3</v>
      </c>
      <c r="J976" s="20">
        <f t="shared" si="161"/>
        <v>0</v>
      </c>
      <c r="K976" s="10">
        <f t="shared" si="164"/>
        <v>1.6320725560441396E-2</v>
      </c>
      <c r="L976" s="10">
        <f t="shared" si="165"/>
        <v>9.7924353362649486E-3</v>
      </c>
    </row>
    <row r="977" spans="1:12" x14ac:dyDescent="0.2">
      <c r="A977" s="14">
        <v>0.91200000000000003</v>
      </c>
      <c r="B977" s="10">
        <f t="shared" si="155"/>
        <v>2.3383031755961254</v>
      </c>
      <c r="C977" s="10">
        <f t="shared" si="156"/>
        <v>0.96338090834560375</v>
      </c>
      <c r="D977" s="10">
        <f t="shared" si="157"/>
        <v>3.6878087952317422</v>
      </c>
      <c r="E977" s="10">
        <f t="shared" si="158"/>
        <v>39.957196562741217</v>
      </c>
      <c r="F977" s="10">
        <f t="shared" si="162"/>
        <v>0.65342173075767107</v>
      </c>
      <c r="G977" s="10">
        <f t="shared" si="159"/>
        <v>0.80351790393817868</v>
      </c>
      <c r="H977" s="10">
        <f t="shared" si="160"/>
        <v>0.69072649153830168</v>
      </c>
      <c r="I977" s="10">
        <f t="shared" si="163"/>
        <v>2.1173408368452273E-3</v>
      </c>
      <c r="J977" s="20">
        <f t="shared" si="161"/>
        <v>0</v>
      </c>
      <c r="K977" s="10">
        <f t="shared" si="164"/>
        <v>1.648822926478033E-2</v>
      </c>
      <c r="L977" s="10">
        <f t="shared" si="165"/>
        <v>9.892937558868109E-3</v>
      </c>
    </row>
    <row r="978" spans="1:12" x14ac:dyDescent="0.2">
      <c r="A978" s="14">
        <v>0.91300000000000003</v>
      </c>
      <c r="B978" s="10">
        <f t="shared" si="155"/>
        <v>2.3508277619403852</v>
      </c>
      <c r="C978" s="10">
        <f t="shared" si="156"/>
        <v>0.9708918656813792</v>
      </c>
      <c r="D978" s="10">
        <f t="shared" si="157"/>
        <v>3.7044681910868937</v>
      </c>
      <c r="E978" s="10">
        <f t="shared" si="158"/>
        <v>40.628435006716423</v>
      </c>
      <c r="F978" s="10">
        <f t="shared" si="162"/>
        <v>0.67123844397520571</v>
      </c>
      <c r="G978" s="10">
        <f t="shared" si="159"/>
        <v>0.81351354145126986</v>
      </c>
      <c r="H978" s="10">
        <f t="shared" si="160"/>
        <v>0.69285771288814868</v>
      </c>
      <c r="I978" s="10">
        <f t="shared" si="163"/>
        <v>2.1312213498470012E-3</v>
      </c>
      <c r="J978" s="20">
        <f t="shared" si="161"/>
        <v>0</v>
      </c>
      <c r="K978" s="10">
        <f t="shared" si="164"/>
        <v>1.6659395855151526E-2</v>
      </c>
      <c r="L978" s="10">
        <f t="shared" si="165"/>
        <v>9.9956375130911823E-3</v>
      </c>
    </row>
    <row r="979" spans="1:12" x14ac:dyDescent="0.2">
      <c r="A979" s="14">
        <v>0.91400000000000003</v>
      </c>
      <c r="B979" s="10">
        <f t="shared" si="155"/>
        <v>2.3634832752006427</v>
      </c>
      <c r="C979" s="10">
        <f t="shared" si="156"/>
        <v>0.97848207593306613</v>
      </c>
      <c r="D979" s="10">
        <f t="shared" si="157"/>
        <v>3.7213025418651258</v>
      </c>
      <c r="E979" s="10">
        <f t="shared" si="158"/>
        <v>41.318177729581116</v>
      </c>
      <c r="F979" s="10">
        <f t="shared" si="162"/>
        <v>0.68974272286469329</v>
      </c>
      <c r="G979" s="10">
        <f t="shared" si="159"/>
        <v>0.82361415191820908</v>
      </c>
      <c r="H979" s="10">
        <f t="shared" si="160"/>
        <v>0.69500298522742365</v>
      </c>
      <c r="I979" s="10">
        <f t="shared" si="163"/>
        <v>2.1452723392749729E-3</v>
      </c>
      <c r="J979" s="20">
        <f t="shared" si="161"/>
        <v>0</v>
      </c>
      <c r="K979" s="10">
        <f t="shared" si="164"/>
        <v>1.6834350778232032E-2</v>
      </c>
      <c r="L979" s="10">
        <f t="shared" si="165"/>
        <v>1.0100610466939219E-2</v>
      </c>
    </row>
    <row r="980" spans="1:12" x14ac:dyDescent="0.2">
      <c r="A980" s="14">
        <v>0.91500000000000004</v>
      </c>
      <c r="B980" s="10">
        <f t="shared" si="155"/>
        <v>2.3762728087852052</v>
      </c>
      <c r="C980" s="10">
        <f t="shared" si="156"/>
        <v>0.98615321564586023</v>
      </c>
      <c r="D980" s="10">
        <f t="shared" si="157"/>
        <v>3.7383157671767564</v>
      </c>
      <c r="E980" s="10">
        <f t="shared" si="158"/>
        <v>42.027147023087252</v>
      </c>
      <c r="F980" s="10">
        <f t="shared" si="162"/>
        <v>0.70896929350613647</v>
      </c>
      <c r="G980" s="10">
        <f t="shared" si="159"/>
        <v>0.83382208710518757</v>
      </c>
      <c r="H980" s="10">
        <f t="shared" si="160"/>
        <v>0.69716248300375638</v>
      </c>
      <c r="I980" s="10">
        <f t="shared" si="163"/>
        <v>2.1594977763327305E-3</v>
      </c>
      <c r="J980" s="20">
        <f t="shared" si="161"/>
        <v>0</v>
      </c>
      <c r="K980" s="10">
        <f t="shared" si="164"/>
        <v>1.7013225311630631E-2</v>
      </c>
      <c r="L980" s="10">
        <f t="shared" si="165"/>
        <v>1.020793518697849E-2</v>
      </c>
    </row>
    <row r="981" spans="1:12" x14ac:dyDescent="0.2">
      <c r="A981" s="14">
        <v>0.91600000000000004</v>
      </c>
      <c r="B981" s="10">
        <f t="shared" si="155"/>
        <v>2.3891995658308174</v>
      </c>
      <c r="C981" s="10">
        <f t="shared" si="156"/>
        <v>0.99390701938562009</v>
      </c>
      <c r="D981" s="10">
        <f t="shared" si="157"/>
        <v>3.7555119240843444</v>
      </c>
      <c r="E981" s="10">
        <f t="shared" si="158"/>
        <v>42.756102087453492</v>
      </c>
      <c r="F981" s="10">
        <f t="shared" si="162"/>
        <v>0.72895506436623947</v>
      </c>
      <c r="G981" s="10">
        <f t="shared" si="159"/>
        <v>0.84413978124974021</v>
      </c>
      <c r="H981" s="10">
        <f t="shared" si="160"/>
        <v>0.69933638478280324</v>
      </c>
      <c r="I981" s="10">
        <f t="shared" si="163"/>
        <v>2.1739017790468607E-3</v>
      </c>
      <c r="J981" s="20">
        <f t="shared" si="161"/>
        <v>0</v>
      </c>
      <c r="K981" s="10">
        <f t="shared" si="164"/>
        <v>1.7196156907588023E-2</v>
      </c>
      <c r="L981" s="10">
        <f t="shared" si="165"/>
        <v>1.0317694144552636E-2</v>
      </c>
    </row>
    <row r="982" spans="1:12" x14ac:dyDescent="0.2">
      <c r="A982" s="14">
        <v>0.91700000000000004</v>
      </c>
      <c r="B982" s="10">
        <f t="shared" si="155"/>
        <v>2.4022668644598673</v>
      </c>
      <c r="C982" s="10">
        <f t="shared" si="156"/>
        <v>1.0017452824797648</v>
      </c>
      <c r="D982" s="10">
        <f t="shared" si="157"/>
        <v>3.7728952136456435</v>
      </c>
      <c r="E982" s="10">
        <f t="shared" si="158"/>
        <v>43.505841378637115</v>
      </c>
      <c r="F982" s="10">
        <f t="shared" si="162"/>
        <v>0.74973929118362292</v>
      </c>
      <c r="G982" s="10">
        <f t="shared" si="159"/>
        <v>0.85456975498651944</v>
      </c>
      <c r="H982" s="10">
        <f t="shared" si="160"/>
        <v>0.70152487340246417</v>
      </c>
      <c r="I982" s="10">
        <f t="shared" si="163"/>
        <v>2.1884886196609221E-3</v>
      </c>
      <c r="J982" s="20">
        <f t="shared" si="161"/>
        <v>0</v>
      </c>
      <c r="K982" s="10">
        <f t="shared" si="164"/>
        <v>1.7383289561299087E-2</v>
      </c>
      <c r="L982" s="10">
        <f t="shared" si="165"/>
        <v>1.042997373677923E-2</v>
      </c>
    </row>
    <row r="983" spans="1:12" x14ac:dyDescent="0.2">
      <c r="A983" s="14">
        <v>0.91800000000000004</v>
      </c>
      <c r="B983" s="10">
        <f t="shared" si="155"/>
        <v>2.4154781433562378</v>
      </c>
      <c r="C983" s="10">
        <f t="shared" si="156"/>
        <v>1.0096698639229076</v>
      </c>
      <c r="D983" s="10">
        <f t="shared" si="157"/>
        <v>3.7904699878516133</v>
      </c>
      <c r="E983" s="10">
        <f t="shared" si="158"/>
        <v>44.277205135101774</v>
      </c>
      <c r="F983" s="10">
        <f t="shared" si="162"/>
        <v>0.77136375646465893</v>
      </c>
      <c r="G983" s="10">
        <f t="shared" si="159"/>
        <v>0.8651146195101016</v>
      </c>
      <c r="H983" s="10">
        <f t="shared" si="160"/>
        <v>0.70372813613496499</v>
      </c>
      <c r="I983" s="10">
        <f t="shared" si="163"/>
        <v>2.2032627325008214E-3</v>
      </c>
      <c r="J983" s="20">
        <f t="shared" si="161"/>
        <v>0</v>
      </c>
      <c r="K983" s="10">
        <f t="shared" si="164"/>
        <v>1.7574774205969756E-2</v>
      </c>
      <c r="L983" s="10">
        <f t="shared" si="165"/>
        <v>1.0544864523582165E-2</v>
      </c>
    </row>
    <row r="984" spans="1:12" x14ac:dyDescent="0.2">
      <c r="A984" s="14">
        <v>0.91900000000000004</v>
      </c>
      <c r="B984" s="10">
        <f t="shared" si="155"/>
        <v>2.4288369676832486</v>
      </c>
      <c r="C984" s="10">
        <f t="shared" si="156"/>
        <v>1.0176826894592812</v>
      </c>
      <c r="D984" s="10">
        <f t="shared" si="157"/>
        <v>3.8082407569884822</v>
      </c>
      <c r="E984" s="10">
        <f t="shared" si="158"/>
        <v>45.071078100180834</v>
      </c>
      <c r="F984" s="10">
        <f t="shared" si="162"/>
        <v>0.79387296507906058</v>
      </c>
      <c r="G984" s="10">
        <f t="shared" si="159"/>
        <v>0.87577708099222273</v>
      </c>
      <c r="H984" s="10">
        <f t="shared" si="160"/>
        <v>0.70594636485730655</v>
      </c>
      <c r="I984" s="10">
        <f t="shared" si="163"/>
        <v>2.2182287223415642E-3</v>
      </c>
      <c r="J984" s="20">
        <f t="shared" si="161"/>
        <v>0</v>
      </c>
      <c r="K984" s="10">
        <f t="shared" si="164"/>
        <v>1.7770769136868925E-2</v>
      </c>
      <c r="L984" s="10">
        <f t="shared" si="165"/>
        <v>1.0662461482121133E-2</v>
      </c>
    </row>
    <row r="985" spans="1:12" x14ac:dyDescent="0.2">
      <c r="A985" s="14">
        <v>0.92</v>
      </c>
      <c r="B985" s="10">
        <f t="shared" si="155"/>
        <v>2.4423470353692052</v>
      </c>
      <c r="C985" s="10">
        <f t="shared" si="156"/>
        <v>1.0257857548550662</v>
      </c>
      <c r="D985" s="10">
        <f t="shared" si="157"/>
        <v>3.8262121974554031</v>
      </c>
      <c r="E985" s="10">
        <f t="shared" si="158"/>
        <v>45.88839245780008</v>
      </c>
      <c r="F985" s="10">
        <f t="shared" si="162"/>
        <v>0.81731435761924587</v>
      </c>
      <c r="G985" s="10">
        <f t="shared" si="159"/>
        <v>0.88655994527237525</v>
      </c>
      <c r="H985" s="10">
        <f t="shared" si="160"/>
        <v>0.70817975623062623</v>
      </c>
      <c r="I985" s="10">
        <f t="shared" si="163"/>
        <v>2.233391373319682E-3</v>
      </c>
      <c r="J985" s="20">
        <f t="shared" si="161"/>
        <v>0</v>
      </c>
      <c r="K985" s="10">
        <f t="shared" si="164"/>
        <v>1.7971440466920896E-2</v>
      </c>
      <c r="L985" s="10">
        <f t="shared" si="165"/>
        <v>1.0782864280152515E-2</v>
      </c>
    </row>
    <row r="986" spans="1:12" x14ac:dyDescent="0.2">
      <c r="A986" s="14">
        <v>0.92100000000000004</v>
      </c>
      <c r="B986" s="10">
        <f t="shared" si="155"/>
        <v>2.4560121837882858</v>
      </c>
      <c r="C986" s="10">
        <f t="shared" si="156"/>
        <v>1.0339811293748684</v>
      </c>
      <c r="D986" s="10">
        <f t="shared" si="157"/>
        <v>3.8443891600719935</v>
      </c>
      <c r="E986" s="10">
        <f t="shared" si="158"/>
        <v>46.730131001180474</v>
      </c>
      <c r="F986" s="10">
        <f t="shared" si="162"/>
        <v>0.84173854338039433</v>
      </c>
      <c r="G986" s="10">
        <f t="shared" si="159"/>
        <v>0.89746612284232963</v>
      </c>
      <c r="H986" s="10">
        <f t="shared" si="160"/>
        <v>0.71042851188905443</v>
      </c>
      <c r="I986" s="10">
        <f t="shared" si="163"/>
        <v>2.248755658428192E-3</v>
      </c>
      <c r="J986" s="20">
        <f t="shared" si="161"/>
        <v>0</v>
      </c>
      <c r="K986" s="10">
        <f t="shared" si="164"/>
        <v>1.8176962616590409E-2</v>
      </c>
      <c r="L986" s="10">
        <f t="shared" si="165"/>
        <v>1.0906177569954378E-2</v>
      </c>
    </row>
    <row r="987" spans="1:12" x14ac:dyDescent="0.2">
      <c r="A987" s="14">
        <v>0.92200000000000004</v>
      </c>
      <c r="B987" s="10">
        <f t="shared" si="155"/>
        <v>2.4698363968670027</v>
      </c>
      <c r="C987" s="10">
        <f t="shared" si="156"/>
        <v>1.0422709594778752</v>
      </c>
      <c r="D987" s="10">
        <f t="shared" si="157"/>
        <v>3.8627766789131308</v>
      </c>
      <c r="E987" s="10">
        <f t="shared" si="158"/>
        <v>47.597330556221017</v>
      </c>
      <c r="F987" s="10">
        <f t="shared" si="162"/>
        <v>0.86719955504054269</v>
      </c>
      <c r="G987" s="10">
        <f t="shared" si="159"/>
        <v>0.90849863414701215</v>
      </c>
      <c r="H987" s="10">
        <f t="shared" si="160"/>
        <v>0.71269283863870236</v>
      </c>
      <c r="I987" s="10">
        <f t="shared" si="163"/>
        <v>2.264326749647938E-3</v>
      </c>
      <c r="J987" s="20">
        <f t="shared" si="161"/>
        <v>0</v>
      </c>
      <c r="K987" s="10">
        <f t="shared" si="164"/>
        <v>1.8387518841137318E-2</v>
      </c>
      <c r="L987" s="10">
        <f t="shared" si="165"/>
        <v>1.1032511304682524E-2</v>
      </c>
    </row>
    <row r="988" spans="1:12" x14ac:dyDescent="0.2">
      <c r="A988" s="14">
        <v>0.92300000000000004</v>
      </c>
      <c r="B988" s="10">
        <f t="shared" si="155"/>
        <v>2.483823812649169</v>
      </c>
      <c r="C988" s="10">
        <f t="shared" si="156"/>
        <v>1.0506574727505986</v>
      </c>
      <c r="D988" s="10">
        <f t="shared" si="157"/>
        <v>3.8813799807116989</v>
      </c>
      <c r="E988" s="10">
        <f t="shared" si="158"/>
        <v>48.49108568358826</v>
      </c>
      <c r="F988" s="10">
        <f t="shared" si="162"/>
        <v>0.89375512736724261</v>
      </c>
      <c r="G988" s="10">
        <f t="shared" si="159"/>
        <v>0.91966061522615272</v>
      </c>
      <c r="H988" s="10">
        <f t="shared" si="160"/>
        <v>0.71497294866745931</v>
      </c>
      <c r="I988" s="10">
        <f t="shared" si="163"/>
        <v>2.2801100287569431E-3</v>
      </c>
      <c r="J988" s="20">
        <f t="shared" si="161"/>
        <v>0</v>
      </c>
      <c r="K988" s="10">
        <f t="shared" si="164"/>
        <v>1.8603301798568062E-2</v>
      </c>
      <c r="L988" s="10">
        <f t="shared" si="165"/>
        <v>1.116198107914057E-2</v>
      </c>
    </row>
    <row r="989" spans="1:12" x14ac:dyDescent="0.2">
      <c r="A989" s="14">
        <v>0.92400000000000004</v>
      </c>
      <c r="B989" s="10">
        <f t="shared" si="155"/>
        <v>2.4979787313553539</v>
      </c>
      <c r="C989" s="10">
        <f t="shared" si="156"/>
        <v>1.0591429820946701</v>
      </c>
      <c r="D989" s="10">
        <f t="shared" si="157"/>
        <v>3.9002044948737531</v>
      </c>
      <c r="E989" s="10">
        <f t="shared" si="158"/>
        <v>49.412552686153113</v>
      </c>
      <c r="F989" s="10">
        <f t="shared" si="162"/>
        <v>0.92146700256485303</v>
      </c>
      <c r="G989" s="10">
        <f t="shared" si="159"/>
        <v>0.93095532372338519</v>
      </c>
      <c r="H989" s="10">
        <f t="shared" si="160"/>
        <v>0.71726905976634037</v>
      </c>
      <c r="I989" s="10">
        <f t="shared" si="163"/>
        <v>2.2961110988810596E-3</v>
      </c>
      <c r="J989" s="20">
        <f t="shared" si="161"/>
        <v>0</v>
      </c>
      <c r="K989" s="10">
        <f t="shared" si="164"/>
        <v>1.8824514162054218E-2</v>
      </c>
      <c r="L989" s="10">
        <f t="shared" si="165"/>
        <v>1.1294708497232464E-2</v>
      </c>
    </row>
    <row r="990" spans="1:12" x14ac:dyDescent="0.2">
      <c r="A990" s="14">
        <v>0.92500000000000004</v>
      </c>
      <c r="B990" s="10">
        <f t="shared" si="155"/>
        <v>2.5123056239761152</v>
      </c>
      <c r="C990" s="10">
        <f t="shared" si="156"/>
        <v>1.0677298901898491</v>
      </c>
      <c r="D990" s="10">
        <f t="shared" si="157"/>
        <v>3.9192558641546484</v>
      </c>
      <c r="E990" s="10">
        <f t="shared" si="158"/>
        <v>50.362953951348494</v>
      </c>
      <c r="F990" s="10">
        <f t="shared" si="162"/>
        <v>0.95040126519538148</v>
      </c>
      <c r="G990" s="10">
        <f t="shared" si="159"/>
        <v>0.94238614529192266</v>
      </c>
      <c r="H990" s="10">
        <f t="shared" si="160"/>
        <v>0.71958139556318423</v>
      </c>
      <c r="I990" s="10">
        <f t="shared" si="163"/>
        <v>2.3123357968438674E-3</v>
      </c>
      <c r="J990" s="20">
        <f t="shared" si="161"/>
        <v>0</v>
      </c>
      <c r="K990" s="10">
        <f t="shared" si="164"/>
        <v>1.9051369280895347E-2</v>
      </c>
      <c r="L990" s="10">
        <f t="shared" si="165"/>
        <v>1.1430821568537475E-2</v>
      </c>
    </row>
    <row r="991" spans="1:12" x14ac:dyDescent="0.2">
      <c r="A991" s="14">
        <v>0.92600000000000005</v>
      </c>
      <c r="B991" s="10">
        <f t="shared" si="155"/>
        <v>2.5268091414420102</v>
      </c>
      <c r="C991" s="10">
        <f t="shared" si="156"/>
        <v>1.0764206942542964</v>
      </c>
      <c r="D991" s="10">
        <f t="shared" si="157"/>
        <v>3.9385399560492456</v>
      </c>
      <c r="E991" s="10">
        <f t="shared" si="158"/>
        <v>51.343582661323623</v>
      </c>
      <c r="F991" s="10">
        <f t="shared" si="162"/>
        <v>0.98062870997512874</v>
      </c>
      <c r="G991" s="10">
        <f t="shared" si="159"/>
        <v>0.95395660042868069</v>
      </c>
      <c r="H991" s="10">
        <f t="shared" si="160"/>
        <v>0.72191018576956401</v>
      </c>
      <c r="I991" s="10">
        <f t="shared" si="163"/>
        <v>2.3287902063797716E-3</v>
      </c>
      <c r="J991" s="20">
        <f t="shared" si="161"/>
        <v>0</v>
      </c>
      <c r="K991" s="10">
        <f t="shared" si="164"/>
        <v>1.9284091894597122E-2</v>
      </c>
      <c r="L991" s="10">
        <f t="shared" si="165"/>
        <v>1.1570455136758029E-2</v>
      </c>
    </row>
    <row r="992" spans="1:12" x14ac:dyDescent="0.2">
      <c r="A992" s="14">
        <v>0.92700000000000005</v>
      </c>
      <c r="B992" s="10">
        <f t="shared" si="155"/>
        <v>2.5414941244174649</v>
      </c>
      <c r="C992" s="10">
        <f t="shared" si="156"/>
        <v>1.0852179911262576</v>
      </c>
      <c r="D992" s="10">
        <f t="shared" si="157"/>
        <v>3.9580628749543472</v>
      </c>
      <c r="E992" s="10">
        <f t="shared" si="158"/>
        <v>52.355807907490707</v>
      </c>
      <c r="F992" s="10">
        <f t="shared" si="162"/>
        <v>1.012225246167084</v>
      </c>
      <c r="G992" s="10">
        <f t="shared" si="159"/>
        <v>0.96567035177174165</v>
      </c>
      <c r="H992" s="10">
        <f t="shared" si="160"/>
        <v>0.72425566644185346</v>
      </c>
      <c r="I992" s="10">
        <f t="shared" si="163"/>
        <v>2.3454806722894572E-3</v>
      </c>
      <c r="J992" s="20">
        <f t="shared" si="161"/>
        <v>0</v>
      </c>
      <c r="K992" s="10">
        <f t="shared" si="164"/>
        <v>1.9522918905101605E-2</v>
      </c>
      <c r="L992" s="10">
        <f t="shared" si="165"/>
        <v>1.1713751343060963E-2</v>
      </c>
    </row>
    <row r="993" spans="1:12" x14ac:dyDescent="0.2">
      <c r="A993" s="14">
        <v>0.92800000000000005</v>
      </c>
      <c r="B993" s="10">
        <f t="shared" si="155"/>
        <v>2.5563656137701458</v>
      </c>
      <c r="C993" s="10">
        <f t="shared" si="156"/>
        <v>1.0941244826936225</v>
      </c>
      <c r="D993" s="10">
        <f t="shared" si="157"/>
        <v>3.9778309751671515</v>
      </c>
      <c r="E993" s="10">
        <f t="shared" si="158"/>
        <v>53.401080250259788</v>
      </c>
      <c r="F993" s="10">
        <f t="shared" si="162"/>
        <v>1.0452723427690813</v>
      </c>
      <c r="G993" s="10">
        <f t="shared" si="159"/>
        <v>0.97753121189942416</v>
      </c>
      <c r="H993" s="10">
        <f t="shared" si="160"/>
        <v>0.72661808025746599</v>
      </c>
      <c r="I993" s="10">
        <f t="shared" si="163"/>
        <v>2.3624138156125296E-3</v>
      </c>
      <c r="J993" s="20">
        <f t="shared" si="161"/>
        <v>-8.8817841970012523E-16</v>
      </c>
      <c r="K993" s="10">
        <f t="shared" si="164"/>
        <v>1.9768100212804285E-2</v>
      </c>
      <c r="L993" s="10">
        <f t="shared" si="165"/>
        <v>1.1860860127682504E-2</v>
      </c>
    </row>
    <row r="994" spans="1:12" x14ac:dyDescent="0.2">
      <c r="A994" s="14">
        <v>0.92900000000000005</v>
      </c>
      <c r="B994" s="10">
        <f t="shared" si="155"/>
        <v>2.5714288617725241</v>
      </c>
      <c r="C994" s="10">
        <f t="shared" si="156"/>
        <v>1.103142981700413</v>
      </c>
      <c r="D994" s="10">
        <f t="shared" si="157"/>
        <v>3.997850874789711</v>
      </c>
      <c r="E994" s="10">
        <f t="shared" si="158"/>
        <v>54.480937769502646</v>
      </c>
      <c r="F994" s="10">
        <f t="shared" si="162"/>
        <v>1.0798575192428572</v>
      </c>
      <c r="G994" s="10">
        <f t="shared" si="159"/>
        <v>0.9895431516729597</v>
      </c>
      <c r="H994" s="10">
        <f t="shared" si="160"/>
        <v>0.72899767680737637</v>
      </c>
      <c r="I994" s="10">
        <f t="shared" si="163"/>
        <v>2.3795965499103788E-3</v>
      </c>
      <c r="J994" s="20">
        <f t="shared" si="161"/>
        <v>-9.9920072216264089E-16</v>
      </c>
      <c r="K994" s="10">
        <f t="shared" si="164"/>
        <v>2.0019899622559567E-2</v>
      </c>
      <c r="L994" s="10">
        <f t="shared" si="165"/>
        <v>1.201193977353554E-2</v>
      </c>
    </row>
    <row r="995" spans="1:12" x14ac:dyDescent="0.2">
      <c r="A995" s="14">
        <v>0.93</v>
      </c>
      <c r="B995" s="10">
        <f t="shared" si="155"/>
        <v>2.5866893440979433</v>
      </c>
      <c r="C995" s="10">
        <f t="shared" si="156"/>
        <v>1.1122764179621156</v>
      </c>
      <c r="D995" s="10">
        <f t="shared" si="157"/>
        <v>4.0181294706163344</v>
      </c>
      <c r="E995" s="10">
        <f t="shared" si="158"/>
        <v>55.597012656661406</v>
      </c>
      <c r="F995" s="10">
        <f t="shared" si="162"/>
        <v>1.11607488715876</v>
      </c>
      <c r="G995" s="10">
        <f t="shared" si="159"/>
        <v>1.0017103091689337</v>
      </c>
      <c r="H995" s="10">
        <f t="shared" si="160"/>
        <v>0.73139471290612945</v>
      </c>
      <c r="I995" s="10">
        <f t="shared" si="163"/>
        <v>2.3970360987530803E-3</v>
      </c>
      <c r="J995" s="20">
        <f t="shared" si="161"/>
        <v>0</v>
      </c>
      <c r="K995" s="10">
        <f t="shared" si="164"/>
        <v>2.0278595826623391E-2</v>
      </c>
      <c r="L995" s="10">
        <f t="shared" si="165"/>
        <v>1.2167157495973968E-2</v>
      </c>
    </row>
    <row r="996" spans="1:12" x14ac:dyDescent="0.2">
      <c r="A996" s="14">
        <v>0.93100000000000005</v>
      </c>
      <c r="B996" s="10">
        <f t="shared" si="155"/>
        <v>2.6021527726798084</v>
      </c>
      <c r="C996" s="10">
        <f t="shared" si="156"/>
        <v>1.1215278450249975</v>
      </c>
      <c r="D996" s="10">
        <f t="shared" si="157"/>
        <v>4.0386739540886349</v>
      </c>
      <c r="E996" s="10">
        <f t="shared" si="158"/>
        <v>56.751038405514429</v>
      </c>
      <c r="F996" s="10">
        <f t="shared" si="162"/>
        <v>1.154025748853023</v>
      </c>
      <c r="G996" s="10">
        <f t="shared" si="159"/>
        <v>1.0140369992523142</v>
      </c>
      <c r="H996" s="10">
        <f t="shared" si="160"/>
        <v>0.73380945292065225</v>
      </c>
      <c r="I996" s="10">
        <f t="shared" si="163"/>
        <v>2.4147400145227982E-3</v>
      </c>
      <c r="J996" s="20">
        <f t="shared" si="161"/>
        <v>0</v>
      </c>
      <c r="K996" s="10">
        <f t="shared" si="164"/>
        <v>2.0544483472300534E-2</v>
      </c>
      <c r="L996" s="10">
        <f t="shared" si="165"/>
        <v>1.2326690083380498E-2</v>
      </c>
    </row>
    <row r="997" spans="1:12" x14ac:dyDescent="0.2">
      <c r="A997" s="14">
        <v>0.93200000000000005</v>
      </c>
      <c r="B997" s="10">
        <f t="shared" si="155"/>
        <v>2.6178251095094853</v>
      </c>
      <c r="C997" s="10">
        <f t="shared" si="156"/>
        <v>1.1309004473080977</v>
      </c>
      <c r="D997" s="10">
        <f t="shared" si="157"/>
        <v>4.0594918284115149</v>
      </c>
      <c r="E997" s="10">
        <f t="shared" si="158"/>
        <v>57.944857665534741</v>
      </c>
      <c r="F997" s="10">
        <f t="shared" si="162"/>
        <v>1.1938192600203124</v>
      </c>
      <c r="G997" s="10">
        <f t="shared" si="159"/>
        <v>1.026527723846042</v>
      </c>
      <c r="H997" s="10">
        <f t="shared" si="160"/>
        <v>0.73624216911929985</v>
      </c>
      <c r="I997" s="10">
        <f t="shared" si="163"/>
        <v>2.4327161986475998E-3</v>
      </c>
      <c r="J997" s="20">
        <f t="shared" si="161"/>
        <v>0</v>
      </c>
      <c r="K997" s="10">
        <f t="shared" si="164"/>
        <v>2.0817874322879959E-2</v>
      </c>
      <c r="L997" s="10">
        <f t="shared" si="165"/>
        <v>1.2490724593727798E-2</v>
      </c>
    </row>
    <row r="998" spans="1:12" x14ac:dyDescent="0.2">
      <c r="A998" s="14">
        <v>0.93300000000000005</v>
      </c>
      <c r="B998" s="10">
        <f t="shared" si="155"/>
        <v>2.6337125814563787</v>
      </c>
      <c r="C998" s="10">
        <f t="shared" si="156"/>
        <v>1.1403975477706121</v>
      </c>
      <c r="D998" s="10">
        <f t="shared" si="157"/>
        <v>4.0805909269330973</v>
      </c>
      <c r="E998" s="10">
        <f t="shared" si="158"/>
        <v>59.180430829662185</v>
      </c>
      <c r="F998" s="10">
        <f t="shared" si="162"/>
        <v>1.2355731641274446</v>
      </c>
      <c r="G998" s="10">
        <f t="shared" si="159"/>
        <v>1.0391871829589916</v>
      </c>
      <c r="H998" s="10">
        <f t="shared" si="160"/>
        <v>0.73869314204270398</v>
      </c>
      <c r="I998" s="10">
        <f t="shared" si="163"/>
        <v>2.4509729234041266E-3</v>
      </c>
      <c r="J998" s="20">
        <f t="shared" si="161"/>
        <v>0</v>
      </c>
      <c r="K998" s="10">
        <f t="shared" si="164"/>
        <v>2.1099098521582427E-2</v>
      </c>
      <c r="L998" s="10">
        <f t="shared" si="165"/>
        <v>1.2659459112949634E-2</v>
      </c>
    </row>
    <row r="999" spans="1:12" x14ac:dyDescent="0.2">
      <c r="A999" s="14">
        <v>0.93400000000000005</v>
      </c>
      <c r="B999" s="10">
        <f t="shared" si="155"/>
        <v>2.6498216962024177</v>
      </c>
      <c r="C999" s="10">
        <f t="shared" si="156"/>
        <v>1.1500226161518494</v>
      </c>
      <c r="D999" s="10">
        <f t="shared" si="157"/>
        <v>4.1019794329024029</v>
      </c>
      <c r="E999" s="10">
        <f t="shared" si="158"/>
        <v>60.459845437296522</v>
      </c>
      <c r="F999" s="10">
        <f t="shared" si="162"/>
        <v>1.2794146076343367</v>
      </c>
      <c r="G999" s="10">
        <f t="shared" si="159"/>
        <v>1.052020286540575</v>
      </c>
      <c r="H999" s="10">
        <f t="shared" si="160"/>
        <v>0.74116266089813188</v>
      </c>
      <c r="I999" s="10">
        <f t="shared" si="163"/>
        <v>2.4695188554278991E-3</v>
      </c>
      <c r="J999" s="20">
        <f t="shared" si="161"/>
        <v>0</v>
      </c>
      <c r="K999" s="10">
        <f t="shared" si="164"/>
        <v>2.1388505969305527E-2</v>
      </c>
      <c r="L999" s="10">
        <f t="shared" si="165"/>
        <v>1.2833103581583405E-2</v>
      </c>
    </row>
    <row r="1000" spans="1:12" x14ac:dyDescent="0.2">
      <c r="A1000" s="14">
        <v>0.93500000000000005</v>
      </c>
      <c r="B1000" s="10">
        <f t="shared" si="155"/>
        <v>2.666159259393051</v>
      </c>
      <c r="C1000" s="10">
        <f t="shared" si="156"/>
        <v>1.1597792778359772</v>
      </c>
      <c r="D1000" s="10">
        <f t="shared" si="157"/>
        <v>4.1236659007307299</v>
      </c>
      <c r="E1000" s="10">
        <f t="shared" si="158"/>
        <v>61.785326483588783</v>
      </c>
      <c r="F1000" s="10">
        <f t="shared" si="162"/>
        <v>1.3254810462922606</v>
      </c>
      <c r="G1000" s="10">
        <f t="shared" si="159"/>
        <v>1.0650321672375715</v>
      </c>
      <c r="H1000" s="10">
        <f t="shared" si="160"/>
        <v>0.74365102397923288</v>
      </c>
      <c r="I1000" s="10">
        <f t="shared" si="163"/>
        <v>2.4883630811010082E-3</v>
      </c>
      <c r="J1000" s="20">
        <f t="shared" si="161"/>
        <v>0</v>
      </c>
      <c r="K1000" s="10">
        <f t="shared" si="164"/>
        <v>2.1686467828327061E-2</v>
      </c>
      <c r="L1000" s="10">
        <f t="shared" si="165"/>
        <v>1.3011880696996547E-2</v>
      </c>
    </row>
    <row r="1001" spans="1:12" x14ac:dyDescent="0.2">
      <c r="A1001" s="14">
        <v>0.93600000000000005</v>
      </c>
      <c r="B1001" s="10">
        <f t="shared" si="155"/>
        <v>2.682732393117921</v>
      </c>
      <c r="C1001" s="10">
        <f t="shared" si="156"/>
        <v>1.1696713233994136</v>
      </c>
      <c r="D1001" s="10">
        <f t="shared" si="157"/>
        <v>4.1456592788963444</v>
      </c>
      <c r="E1001" s="10">
        <f t="shared" si="158"/>
        <v>63.159247737862238</v>
      </c>
      <c r="F1001" s="10">
        <f t="shared" si="162"/>
        <v>1.3739212542734549</v>
      </c>
      <c r="G1001" s="10">
        <f t="shared" si="159"/>
        <v>1.0782281941369403</v>
      </c>
      <c r="H1001" s="10">
        <f t="shared" si="160"/>
        <v>0.74615853911322494</v>
      </c>
      <c r="I1001" s="10">
        <f t="shared" si="163"/>
        <v>2.5075151339920554E-3</v>
      </c>
      <c r="J1001" s="20">
        <f t="shared" si="161"/>
        <v>0</v>
      </c>
      <c r="K1001" s="10">
        <f t="shared" si="164"/>
        <v>2.199337816561453E-2</v>
      </c>
      <c r="L1001" s="10">
        <f t="shared" si="165"/>
        <v>1.3196026899368718E-2</v>
      </c>
    </row>
    <row r="1002" spans="1:12" x14ac:dyDescent="0.2">
      <c r="A1002" s="14">
        <v>0.93700000000000006</v>
      </c>
      <c r="B1002" s="10">
        <f t="shared" si="155"/>
        <v>2.6995485558468904</v>
      </c>
      <c r="C1002" s="10">
        <f t="shared" si="156"/>
        <v>1.1797027189050913</v>
      </c>
      <c r="D1002" s="10">
        <f t="shared" si="157"/>
        <v>4.1679689346474618</v>
      </c>
      <c r="E1002" s="10">
        <f t="shared" si="158"/>
        <v>64.584144187476753</v>
      </c>
      <c r="F1002" s="10">
        <f t="shared" si="162"/>
        <v>1.4248964496145149</v>
      </c>
      <c r="G1002" s="10">
        <f t="shared" si="159"/>
        <v>1.0916139875876105</v>
      </c>
      <c r="H1002" s="10">
        <f t="shared" si="160"/>
        <v>0.74868552413777834</v>
      </c>
      <c r="I1002" s="10">
        <f t="shared" si="163"/>
        <v>2.5269850245533965E-3</v>
      </c>
      <c r="J1002" s="20">
        <f t="shared" si="161"/>
        <v>0</v>
      </c>
      <c r="K1002" s="10">
        <f t="shared" si="164"/>
        <v>2.2309655751117319E-2</v>
      </c>
      <c r="L1002" s="10">
        <f t="shared" si="165"/>
        <v>1.3385793450670258E-2</v>
      </c>
    </row>
    <row r="1003" spans="1:12" x14ac:dyDescent="0.2">
      <c r="A1003" s="14">
        <v>0.93799999999999994</v>
      </c>
      <c r="B1003" s="10">
        <f t="shared" si="155"/>
        <v>2.716615563961132</v>
      </c>
      <c r="C1003" s="10">
        <f t="shared" si="156"/>
        <v>1.1898776170149756</v>
      </c>
      <c r="D1003" s="10">
        <f t="shared" si="157"/>
        <v>4.1906046806758193</v>
      </c>
      <c r="E1003" s="10">
        <f t="shared" si="158"/>
        <v>66.062725738944962</v>
      </c>
      <c r="F1003" s="10">
        <f t="shared" si="162"/>
        <v>1.4785815514682099</v>
      </c>
      <c r="G1003" s="10">
        <f t="shared" si="159"/>
        <v>1.1051954352046249</v>
      </c>
      <c r="H1003" s="10">
        <f t="shared" si="160"/>
        <v>0.75123230741007563</v>
      </c>
      <c r="I1003" s="10">
        <f t="shared" si="163"/>
        <v>2.5467832722972927E-3</v>
      </c>
      <c r="J1003" s="20">
        <f t="shared" si="161"/>
        <v>0</v>
      </c>
      <c r="K1003" s="10">
        <f t="shared" si="164"/>
        <v>2.2635746028357495E-2</v>
      </c>
      <c r="L1003" s="10">
        <f t="shared" si="165"/>
        <v>1.3581447617014408E-2</v>
      </c>
    </row>
    <row r="1004" spans="1:12" x14ac:dyDescent="0.2">
      <c r="A1004" s="14">
        <v>0.93899999999999995</v>
      </c>
      <c r="B1004" s="10">
        <f t="shared" si="155"/>
        <v>2.7339416150349507</v>
      </c>
      <c r="C1004" s="10">
        <f t="shared" si="156"/>
        <v>1.2002003690003431</v>
      </c>
      <c r="D1004" s="10">
        <f t="shared" si="157"/>
        <v>4.2135768039527699</v>
      </c>
      <c r="E1004" s="10">
        <f t="shared" si="158"/>
        <v>67.597892325958213</v>
      </c>
      <c r="F1004" s="10">
        <f t="shared" si="162"/>
        <v>1.5351665870132507</v>
      </c>
      <c r="G1004" s="10">
        <f t="shared" si="159"/>
        <v>1.118978709170795</v>
      </c>
      <c r="H1004" s="10">
        <f t="shared" si="160"/>
        <v>0.75379922835077973</v>
      </c>
      <c r="I1004" s="10">
        <f t="shared" si="163"/>
        <v>2.5669209407040983E-3</v>
      </c>
      <c r="J1004" s="20">
        <f t="shared" si="161"/>
        <v>0</v>
      </c>
      <c r="K1004" s="10">
        <f t="shared" si="164"/>
        <v>2.297212327695064E-2</v>
      </c>
      <c r="L1004" s="10">
        <f t="shared" si="165"/>
        <v>1.3783273966170073E-2</v>
      </c>
    </row>
    <row r="1005" spans="1:12" x14ac:dyDescent="0.2">
      <c r="A1005" s="14">
        <v>0.94</v>
      </c>
      <c r="B1005" s="10">
        <f t="shared" si="155"/>
        <v>2.751535313041948</v>
      </c>
      <c r="C1005" s="10">
        <f t="shared" si="156"/>
        <v>1.210675537738457</v>
      </c>
      <c r="D1005" s="10">
        <f t="shared" si="157"/>
        <v>4.2368960969419138</v>
      </c>
      <c r="E1005" s="10">
        <f t="shared" si="158"/>
        <v>69.192750594576751</v>
      </c>
      <c r="F1005" s="10">
        <f t="shared" si="162"/>
        <v>1.5948582686185375</v>
      </c>
      <c r="G1005" s="10">
        <f t="shared" si="159"/>
        <v>1.1329702849642818</v>
      </c>
      <c r="H1005" s="10">
        <f t="shared" si="160"/>
        <v>0.75638663802591743</v>
      </c>
      <c r="I1005" s="10">
        <f t="shared" si="163"/>
        <v>2.5874096751377085E-3</v>
      </c>
      <c r="J1005" s="20">
        <f t="shared" si="161"/>
        <v>0</v>
      </c>
      <c r="K1005" s="10">
        <f t="shared" si="164"/>
        <v>2.3319292989143925E-2</v>
      </c>
      <c r="L1005" s="10">
        <f t="shared" si="165"/>
        <v>1.3991575793486755E-2</v>
      </c>
    </row>
    <row r="1006" spans="1:12" x14ac:dyDescent="0.2">
      <c r="A1006" s="14">
        <v>0.94099999999999995</v>
      </c>
      <c r="B1006" s="10">
        <f t="shared" si="155"/>
        <v>2.7694056956796591</v>
      </c>
      <c r="C1006" s="10">
        <f t="shared" si="156"/>
        <v>1.2213079117947294</v>
      </c>
      <c r="D1006" s="10">
        <f t="shared" si="157"/>
        <v>4.2605738914275673</v>
      </c>
      <c r="E1006" s="10">
        <f t="shared" si="158"/>
        <v>70.850632359680688</v>
      </c>
      <c r="F1006" s="10">
        <f t="shared" si="162"/>
        <v>1.6578817651039373</v>
      </c>
      <c r="G1006" s="10">
        <f t="shared" si="159"/>
        <v>1.1471769616556733</v>
      </c>
      <c r="H1006" s="10">
        <f t="shared" si="160"/>
        <v>0.758994899770009</v>
      </c>
      <c r="I1006" s="10">
        <f t="shared" si="163"/>
        <v>2.6082617440915667E-3</v>
      </c>
      <c r="J1006" s="20">
        <f t="shared" si="161"/>
        <v>0</v>
      </c>
      <c r="K1006" s="10">
        <f t="shared" si="164"/>
        <v>2.3677794485653436E-2</v>
      </c>
      <c r="L1006" s="10">
        <f t="shared" si="165"/>
        <v>1.4206676691391529E-2</v>
      </c>
    </row>
    <row r="1007" spans="1:12" x14ac:dyDescent="0.2">
      <c r="A1007" s="14">
        <v>0.94199999999999995</v>
      </c>
      <c r="B1007" s="10">
        <f t="shared" si="155"/>
        <v>2.7875622640299427</v>
      </c>
      <c r="C1007" s="10">
        <f t="shared" si="156"/>
        <v>1.2321025207012346</v>
      </c>
      <c r="D1007" s="10">
        <f t="shared" si="157"/>
        <v>4.2846220952268315</v>
      </c>
      <c r="E1007" s="10">
        <f t="shared" si="158"/>
        <v>72.575115054409906</v>
      </c>
      <c r="F1007" s="10">
        <f t="shared" si="162"/>
        <v>1.7244826947292182</v>
      </c>
      <c r="G1007" s="10">
        <f t="shared" si="159"/>
        <v>1.1616058839352319</v>
      </c>
      <c r="H1007" s="10">
        <f t="shared" si="160"/>
        <v>0.76162438985411751</v>
      </c>
      <c r="I1007" s="10">
        <f t="shared" si="163"/>
        <v>2.62949008410851E-3</v>
      </c>
      <c r="J1007" s="20">
        <f t="shared" si="161"/>
        <v>0</v>
      </c>
      <c r="K1007" s="10">
        <f t="shared" si="164"/>
        <v>2.4048203799264201E-2</v>
      </c>
      <c r="L1007" s="10">
        <f t="shared" si="165"/>
        <v>1.4428922279558609E-2</v>
      </c>
    </row>
    <row r="1008" spans="1:12" x14ac:dyDescent="0.2">
      <c r="A1008" s="14">
        <v>0.94299999999999995</v>
      </c>
      <c r="B1008" s="10">
        <f t="shared" si="155"/>
        <v>2.8060150147989065</v>
      </c>
      <c r="C1008" s="10">
        <f t="shared" si="156"/>
        <v>1.2430646515559154</v>
      </c>
      <c r="D1008" s="10">
        <f t="shared" si="157"/>
        <v>4.3090532320856809</v>
      </c>
      <c r="E1008" s="10">
        <f t="shared" si="158"/>
        <v>74.37004442645528</v>
      </c>
      <c r="F1008" s="10">
        <f t="shared" si="162"/>
        <v>1.7949293720453738</v>
      </c>
      <c r="G1008" s="10">
        <f t="shared" si="159"/>
        <v>1.1762645660505417</v>
      </c>
      <c r="H1008" s="10">
        <f t="shared" si="160"/>
        <v>0.76427549820289664</v>
      </c>
      <c r="I1008" s="10">
        <f t="shared" si="163"/>
        <v>2.6511083487791298E-3</v>
      </c>
      <c r="J1008" s="20">
        <f t="shared" si="161"/>
        <v>0</v>
      </c>
      <c r="K1008" s="10">
        <f t="shared" si="164"/>
        <v>2.4431136858849456E-2</v>
      </c>
      <c r="L1008" s="10">
        <f t="shared" si="165"/>
        <v>1.4658682115309851E-2</v>
      </c>
    </row>
    <row r="1009" spans="1:12" x14ac:dyDescent="0.2">
      <c r="A1009" s="14">
        <v>0.94399999999999995</v>
      </c>
      <c r="B1009" s="10">
        <f t="shared" si="155"/>
        <v>2.8247744754103503</v>
      </c>
      <c r="C1009" s="10">
        <f t="shared" si="156"/>
        <v>1.2541998670821954</v>
      </c>
      <c r="D1009" s="10">
        <f t="shared" si="157"/>
        <v>4.3338804850966204</v>
      </c>
      <c r="E1009" s="10">
        <f t="shared" si="158"/>
        <v>76.239559772502361</v>
      </c>
      <c r="F1009" s="10">
        <f t="shared" si="162"/>
        <v>1.8695153460470806</v>
      </c>
      <c r="G1009" s="10">
        <f t="shared" si="159"/>
        <v>1.1911609178571054</v>
      </c>
      <c r="H1009" s="10">
        <f t="shared" si="160"/>
        <v>0.76694862916515816</v>
      </c>
      <c r="I1009" s="10">
        <f t="shared" si="163"/>
        <v>2.6731309622615163E-3</v>
      </c>
      <c r="J1009" s="20">
        <f t="shared" si="161"/>
        <v>0</v>
      </c>
      <c r="K1009" s="10">
        <f t="shared" si="164"/>
        <v>2.4827253010939465E-2</v>
      </c>
      <c r="L1009" s="10">
        <f t="shared" si="165"/>
        <v>1.4896351806563679E-2</v>
      </c>
    </row>
    <row r="1010" spans="1:12" x14ac:dyDescent="0.2">
      <c r="A1010" s="14">
        <v>0.94499999999999995</v>
      </c>
      <c r="B1010" s="10">
        <f t="shared" si="155"/>
        <v>2.843851742261271</v>
      </c>
      <c r="C1010" s="10">
        <f t="shared" si="156"/>
        <v>1.2655140253062656</v>
      </c>
      <c r="D1010" s="10">
        <f t="shared" si="157"/>
        <v>4.3591177440179916</v>
      </c>
      <c r="E1010" s="10">
        <f t="shared" si="158"/>
        <v>78.188122045872433</v>
      </c>
      <c r="F1010" s="10">
        <f t="shared" si="162"/>
        <v>1.9485622733700723</v>
      </c>
      <c r="G1010" s="10">
        <f t="shared" si="159"/>
        <v>1.2063032732099277</v>
      </c>
      <c r="H1010" s="10">
        <f t="shared" si="160"/>
        <v>0.76964420234299113</v>
      </c>
      <c r="I1010" s="10">
        <f t="shared" si="163"/>
        <v>2.6955731778329772E-3</v>
      </c>
      <c r="J1010" s="20">
        <f t="shared" si="161"/>
        <v>0</v>
      </c>
      <c r="K1010" s="10">
        <f t="shared" si="164"/>
        <v>2.5237258921371186E-2</v>
      </c>
      <c r="L1010" s="10">
        <f t="shared" si="165"/>
        <v>1.5142355352822268E-2</v>
      </c>
    </row>
    <row r="1011" spans="1:12" x14ac:dyDescent="0.2">
      <c r="A1011" s="14">
        <v>0.94599999999999995</v>
      </c>
      <c r="B1011" s="10">
        <f t="shared" si="155"/>
        <v>2.863258522487603</v>
      </c>
      <c r="C1011" s="10">
        <f t="shared" si="156"/>
        <v>1.2770133010294709</v>
      </c>
      <c r="D1011" s="10">
        <f t="shared" si="157"/>
        <v>4.3847796569237918</v>
      </c>
      <c r="E1011" s="10">
        <f t="shared" si="158"/>
        <v>80.220545223651641</v>
      </c>
      <c r="F1011" s="10">
        <f t="shared" si="162"/>
        <v>2.0324231777792079</v>
      </c>
      <c r="G1011" s="10">
        <f t="shared" si="159"/>
        <v>1.2217004209534079</v>
      </c>
      <c r="H1011" s="10">
        <f t="shared" si="160"/>
        <v>0.77236265348503397</v>
      </c>
      <c r="I1011" s="10">
        <f t="shared" si="163"/>
        <v>2.7184511420428326E-3</v>
      </c>
      <c r="J1011" s="20">
        <f t="shared" si="161"/>
        <v>0</v>
      </c>
      <c r="K1011" s="10">
        <f t="shared" si="164"/>
        <v>2.5661912905800222E-2</v>
      </c>
      <c r="L1011" s="10">
        <f t="shared" si="165"/>
        <v>1.5397147743480222E-2</v>
      </c>
    </row>
    <row r="1012" spans="1:12" x14ac:dyDescent="0.2">
      <c r="A1012" s="14">
        <v>0.94699999999999995</v>
      </c>
      <c r="B1012" s="10">
        <f t="shared" si="155"/>
        <v>2.8830071796339554</v>
      </c>
      <c r="C1012" s="10">
        <f t="shared" si="156"/>
        <v>1.2887042092963779</v>
      </c>
      <c r="D1012" s="10">
        <f t="shared" si="157"/>
        <v>4.4108816866689082</v>
      </c>
      <c r="E1012" s="10">
        <f t="shared" si="158"/>
        <v>82.342031379794804</v>
      </c>
      <c r="F1012" s="10">
        <f t="shared" si="162"/>
        <v>2.1214861561431633</v>
      </c>
      <c r="G1012" s="10">
        <f t="shared" si="159"/>
        <v>1.2373616388004782</v>
      </c>
      <c r="H1012" s="10">
        <f t="shared" si="160"/>
        <v>0.7751044354501524</v>
      </c>
      <c r="I1012" s="10">
        <f t="shared" si="163"/>
        <v>2.7417819651184283E-3</v>
      </c>
      <c r="J1012" s="20">
        <f t="shared" si="161"/>
        <v>0</v>
      </c>
      <c r="K1012" s="10">
        <f t="shared" si="164"/>
        <v>2.610202974511644E-2</v>
      </c>
      <c r="L1012" s="10">
        <f t="shared" si="165"/>
        <v>1.5661217847070308E-2</v>
      </c>
    </row>
    <row r="1013" spans="1:12" x14ac:dyDescent="0.2">
      <c r="A1013" s="14">
        <v>0.94799999999999995</v>
      </c>
      <c r="B1013" s="10">
        <f t="shared" si="155"/>
        <v>2.9031107836735934</v>
      </c>
      <c r="C1013" s="10">
        <f t="shared" si="156"/>
        <v>1.3005936310857698</v>
      </c>
      <c r="D1013" s="10">
        <f t="shared" si="157"/>
        <v>4.4374401727192589</v>
      </c>
      <c r="E1013" s="10">
        <f t="shared" si="158"/>
        <v>84.5582099816057</v>
      </c>
      <c r="F1013" s="10">
        <f t="shared" si="162"/>
        <v>2.2161786018108955</v>
      </c>
      <c r="G1013" s="10">
        <f t="shared" si="159"/>
        <v>1.2532967304306881</v>
      </c>
      <c r="H1013" s="10">
        <f t="shared" si="160"/>
        <v>0.7778700192485174</v>
      </c>
      <c r="I1013" s="10">
        <f t="shared" si="163"/>
        <v>2.7655837983650011E-3</v>
      </c>
      <c r="J1013" s="20">
        <f t="shared" si="161"/>
        <v>0</v>
      </c>
      <c r="K1013" s="10">
        <f t="shared" si="164"/>
        <v>2.6558486050350716E-2</v>
      </c>
      <c r="L1013" s="10">
        <f t="shared" si="165"/>
        <v>1.5935091630209897E-2</v>
      </c>
    </row>
    <row r="1014" spans="1:12" x14ac:dyDescent="0.2">
      <c r="A1014" s="14">
        <v>0.94899999999999995</v>
      </c>
      <c r="B1014" s="10">
        <f t="shared" si="155"/>
        <v>2.9235831658856011</v>
      </c>
      <c r="C1014" s="10">
        <f t="shared" si="156"/>
        <v>1.3126888414826348</v>
      </c>
      <c r="D1014" s="10">
        <f t="shared" si="157"/>
        <v>4.4644723989709307</v>
      </c>
      <c r="E1014" s="10">
        <f t="shared" si="158"/>
        <v>86.875182010784698</v>
      </c>
      <c r="F1014" s="10">
        <f t="shared" si="162"/>
        <v>2.3169720291789986</v>
      </c>
      <c r="G1014" s="10">
        <f t="shared" si="159"/>
        <v>1.2695160661816915</v>
      </c>
      <c r="H1014" s="10">
        <f t="shared" si="160"/>
        <v>0.7806598951679149</v>
      </c>
      <c r="I1014" s="10">
        <f t="shared" si="163"/>
        <v>2.7898759193974998E-3</v>
      </c>
      <c r="J1014" s="20">
        <f t="shared" si="161"/>
        <v>0</v>
      </c>
      <c r="K1014" s="10">
        <f t="shared" si="164"/>
        <v>2.7032226251671787E-2</v>
      </c>
      <c r="L1014" s="10">
        <f t="shared" si="165"/>
        <v>1.6219335751003428E-2</v>
      </c>
    </row>
    <row r="1015" spans="1:12" x14ac:dyDescent="0.2">
      <c r="A1015" s="14">
        <v>0.95</v>
      </c>
      <c r="B1015" s="10">
        <f t="shared" si="155"/>
        <v>2.9444389791664394</v>
      </c>
      <c r="C1015" s="10">
        <f t="shared" si="156"/>
        <v>1.3249975406248975</v>
      </c>
      <c r="D1015" s="10">
        <f t="shared" si="157"/>
        <v>4.4919966682688797</v>
      </c>
      <c r="E1015" s="10">
        <f t="shared" si="158"/>
        <v>89.299569609545031</v>
      </c>
      <c r="F1015" s="10">
        <f t="shared" si="162"/>
        <v>2.4243875987603332</v>
      </c>
      <c r="G1015" s="10">
        <f t="shared" si="159"/>
        <v>1.2860306277604607</v>
      </c>
      <c r="H1015" s="10">
        <f t="shared" si="160"/>
        <v>0.78347457399408649</v>
      </c>
      <c r="I1015" s="10">
        <f t="shared" si="163"/>
        <v>2.8146788261715905E-3</v>
      </c>
      <c r="J1015" s="20">
        <f t="shared" si="161"/>
        <v>0</v>
      </c>
      <c r="K1015" s="10">
        <f t="shared" si="164"/>
        <v>2.7524269297948933E-2</v>
      </c>
      <c r="L1015" s="10">
        <f t="shared" si="165"/>
        <v>1.6514561578769182E-2</v>
      </c>
    </row>
    <row r="1016" spans="1:12" x14ac:dyDescent="0.2">
      <c r="A1016" s="14">
        <v>0.95099999999999996</v>
      </c>
      <c r="B1016" s="10">
        <f t="shared" si="155"/>
        <v>2.965693764434763</v>
      </c>
      <c r="C1016" s="10">
        <f t="shared" si="156"/>
        <v>1.337527887760078</v>
      </c>
      <c r="D1016" s="10">
        <f t="shared" si="157"/>
        <v>4.5200323844360728</v>
      </c>
      <c r="E1016" s="10">
        <f t="shared" si="158"/>
        <v>91.838572070365601</v>
      </c>
      <c r="F1016" s="10">
        <f t="shared" si="162"/>
        <v>2.5390024608205692</v>
      </c>
      <c r="G1016" s="10">
        <f t="shared" si="159"/>
        <v>1.3028520574607771</v>
      </c>
      <c r="H1016" s="10">
        <f t="shared" si="160"/>
        <v>0.78631458833500401</v>
      </c>
      <c r="I1016" s="10">
        <f t="shared" si="163"/>
        <v>2.8400143409175183E-3</v>
      </c>
      <c r="J1016" s="20">
        <f t="shared" si="161"/>
        <v>0</v>
      </c>
      <c r="K1016" s="10">
        <f t="shared" si="164"/>
        <v>2.8035716167193137E-2</v>
      </c>
      <c r="L1016" s="10">
        <f t="shared" si="165"/>
        <v>1.6821429700316415E-2</v>
      </c>
    </row>
    <row r="1017" spans="1:12" x14ac:dyDescent="0.2">
      <c r="A1017" s="14">
        <v>0.95199999999999996</v>
      </c>
      <c r="B1017" s="10">
        <f t="shared" si="155"/>
        <v>2.9873640238834733</v>
      </c>
      <c r="C1017" s="10">
        <f t="shared" si="156"/>
        <v>1.3502885387953298</v>
      </c>
      <c r="D1017" s="10">
        <f t="shared" si="157"/>
        <v>4.5486001427409413</v>
      </c>
      <c r="E1017" s="10">
        <f t="shared" si="158"/>
        <v>94.500029128802069</v>
      </c>
      <c r="F1017" s="10">
        <f t="shared" si="162"/>
        <v>2.6614570584364685</v>
      </c>
      <c r="G1017" s="10">
        <f t="shared" si="159"/>
        <v>1.3199927124436981</v>
      </c>
      <c r="H1017" s="10">
        <f t="shared" si="160"/>
        <v>0.78918049406023838</v>
      </c>
      <c r="I1017" s="10">
        <f t="shared" si="163"/>
        <v>2.8659057252343745E-3</v>
      </c>
      <c r="J1017" s="20">
        <f t="shared" si="161"/>
        <v>0</v>
      </c>
      <c r="K1017" s="10">
        <f t="shared" si="164"/>
        <v>2.8567758304868462E-2</v>
      </c>
      <c r="L1017" s="10">
        <f t="shared" si="165"/>
        <v>1.7140654982920944E-2</v>
      </c>
    </row>
    <row r="1018" spans="1:12" x14ac:dyDescent="0.2">
      <c r="A1018" s="14">
        <v>0.95299999999999996</v>
      </c>
      <c r="B1018" s="10">
        <f t="shared" si="155"/>
        <v>3.0094673019441425</v>
      </c>
      <c r="C1018" s="10">
        <f t="shared" si="156"/>
        <v>1.3632886877806965</v>
      </c>
      <c r="D1018" s="10">
        <f t="shared" si="157"/>
        <v>4.577721829867607</v>
      </c>
      <c r="E1018" s="10">
        <f t="shared" si="158"/>
        <v>97.292492687373823</v>
      </c>
      <c r="F1018" s="10">
        <f t="shared" si="162"/>
        <v>2.7924635585717539</v>
      </c>
      <c r="G1018" s="10">
        <f t="shared" si="159"/>
        <v>1.3374657247196975</v>
      </c>
      <c r="H1018" s="10">
        <f t="shared" si="160"/>
        <v>0.79207287186805608</v>
      </c>
      <c r="I1018" s="10">
        <f t="shared" si="163"/>
        <v>2.8923778078177032E-3</v>
      </c>
      <c r="J1018" s="20">
        <f t="shared" si="161"/>
        <v>0</v>
      </c>
      <c r="K1018" s="10">
        <f t="shared" si="164"/>
        <v>2.9121687126665741E-2</v>
      </c>
      <c r="L1018" s="10">
        <f t="shared" si="165"/>
        <v>1.74730122759994E-2</v>
      </c>
    </row>
    <row r="1019" spans="1:12" x14ac:dyDescent="0.2">
      <c r="A1019" s="14">
        <v>0.95399999999999996</v>
      </c>
      <c r="B1019" s="10">
        <f t="shared" si="155"/>
        <v>3.0320222749591905</v>
      </c>
      <c r="C1019" s="10">
        <f t="shared" si="156"/>
        <v>1.3765381128314724</v>
      </c>
      <c r="D1019" s="10">
        <f t="shared" si="157"/>
        <v>4.6074207346134424</v>
      </c>
      <c r="E1019" s="10">
        <f t="shared" si="158"/>
        <v>100.22530830108045</v>
      </c>
      <c r="F1019" s="10">
        <f t="shared" si="162"/>
        <v>2.932815613706623</v>
      </c>
      <c r="G1019" s="10">
        <f t="shared" si="159"/>
        <v>1.3552850675671988</v>
      </c>
      <c r="H1019" s="10">
        <f t="shared" si="160"/>
        <v>0.79499232899454575</v>
      </c>
      <c r="I1019" s="10">
        <f t="shared" si="163"/>
        <v>2.9194571264896663E-3</v>
      </c>
      <c r="J1019" s="20">
        <f t="shared" si="161"/>
        <v>0</v>
      </c>
      <c r="K1019" s="10">
        <f t="shared" si="164"/>
        <v>2.9698904745835364E-2</v>
      </c>
      <c r="L1019" s="10">
        <f t="shared" si="165"/>
        <v>1.7819342847501307E-2</v>
      </c>
    </row>
    <row r="1020" spans="1:12" x14ac:dyDescent="0.2">
      <c r="A1020" s="14">
        <v>0.95499999999999996</v>
      </c>
      <c r="B1020" s="10">
        <f t="shared" si="155"/>
        <v>3.0550488507104094</v>
      </c>
      <c r="C1020" s="10">
        <f t="shared" si="156"/>
        <v>1.3900472270732362</v>
      </c>
      <c r="D1020" s="10">
        <f t="shared" si="157"/>
        <v>4.6377216707267896</v>
      </c>
      <c r="E1020" s="10">
        <f t="shared" si="158"/>
        <v>103.30870799931714</v>
      </c>
      <c r="F1020" s="10">
        <f t="shared" si="162"/>
        <v>3.0833996982366898</v>
      </c>
      <c r="G1020" s="10">
        <f t="shared" si="159"/>
        <v>1.373465629235207</v>
      </c>
      <c r="H1020" s="10">
        <f t="shared" si="160"/>
        <v>0.79793950108103706</v>
      </c>
      <c r="I1020" s="10">
        <f t="shared" si="163"/>
        <v>2.947172086491312E-3</v>
      </c>
      <c r="J1020" s="20">
        <f t="shared" si="161"/>
        <v>0</v>
      </c>
      <c r="K1020" s="10">
        <f t="shared" si="164"/>
        <v>3.0300936113347277E-2</v>
      </c>
      <c r="L1020" s="10">
        <f t="shared" si="165"/>
        <v>1.8180561668008188E-2</v>
      </c>
    </row>
    <row r="1021" spans="1:12" x14ac:dyDescent="0.2">
      <c r="A1021" s="14">
        <v>0.95599999999999996</v>
      </c>
      <c r="B1021" s="10">
        <f t="shared" si="155"/>
        <v>3.0785682791331395</v>
      </c>
      <c r="C1021" s="10">
        <f t="shared" si="156"/>
        <v>1.4038271352847114</v>
      </c>
      <c r="D1021" s="10">
        <f t="shared" si="157"/>
        <v>4.6686511135197124</v>
      </c>
      <c r="E1021" s="10">
        <f t="shared" si="158"/>
        <v>106.55391631456702</v>
      </c>
      <c r="F1021" s="10">
        <f t="shared" si="162"/>
        <v>3.245208315249883</v>
      </c>
      <c r="G1021" s="10">
        <f t="shared" si="159"/>
        <v>1.3920232949109606</v>
      </c>
      <c r="H1021" s="10">
        <f t="shared" si="160"/>
        <v>0.80091505421833764</v>
      </c>
      <c r="I1021" s="10">
        <f t="shared" si="163"/>
        <v>2.9755531373005795E-3</v>
      </c>
      <c r="J1021" s="20">
        <f t="shared" si="161"/>
        <v>0</v>
      </c>
      <c r="K1021" s="10">
        <f t="shared" si="164"/>
        <v>3.0929442792922757E-2</v>
      </c>
      <c r="L1021" s="10">
        <f t="shared" si="165"/>
        <v>1.8557665675753565E-2</v>
      </c>
    </row>
    <row r="1022" spans="1:12" x14ac:dyDescent="0.2">
      <c r="A1022" s="14">
        <v>0.95699999999999996</v>
      </c>
      <c r="B1022" s="10">
        <f t="shared" si="155"/>
        <v>3.1026032757593911</v>
      </c>
      <c r="C1022" s="10">
        <f t="shared" si="156"/>
        <v>1.4178896970220416</v>
      </c>
      <c r="D1022" s="10">
        <f t="shared" si="157"/>
        <v>4.700237352153545</v>
      </c>
      <c r="E1022" s="10">
        <f t="shared" si="158"/>
        <v>109.97327174752066</v>
      </c>
      <c r="F1022" s="10">
        <f t="shared" si="162"/>
        <v>3.4193554329536369</v>
      </c>
      <c r="G1022" s="10">
        <f t="shared" si="159"/>
        <v>1.4109750380912605</v>
      </c>
      <c r="H1022" s="10">
        <f t="shared" si="160"/>
        <v>0.80391968718894946</v>
      </c>
      <c r="I1022" s="10">
        <f t="shared" si="163"/>
        <v>3.0046329706118202E-3</v>
      </c>
      <c r="J1022" s="20">
        <f t="shared" si="161"/>
        <v>0</v>
      </c>
      <c r="K1022" s="10">
        <f t="shared" si="164"/>
        <v>3.1586238633832586E-2</v>
      </c>
      <c r="L1022" s="10">
        <f t="shared" si="165"/>
        <v>1.8951743180299907E-2</v>
      </c>
    </row>
    <row r="1023" spans="1:12" x14ac:dyDescent="0.2">
      <c r="A1023" s="14">
        <v>0.95799999999999996</v>
      </c>
      <c r="B1023" s="10">
        <f t="shared" si="155"/>
        <v>3.1271781596874915</v>
      </c>
      <c r="C1023" s="10">
        <f t="shared" si="156"/>
        <v>1.4322475971368709</v>
      </c>
      <c r="D1023" s="10">
        <f t="shared" si="157"/>
        <v>4.7325106598073807</v>
      </c>
      <c r="E1023" s="10">
        <f t="shared" si="158"/>
        <v>113.58036633676313</v>
      </c>
      <c r="F1023" s="10">
        <f t="shared" si="162"/>
        <v>3.6070945892424788</v>
      </c>
      <c r="G1023" s="10">
        <f t="shared" si="159"/>
        <v>1.4303390226835615</v>
      </c>
      <c r="H1023" s="10">
        <f t="shared" si="160"/>
        <v>0.80695413393152071</v>
      </c>
      <c r="I1023" s="10">
        <f t="shared" si="163"/>
        <v>3.0344467425712507E-3</v>
      </c>
      <c r="J1023" s="20">
        <f t="shared" si="161"/>
        <v>0</v>
      </c>
      <c r="K1023" s="10">
        <f t="shared" si="164"/>
        <v>3.2273307653835737E-2</v>
      </c>
      <c r="L1023" s="10">
        <f t="shared" si="165"/>
        <v>1.9363984592301042E-2</v>
      </c>
    </row>
    <row r="1024" spans="1:12" x14ac:dyDescent="0.2">
      <c r="A1024" s="14">
        <v>0.95899999999999996</v>
      </c>
      <c r="B1024" s="10">
        <f t="shared" si="155"/>
        <v>3.1523190081791297</v>
      </c>
      <c r="C1024" s="10">
        <f t="shared" si="156"/>
        <v>1.4469144247542205</v>
      </c>
      <c r="D1024" s="10">
        <f t="shared" si="157"/>
        <v>4.7655034843121271</v>
      </c>
      <c r="E1024" s="10">
        <f t="shared" si="158"/>
        <v>117.39020653869463</v>
      </c>
      <c r="F1024" s="10">
        <f t="shared" si="162"/>
        <v>3.8098402019314932</v>
      </c>
      <c r="G1024" s="10">
        <f t="shared" si="159"/>
        <v>1.4501347173864092</v>
      </c>
      <c r="H1024" s="10">
        <f t="shared" si="160"/>
        <v>0.81001916625539994</v>
      </c>
      <c r="I1024" s="10">
        <f t="shared" si="163"/>
        <v>3.0650323238792243E-3</v>
      </c>
      <c r="J1024" s="20">
        <f t="shared" si="161"/>
        <v>0</v>
      </c>
      <c r="K1024" s="10">
        <f t="shared" si="164"/>
        <v>3.2992824504746388E-2</v>
      </c>
      <c r="L1024" s="10">
        <f t="shared" si="165"/>
        <v>1.9795694702847699E-2</v>
      </c>
    </row>
    <row r="1025" spans="1:12" x14ac:dyDescent="0.2">
      <c r="A1025" s="14">
        <v>0.96</v>
      </c>
      <c r="B1025" s="10">
        <f t="shared" si="155"/>
        <v>3.1780538303479449</v>
      </c>
      <c r="C1025" s="10">
        <f t="shared" si="156"/>
        <v>1.4619047619600545</v>
      </c>
      <c r="D1025" s="10">
        <f t="shared" si="157"/>
        <v>4.7992506622789355</v>
      </c>
      <c r="E1025" s="10">
        <f t="shared" si="158"/>
        <v>121.41939928534254</v>
      </c>
      <c r="F1025" s="10">
        <f t="shared" si="162"/>
        <v>4.0291927466479081</v>
      </c>
      <c r="G1025" s="10">
        <f t="shared" si="159"/>
        <v>1.4703830241664941</v>
      </c>
      <c r="H1025" s="10">
        <f t="shared" si="160"/>
        <v>0.81311559683743551</v>
      </c>
      <c r="I1025" s="10">
        <f t="shared" si="163"/>
        <v>3.0964305820355698E-3</v>
      </c>
      <c r="J1025" s="20">
        <f t="shared" si="161"/>
        <v>0</v>
      </c>
      <c r="K1025" s="10">
        <f t="shared" si="164"/>
        <v>3.3747177966808373E-2</v>
      </c>
      <c r="L1025" s="10">
        <f t="shared" si="165"/>
        <v>2.0248306780084935E-2</v>
      </c>
    </row>
    <row r="1026" spans="1:12" x14ac:dyDescent="0.2">
      <c r="A1026" s="14">
        <v>0.96099999999999997</v>
      </c>
      <c r="B1026" s="10">
        <f t="shared" ref="B1026:B1089" si="166">LN(A1026/(1-A1026))</f>
        <v>3.2044127628406449</v>
      </c>
      <c r="C1026" s="10">
        <f t="shared" ref="C1026:C1089" si="167">(A1026-0.5)*B1026</f>
        <v>1.4772342836695371</v>
      </c>
      <c r="D1026" s="10">
        <f t="shared" ref="D1026:D1089" si="168">$B$45+$B$46*B1026+$B$47*C1026</f>
        <v>4.8337896602871719</v>
      </c>
      <c r="E1026" s="10">
        <f t="shared" ref="E1026:E1089" si="169">$B$14+EXP(D1026)</f>
        <v>125.68636790690475</v>
      </c>
      <c r="F1026" s="10">
        <f t="shared" si="162"/>
        <v>4.2669686215622136</v>
      </c>
      <c r="G1026" s="10">
        <f t="shared" ref="G1026:G1064" si="170">$C$45+$C$46*B1026+$C$47*C1026</f>
        <v>1.4911064229714359</v>
      </c>
      <c r="H1026" s="10">
        <f t="shared" ref="H1026:H1089" si="171">$C$14+($C$15-$C$14)/(1+EXP(-G1026))</f>
        <v>0.81624428253819203</v>
      </c>
      <c r="I1026" s="10">
        <f t="shared" si="163"/>
        <v>3.1286857007565283E-3</v>
      </c>
      <c r="J1026" s="20">
        <f t="shared" ref="J1026:J1064" si="172">G1026-($B$22+$B$21*D1026)</f>
        <v>0</v>
      </c>
      <c r="K1026" s="10">
        <f t="shared" si="164"/>
        <v>3.4538998008236454E-2</v>
      </c>
      <c r="L1026" s="10">
        <f t="shared" si="165"/>
        <v>2.0723398804941784E-2</v>
      </c>
    </row>
    <row r="1027" spans="1:12" x14ac:dyDescent="0.2">
      <c r="A1027" s="14">
        <v>0.96199999999999997</v>
      </c>
      <c r="B1027" s="10">
        <f t="shared" si="166"/>
        <v>3.2314282909393199</v>
      </c>
      <c r="C1027" s="10">
        <f t="shared" si="167"/>
        <v>1.4929198704139657</v>
      </c>
      <c r="D1027" s="10">
        <f t="shared" si="168"/>
        <v>4.8691608473449906</v>
      </c>
      <c r="E1027" s="10">
        <f t="shared" si="169"/>
        <v>130.21160362471767</v>
      </c>
      <c r="F1027" s="10">
        <f t="shared" ref="F1027:F1090" si="173">E1027-E1026</f>
        <v>4.5252357178129188</v>
      </c>
      <c r="G1027" s="10">
        <f t="shared" si="170"/>
        <v>1.5123291352061274</v>
      </c>
      <c r="H1027" s="10">
        <f t="shared" si="171"/>
        <v>0.81940612808074342</v>
      </c>
      <c r="I1027" s="10">
        <f t="shared" ref="I1027:I1090" si="174">H1027-H1026</f>
        <v>3.1618455425513892E-3</v>
      </c>
      <c r="J1027" s="20">
        <f t="shared" si="172"/>
        <v>0</v>
      </c>
      <c r="K1027" s="10">
        <f t="shared" ref="K1027:K1064" si="175">D1027-D1026</f>
        <v>3.5371187057818609E-2</v>
      </c>
      <c r="L1027" s="10">
        <f t="shared" ref="L1027:L1064" si="176">G1027-G1026</f>
        <v>2.1222712234691521E-2</v>
      </c>
    </row>
    <row r="1028" spans="1:12" x14ac:dyDescent="0.2">
      <c r="A1028" s="14">
        <v>0.96299999999999997</v>
      </c>
      <c r="B1028" s="10">
        <f t="shared" si="166"/>
        <v>3.2591354991539001</v>
      </c>
      <c r="C1028" s="10">
        <f t="shared" si="167"/>
        <v>1.5089797361082555</v>
      </c>
      <c r="D1028" s="10">
        <f t="shared" si="168"/>
        <v>4.9054078036215962</v>
      </c>
      <c r="E1028" s="10">
        <f t="shared" si="169"/>
        <v>135.01795959424018</v>
      </c>
      <c r="F1028" s="10">
        <f t="shared" si="173"/>
        <v>4.8063559695225138</v>
      </c>
      <c r="G1028" s="10">
        <f t="shared" si="170"/>
        <v>1.5340773089720909</v>
      </c>
      <c r="H1028" s="10">
        <f t="shared" si="171"/>
        <v>0.82260209014232499</v>
      </c>
      <c r="I1028" s="10">
        <f t="shared" si="174"/>
        <v>3.1959620615815698E-3</v>
      </c>
      <c r="J1028" s="20">
        <f t="shared" si="172"/>
        <v>0</v>
      </c>
      <c r="K1028" s="10">
        <f t="shared" si="175"/>
        <v>3.624695627660568E-2</v>
      </c>
      <c r="L1028" s="10">
        <f t="shared" si="176"/>
        <v>2.1748173765963497E-2</v>
      </c>
    </row>
    <row r="1029" spans="1:12" x14ac:dyDescent="0.2">
      <c r="A1029" s="14">
        <v>0.96399999999999997</v>
      </c>
      <c r="B1029" s="10">
        <f t="shared" si="166"/>
        <v>3.2875723561544348</v>
      </c>
      <c r="C1029" s="10">
        <f t="shared" si="167"/>
        <v>1.5254335732556576</v>
      </c>
      <c r="D1029" s="10">
        <f t="shared" si="168"/>
        <v>4.9425776714085767</v>
      </c>
      <c r="E1029" s="10">
        <f t="shared" si="169"/>
        <v>140.13099607931267</v>
      </c>
      <c r="F1029" s="10">
        <f t="shared" si="173"/>
        <v>5.1130364850724845</v>
      </c>
      <c r="G1029" s="10">
        <f t="shared" si="170"/>
        <v>1.5563792296442789</v>
      </c>
      <c r="H1029" s="10">
        <f t="shared" si="171"/>
        <v>0.82583318191765664</v>
      </c>
      <c r="I1029" s="10">
        <f t="shared" si="174"/>
        <v>3.2310917753316515E-3</v>
      </c>
      <c r="J1029" s="20">
        <f t="shared" si="172"/>
        <v>0</v>
      </c>
      <c r="K1029" s="10">
        <f t="shared" si="175"/>
        <v>3.7169867786980504E-2</v>
      </c>
      <c r="L1029" s="10">
        <f t="shared" si="176"/>
        <v>2.2301920672187947E-2</v>
      </c>
    </row>
    <row r="1030" spans="1:12" x14ac:dyDescent="0.2">
      <c r="A1030" s="14">
        <v>0.96499999999999997</v>
      </c>
      <c r="B1030" s="10">
        <f t="shared" si="166"/>
        <v>3.3167800398495713</v>
      </c>
      <c r="C1030" s="10">
        <f t="shared" si="167"/>
        <v>1.5423027185300506</v>
      </c>
      <c r="D1030" s="10">
        <f t="shared" si="168"/>
        <v>4.9807215554418622</v>
      </c>
      <c r="E1030" s="10">
        <f t="shared" si="169"/>
        <v>145.57938736450888</v>
      </c>
      <c r="F1030" s="10">
        <f t="shared" si="173"/>
        <v>5.4483912851962089</v>
      </c>
      <c r="G1030" s="10">
        <f t="shared" si="170"/>
        <v>1.57926556006425</v>
      </c>
      <c r="H1030" s="10">
        <f t="shared" si="171"/>
        <v>0.82910047822299993</v>
      </c>
      <c r="I1030" s="10">
        <f t="shared" si="174"/>
        <v>3.2672963053432813E-3</v>
      </c>
      <c r="J1030" s="20">
        <f t="shared" si="172"/>
        <v>0</v>
      </c>
      <c r="K1030" s="10">
        <f t="shared" si="175"/>
        <v>3.8143884033285502E-2</v>
      </c>
      <c r="L1030" s="10">
        <f t="shared" si="176"/>
        <v>2.2886330419971124E-2</v>
      </c>
    </row>
    <row r="1031" spans="1:12" x14ac:dyDescent="0.2">
      <c r="A1031" s="14">
        <v>0.96599999999999997</v>
      </c>
      <c r="B1031" s="10">
        <f t="shared" si="166"/>
        <v>3.3468033095963556</v>
      </c>
      <c r="C1031" s="10">
        <f t="shared" si="167"/>
        <v>1.5596103422719017</v>
      </c>
      <c r="D1031" s="10">
        <f t="shared" si="168"/>
        <v>5.0198949811623468</v>
      </c>
      <c r="E1031" s="10">
        <f t="shared" si="169"/>
        <v>151.39540358984584</v>
      </c>
      <c r="F1031" s="10">
        <f t="shared" si="173"/>
        <v>5.8160162253369663</v>
      </c>
      <c r="G1031" s="10">
        <f t="shared" si="170"/>
        <v>1.6027696154965412</v>
      </c>
      <c r="H1031" s="10">
        <f t="shared" si="171"/>
        <v>0.83240512122240395</v>
      </c>
      <c r="I1031" s="10">
        <f t="shared" si="174"/>
        <v>3.3046429994040283E-3</v>
      </c>
      <c r="J1031" s="20">
        <f t="shared" si="172"/>
        <v>0</v>
      </c>
      <c r="K1031" s="10">
        <f t="shared" si="175"/>
        <v>3.9173425720484545E-2</v>
      </c>
      <c r="L1031" s="10">
        <f t="shared" si="176"/>
        <v>2.3504055432291171E-2</v>
      </c>
    </row>
    <row r="1032" spans="1:12" x14ac:dyDescent="0.2">
      <c r="A1032" s="14">
        <v>0.96699999999999997</v>
      </c>
      <c r="B1032" s="10">
        <f t="shared" si="166"/>
        <v>3.3776909339868131</v>
      </c>
      <c r="C1032" s="10">
        <f t="shared" si="167"/>
        <v>1.5773816661718416</v>
      </c>
      <c r="D1032" s="10">
        <f t="shared" si="168"/>
        <v>5.0601584212850472</v>
      </c>
      <c r="E1032" s="10">
        <f t="shared" si="169"/>
        <v>157.6154839931271</v>
      </c>
      <c r="F1032" s="10">
        <f t="shared" si="173"/>
        <v>6.2200804032812584</v>
      </c>
      <c r="G1032" s="10">
        <f t="shared" si="170"/>
        <v>1.6269276795701608</v>
      </c>
      <c r="H1032" s="10">
        <f t="shared" si="171"/>
        <v>0.83574832687262979</v>
      </c>
      <c r="I1032" s="10">
        <f t="shared" si="174"/>
        <v>3.3432056502258334E-3</v>
      </c>
      <c r="J1032" s="20">
        <f t="shared" si="172"/>
        <v>-1.7763568394002505E-15</v>
      </c>
      <c r="K1032" s="10">
        <f t="shared" si="175"/>
        <v>4.0263440122700445E-2</v>
      </c>
      <c r="L1032" s="10">
        <f t="shared" si="176"/>
        <v>2.4158064073619645E-2</v>
      </c>
    </row>
    <row r="1033" spans="1:12" x14ac:dyDescent="0.2">
      <c r="A1033" s="14">
        <v>0.96799999999999997</v>
      </c>
      <c r="B1033" s="10">
        <f t="shared" si="166"/>
        <v>3.4094961844768497</v>
      </c>
      <c r="C1033" s="10">
        <f t="shared" si="167"/>
        <v>1.5956442143351655</v>
      </c>
      <c r="D1033" s="10">
        <f t="shared" si="168"/>
        <v>5.1015779032795541</v>
      </c>
      <c r="E1033" s="10">
        <f t="shared" si="169"/>
        <v>164.28092230191871</v>
      </c>
      <c r="F1033" s="10">
        <f t="shared" si="173"/>
        <v>6.6654383087916074</v>
      </c>
      <c r="G1033" s="10">
        <f t="shared" si="170"/>
        <v>1.6517793687668649</v>
      </c>
      <c r="H1033" s="10">
        <f t="shared" si="171"/>
        <v>0.83913139220160649</v>
      </c>
      <c r="I1033" s="10">
        <f t="shared" si="174"/>
        <v>3.3830653289766976E-3</v>
      </c>
      <c r="J1033" s="20">
        <f t="shared" si="172"/>
        <v>-1.7763568394002505E-15</v>
      </c>
      <c r="K1033" s="10">
        <f t="shared" si="175"/>
        <v>4.1419481994506846E-2</v>
      </c>
      <c r="L1033" s="10">
        <f t="shared" si="176"/>
        <v>2.4851689196704108E-2</v>
      </c>
    </row>
    <row r="1034" spans="1:12" x14ac:dyDescent="0.2">
      <c r="A1034" s="14">
        <v>0.96899999999999997</v>
      </c>
      <c r="B1034" s="10">
        <f t="shared" si="166"/>
        <v>3.4422774074056193</v>
      </c>
      <c r="C1034" s="10">
        <f t="shared" si="167"/>
        <v>1.6144281040732353</v>
      </c>
      <c r="D1034" s="10">
        <f t="shared" si="168"/>
        <v>5.1442257131646256</v>
      </c>
      <c r="E1034" s="10">
        <f t="shared" si="169"/>
        <v>171.4386905461615</v>
      </c>
      <c r="F1034" s="10">
        <f t="shared" si="173"/>
        <v>7.1577682442427886</v>
      </c>
      <c r="G1034" s="10">
        <f t="shared" si="170"/>
        <v>1.677368054697908</v>
      </c>
      <c r="H1034" s="10">
        <f t="shared" si="171"/>
        <v>0.84255570355781595</v>
      </c>
      <c r="I1034" s="10">
        <f t="shared" si="174"/>
        <v>3.424311356209464E-3</v>
      </c>
      <c r="J1034" s="20">
        <f t="shared" si="172"/>
        <v>0</v>
      </c>
      <c r="K1034" s="10">
        <f t="shared" si="175"/>
        <v>4.2647809885071553E-2</v>
      </c>
      <c r="L1034" s="10">
        <f t="shared" si="176"/>
        <v>2.558868593104302E-2</v>
      </c>
    </row>
    <row r="1035" spans="1:12" x14ac:dyDescent="0.2">
      <c r="A1035" s="14">
        <v>0.97</v>
      </c>
      <c r="B1035" s="10">
        <f t="shared" si="166"/>
        <v>3.4760986898352724</v>
      </c>
      <c r="C1035" s="10">
        <f t="shared" si="167"/>
        <v>1.633766384222578</v>
      </c>
      <c r="D1035" s="10">
        <f t="shared" si="168"/>
        <v>5.1881812145542447</v>
      </c>
      <c r="E1035" s="10">
        <f t="shared" si="169"/>
        <v>179.14243479914526</v>
      </c>
      <c r="F1035" s="10">
        <f t="shared" si="173"/>
        <v>7.7037442529837676</v>
      </c>
      <c r="G1035" s="10">
        <f t="shared" si="170"/>
        <v>1.7037413555316796</v>
      </c>
      <c r="H1035" s="10">
        <f t="shared" si="171"/>
        <v>0.8460227459958426</v>
      </c>
      <c r="I1035" s="10">
        <f t="shared" si="174"/>
        <v>3.4670424380266462E-3</v>
      </c>
      <c r="J1035" s="20">
        <f t="shared" si="172"/>
        <v>0</v>
      </c>
      <c r="K1035" s="10">
        <f t="shared" si="175"/>
        <v>4.3955501389619123E-2</v>
      </c>
      <c r="L1035" s="10">
        <f t="shared" si="176"/>
        <v>2.6373300833771651E-2</v>
      </c>
    </row>
    <row r="1036" spans="1:12" x14ac:dyDescent="0.2">
      <c r="A1036" s="14">
        <v>0.97099999999999997</v>
      </c>
      <c r="B1036" s="10">
        <f t="shared" si="166"/>
        <v>3.5110306383048497</v>
      </c>
      <c r="C1036" s="10">
        <f t="shared" si="167"/>
        <v>1.6536954306415841</v>
      </c>
      <c r="D1036" s="10">
        <f t="shared" si="168"/>
        <v>5.2335318063857015</v>
      </c>
      <c r="E1036" s="10">
        <f t="shared" si="169"/>
        <v>187.45368590378686</v>
      </c>
      <c r="F1036" s="10">
        <f t="shared" si="173"/>
        <v>8.3112511046415989</v>
      </c>
      <c r="G1036" s="10">
        <f t="shared" si="170"/>
        <v>1.7309517106305541</v>
      </c>
      <c r="H1036" s="10">
        <f t="shared" si="171"/>
        <v>0.8495341139979331</v>
      </c>
      <c r="I1036" s="10">
        <f t="shared" si="174"/>
        <v>3.5113680020905091E-3</v>
      </c>
      <c r="J1036" s="20">
        <f t="shared" si="172"/>
        <v>0</v>
      </c>
      <c r="K1036" s="10">
        <f t="shared" si="175"/>
        <v>4.5350591831456732E-2</v>
      </c>
      <c r="L1036" s="10">
        <f t="shared" si="176"/>
        <v>2.7210355098874484E-2</v>
      </c>
    </row>
    <row r="1037" spans="1:12" x14ac:dyDescent="0.2">
      <c r="A1037" s="14">
        <v>0.97199999999999998</v>
      </c>
      <c r="B1037" s="10">
        <f t="shared" si="166"/>
        <v>3.5471512942852343</v>
      </c>
      <c r="C1037" s="10">
        <f t="shared" si="167"/>
        <v>1.6742554109026304</v>
      </c>
      <c r="D1037" s="10">
        <f t="shared" si="168"/>
        <v>5.280374048515025</v>
      </c>
      <c r="E1037" s="10">
        <f t="shared" si="169"/>
        <v>196.44334095106194</v>
      </c>
      <c r="F1037" s="10">
        <f t="shared" si="173"/>
        <v>8.9896550472750789</v>
      </c>
      <c r="G1037" s="10">
        <f t="shared" si="170"/>
        <v>1.7590570559081478</v>
      </c>
      <c r="H1037" s="10">
        <f t="shared" si="171"/>
        <v>0.85309152377471931</v>
      </c>
      <c r="I1037" s="10">
        <f t="shared" si="174"/>
        <v>3.5574097767862023E-3</v>
      </c>
      <c r="J1037" s="20">
        <f t="shared" si="172"/>
        <v>0</v>
      </c>
      <c r="K1037" s="10">
        <f t="shared" si="175"/>
        <v>4.684224212932353E-2</v>
      </c>
      <c r="L1037" s="10">
        <f t="shared" si="176"/>
        <v>2.8105345277593674E-2</v>
      </c>
    </row>
    <row r="1038" spans="1:12" x14ac:dyDescent="0.2">
      <c r="A1038" s="14">
        <v>0.97299999999999998</v>
      </c>
      <c r="B1038" s="10">
        <f t="shared" si="166"/>
        <v>3.5845472161816749</v>
      </c>
      <c r="C1038" s="10">
        <f t="shared" si="167"/>
        <v>1.6954908332539322</v>
      </c>
      <c r="D1038" s="10">
        <f t="shared" si="168"/>
        <v>5.3288149917944239</v>
      </c>
      <c r="E1038" s="10">
        <f t="shared" si="169"/>
        <v>206.19348835044335</v>
      </c>
      <c r="F1038" s="10">
        <f t="shared" si="173"/>
        <v>9.7501473993814045</v>
      </c>
      <c r="G1038" s="10">
        <f t="shared" si="170"/>
        <v>1.7881216218757867</v>
      </c>
      <c r="H1038" s="10">
        <f t="shared" si="171"/>
        <v>0.8566968274428538</v>
      </c>
      <c r="I1038" s="10">
        <f t="shared" si="174"/>
        <v>3.6053036681344963E-3</v>
      </c>
      <c r="J1038" s="20">
        <f t="shared" si="172"/>
        <v>-1.7763568394002505E-15</v>
      </c>
      <c r="K1038" s="10">
        <f t="shared" si="175"/>
        <v>4.8440943279398851E-2</v>
      </c>
      <c r="L1038" s="10">
        <f t="shared" si="176"/>
        <v>2.9064565967638956E-2</v>
      </c>
    </row>
    <row r="1039" spans="1:12" x14ac:dyDescent="0.2">
      <c r="A1039" s="14">
        <v>0.97399999999999998</v>
      </c>
      <c r="B1039" s="10">
        <f t="shared" si="166"/>
        <v>3.623314765621052</v>
      </c>
      <c r="C1039" s="10">
        <f t="shared" si="167"/>
        <v>1.7174511989043786</v>
      </c>
      <c r="D1039" s="10">
        <f t="shared" si="168"/>
        <v>5.3789737589195203</v>
      </c>
      <c r="E1039" s="10">
        <f t="shared" si="169"/>
        <v>216.7996724922009</v>
      </c>
      <c r="F1039" s="10">
        <f t="shared" si="173"/>
        <v>10.606184141757552</v>
      </c>
      <c r="G1039" s="10">
        <f t="shared" si="170"/>
        <v>1.8182168821508449</v>
      </c>
      <c r="H1039" s="10">
        <f t="shared" si="171"/>
        <v>0.86035202944664035</v>
      </c>
      <c r="I1039" s="10">
        <f t="shared" si="174"/>
        <v>3.6552020037865507E-3</v>
      </c>
      <c r="J1039" s="20">
        <f t="shared" si="172"/>
        <v>0</v>
      </c>
      <c r="K1039" s="10">
        <f t="shared" si="175"/>
        <v>5.0158767125096482E-2</v>
      </c>
      <c r="L1039" s="10">
        <f t="shared" si="176"/>
        <v>3.0095260275058155E-2</v>
      </c>
    </row>
    <row r="1040" spans="1:12" x14ac:dyDescent="0.2">
      <c r="A1040" s="14">
        <v>0.97499999999999998</v>
      </c>
      <c r="B1040" s="10">
        <f t="shared" si="166"/>
        <v>3.6635616461296454</v>
      </c>
      <c r="C1040" s="10">
        <f t="shared" si="167"/>
        <v>1.7401917819115815</v>
      </c>
      <c r="D1040" s="10">
        <f t="shared" si="168"/>
        <v>5.430983435043256</v>
      </c>
      <c r="E1040" s="10">
        <f t="shared" si="169"/>
        <v>228.37372574986378</v>
      </c>
      <c r="F1040" s="10">
        <f t="shared" si="173"/>
        <v>11.574053257662882</v>
      </c>
      <c r="G1040" s="10">
        <f t="shared" si="170"/>
        <v>1.8494226878250859</v>
      </c>
      <c r="H1040" s="10">
        <f t="shared" si="171"/>
        <v>0.86405930567956157</v>
      </c>
      <c r="I1040" s="10">
        <f t="shared" si="174"/>
        <v>3.7072762329212194E-3</v>
      </c>
      <c r="J1040" s="20">
        <f t="shared" si="172"/>
        <v>-1.7763568394002505E-15</v>
      </c>
      <c r="K1040" s="10">
        <f t="shared" si="175"/>
        <v>5.2009676123735638E-2</v>
      </c>
      <c r="L1040" s="10">
        <f t="shared" si="176"/>
        <v>3.1205805674241027E-2</v>
      </c>
    </row>
    <row r="1041" spans="1:12" x14ac:dyDescent="0.2">
      <c r="A1041" s="14">
        <v>0.97599999999999998</v>
      </c>
      <c r="B1041" s="10">
        <f t="shared" si="166"/>
        <v>3.7054087560651459</v>
      </c>
      <c r="C1041" s="10">
        <f t="shared" si="167"/>
        <v>1.7637745678870094</v>
      </c>
      <c r="D1041" s="10">
        <f t="shared" si="168"/>
        <v>5.4849933440148231</v>
      </c>
      <c r="E1041" s="10">
        <f t="shared" si="169"/>
        <v>241.04733958516869</v>
      </c>
      <c r="F1041" s="10">
        <f t="shared" si="173"/>
        <v>12.673613835304906</v>
      </c>
      <c r="G1041" s="10">
        <f t="shared" si="170"/>
        <v>1.8818286332080261</v>
      </c>
      <c r="H1041" s="10">
        <f t="shared" si="171"/>
        <v>0.8678210258763337</v>
      </c>
      <c r="I1041" s="10">
        <f t="shared" si="174"/>
        <v>3.7617201967721225E-3</v>
      </c>
      <c r="J1041" s="20">
        <f t="shared" si="172"/>
        <v>-1.7763568394002505E-15</v>
      </c>
      <c r="K1041" s="10">
        <f t="shared" si="175"/>
        <v>5.40099089715671E-2</v>
      </c>
      <c r="L1041" s="10">
        <f t="shared" si="176"/>
        <v>3.2405945382940171E-2</v>
      </c>
    </row>
    <row r="1042" spans="1:12" x14ac:dyDescent="0.2">
      <c r="A1042" s="14">
        <v>0.97699999999999998</v>
      </c>
      <c r="B1042" s="10">
        <f t="shared" si="166"/>
        <v>3.7489924361136322</v>
      </c>
      <c r="C1042" s="10">
        <f t="shared" si="167"/>
        <v>1.7882693920262025</v>
      </c>
      <c r="D1042" s="10">
        <f t="shared" si="168"/>
        <v>5.541171808707297</v>
      </c>
      <c r="E1042" s="10">
        <f t="shared" si="169"/>
        <v>254.97660827791526</v>
      </c>
      <c r="F1042" s="10">
        <f t="shared" si="173"/>
        <v>13.929268692746575</v>
      </c>
      <c r="G1042" s="10">
        <f t="shared" si="170"/>
        <v>1.9155357120235106</v>
      </c>
      <c r="H1042" s="10">
        <f t="shared" si="171"/>
        <v>0.8716397799957889</v>
      </c>
      <c r="I1042" s="10">
        <f t="shared" si="174"/>
        <v>3.8187541194552033E-3</v>
      </c>
      <c r="J1042" s="20">
        <f t="shared" si="172"/>
        <v>-1.7763568394002505E-15</v>
      </c>
      <c r="K1042" s="10">
        <f t="shared" si="175"/>
        <v>5.6178464692473895E-2</v>
      </c>
      <c r="L1042" s="10">
        <f t="shared" si="176"/>
        <v>3.3707078815484515E-2</v>
      </c>
    </row>
    <row r="1043" spans="1:12" x14ac:dyDescent="0.2">
      <c r="A1043" s="14">
        <v>0.97799999999999998</v>
      </c>
      <c r="B1043" s="10">
        <f t="shared" si="166"/>
        <v>3.7944672166765008</v>
      </c>
      <c r="C1043" s="10">
        <f t="shared" si="167"/>
        <v>1.8137553295713673</v>
      </c>
      <c r="D1043" s="10">
        <f t="shared" si="168"/>
        <v>5.5997095245466344</v>
      </c>
      <c r="E1043" s="10">
        <f t="shared" si="169"/>
        <v>270.34786660049673</v>
      </c>
      <c r="F1043" s="10">
        <f t="shared" si="173"/>
        <v>15.371258322581468</v>
      </c>
      <c r="G1043" s="10">
        <f t="shared" si="170"/>
        <v>1.950658341527113</v>
      </c>
      <c r="H1043" s="10">
        <f t="shared" si="171"/>
        <v>0.87551840951207383</v>
      </c>
      <c r="I1043" s="10">
        <f t="shared" si="174"/>
        <v>3.878629516284926E-3</v>
      </c>
      <c r="J1043" s="20">
        <f t="shared" si="172"/>
        <v>-1.7763568394002505E-15</v>
      </c>
      <c r="K1043" s="10">
        <f t="shared" si="175"/>
        <v>5.8537715839337423E-2</v>
      </c>
      <c r="L1043" s="10">
        <f t="shared" si="176"/>
        <v>3.5122629503602454E-2</v>
      </c>
    </row>
    <row r="1044" spans="1:12" x14ac:dyDescent="0.2">
      <c r="A1044" s="14">
        <v>0.97899999999999998</v>
      </c>
      <c r="B1044" s="10">
        <f t="shared" si="166"/>
        <v>3.8420092048070864</v>
      </c>
      <c r="C1044" s="10">
        <f t="shared" si="167"/>
        <v>1.8403224091025943</v>
      </c>
      <c r="D1044" s="10">
        <f t="shared" si="168"/>
        <v>5.6608237174184319</v>
      </c>
      <c r="E1044" s="10">
        <f t="shared" si="169"/>
        <v>287.38526933802831</v>
      </c>
      <c r="F1044" s="10">
        <f t="shared" si="173"/>
        <v>17.037402737531579</v>
      </c>
      <c r="G1044" s="10">
        <f t="shared" si="170"/>
        <v>1.9873268572501916</v>
      </c>
      <c r="H1044" s="10">
        <f t="shared" si="171"/>
        <v>0.87946004479438655</v>
      </c>
      <c r="I1044" s="10">
        <f t="shared" si="174"/>
        <v>3.9416352823127276E-3</v>
      </c>
      <c r="J1044" s="20">
        <f t="shared" si="172"/>
        <v>-1.7763568394002505E-15</v>
      </c>
      <c r="K1044" s="10">
        <f t="shared" si="175"/>
        <v>6.1114192871797535E-2</v>
      </c>
      <c r="L1044" s="10">
        <f t="shared" si="176"/>
        <v>3.666851572307861E-2</v>
      </c>
    </row>
    <row r="1045" spans="1:12" x14ac:dyDescent="0.2">
      <c r="A1045" s="14">
        <v>0.98</v>
      </c>
      <c r="B1045" s="10">
        <f t="shared" si="166"/>
        <v>3.8918202981106256</v>
      </c>
      <c r="C1045" s="10">
        <f t="shared" si="167"/>
        <v>1.8680737430931003</v>
      </c>
      <c r="D1045" s="10">
        <f t="shared" si="168"/>
        <v>5.7247633156248448</v>
      </c>
      <c r="E1045" s="10">
        <f t="shared" si="169"/>
        <v>306.36074585989428</v>
      </c>
      <c r="F1045" s="10">
        <f t="shared" si="173"/>
        <v>18.975476521865971</v>
      </c>
      <c r="G1045" s="10">
        <f t="shared" si="170"/>
        <v>2.0256906161740389</v>
      </c>
      <c r="H1045" s="10">
        <f t="shared" si="171"/>
        <v>0.88346815010967783</v>
      </c>
      <c r="I1045" s="10">
        <f t="shared" si="174"/>
        <v>4.0081053152912771E-3</v>
      </c>
      <c r="J1045" s="20">
        <f t="shared" si="172"/>
        <v>0</v>
      </c>
      <c r="K1045" s="10">
        <f t="shared" si="175"/>
        <v>6.3939598206412818E-2</v>
      </c>
      <c r="L1045" s="10">
        <f t="shared" si="176"/>
        <v>3.8363758923847247E-2</v>
      </c>
    </row>
    <row r="1046" spans="1:12" x14ac:dyDescent="0.2">
      <c r="A1046" s="14">
        <v>0.98099999999999998</v>
      </c>
      <c r="B1046" s="10">
        <f t="shared" si="166"/>
        <v>3.9441334803989219</v>
      </c>
      <c r="C1046" s="10">
        <f t="shared" si="167"/>
        <v>1.8971282040718813</v>
      </c>
      <c r="D1046" s="10">
        <f t="shared" si="168"/>
        <v>5.7918154480876343</v>
      </c>
      <c r="E1046" s="10">
        <f t="shared" si="169"/>
        <v>327.60723876519063</v>
      </c>
      <c r="F1046" s="10">
        <f t="shared" si="173"/>
        <v>21.24649290529635</v>
      </c>
      <c r="G1046" s="10">
        <f t="shared" si="170"/>
        <v>2.0659218956517136</v>
      </c>
      <c r="H1046" s="10">
        <f t="shared" si="171"/>
        <v>0.88754657826657324</v>
      </c>
      <c r="I1046" s="10">
        <f t="shared" si="174"/>
        <v>4.0784281568954084E-3</v>
      </c>
      <c r="J1046" s="20">
        <f t="shared" si="172"/>
        <v>0</v>
      </c>
      <c r="K1046" s="10">
        <f t="shared" si="175"/>
        <v>6.7052132462789515E-2</v>
      </c>
      <c r="L1046" s="10">
        <f t="shared" si="176"/>
        <v>4.0231279477674686E-2</v>
      </c>
    </row>
    <row r="1047" spans="1:12" x14ac:dyDescent="0.2">
      <c r="A1047" s="14">
        <v>0.98199999999999998</v>
      </c>
      <c r="B1047" s="10">
        <f t="shared" si="166"/>
        <v>3.9992195504583004</v>
      </c>
      <c r="C1047" s="10">
        <f t="shared" si="167"/>
        <v>1.9276238233209007</v>
      </c>
      <c r="D1047" s="10">
        <f t="shared" si="168"/>
        <v>5.8623136992526792</v>
      </c>
      <c r="E1047" s="10">
        <f t="shared" si="169"/>
        <v>351.53655368322808</v>
      </c>
      <c r="F1047" s="10">
        <f t="shared" si="173"/>
        <v>23.929314918037448</v>
      </c>
      <c r="G1047" s="10">
        <f t="shared" si="170"/>
        <v>2.1082208463507404</v>
      </c>
      <c r="H1047" s="10">
        <f t="shared" si="171"/>
        <v>0.89169963758903292</v>
      </c>
      <c r="I1047" s="10">
        <f t="shared" si="174"/>
        <v>4.1530593224596846E-3</v>
      </c>
      <c r="J1047" s="20">
        <f t="shared" si="172"/>
        <v>0</v>
      </c>
      <c r="K1047" s="10">
        <f t="shared" si="175"/>
        <v>7.0498251165044934E-2</v>
      </c>
      <c r="L1047" s="10">
        <f t="shared" si="176"/>
        <v>4.2298950699026783E-2</v>
      </c>
    </row>
    <row r="1048" spans="1:12" x14ac:dyDescent="0.2">
      <c r="A1048" s="14">
        <v>0.98299999999999998</v>
      </c>
      <c r="B1048" s="10">
        <f t="shared" si="166"/>
        <v>4.0573957760909494</v>
      </c>
      <c r="C1048" s="10">
        <f t="shared" si="167"/>
        <v>1.9597221598519285</v>
      </c>
      <c r="D1048" s="10">
        <f t="shared" si="168"/>
        <v>5.9366487235590739</v>
      </c>
      <c r="E1048" s="10">
        <f t="shared" si="169"/>
        <v>378.66379371315026</v>
      </c>
      <c r="F1048" s="10">
        <f t="shared" si="173"/>
        <v>27.127240029922177</v>
      </c>
      <c r="G1048" s="10">
        <f t="shared" si="170"/>
        <v>2.1528218609345768</v>
      </c>
      <c r="H1048" s="10">
        <f t="shared" si="171"/>
        <v>0.8959321748514002</v>
      </c>
      <c r="I1048" s="10">
        <f t="shared" si="174"/>
        <v>4.2325372623672752E-3</v>
      </c>
      <c r="J1048" s="20">
        <f t="shared" si="172"/>
        <v>0</v>
      </c>
      <c r="K1048" s="10">
        <f t="shared" si="175"/>
        <v>7.4335024306394715E-2</v>
      </c>
      <c r="L1048" s="10">
        <f t="shared" si="176"/>
        <v>4.4601014583836474E-2</v>
      </c>
    </row>
    <row r="1049" spans="1:12" x14ac:dyDescent="0.2">
      <c r="A1049" s="14">
        <v>0.98399999999999999</v>
      </c>
      <c r="B1049" s="10">
        <f t="shared" si="166"/>
        <v>4.1190371748124717</v>
      </c>
      <c r="C1049" s="10">
        <f t="shared" si="167"/>
        <v>1.9936139926092362</v>
      </c>
      <c r="D1049" s="10">
        <f t="shared" si="168"/>
        <v>6.0152820784908334</v>
      </c>
      <c r="E1049" s="10">
        <f t="shared" si="169"/>
        <v>409.6413736413956</v>
      </c>
      <c r="F1049" s="10">
        <f t="shared" si="173"/>
        <v>30.977579928245348</v>
      </c>
      <c r="G1049" s="10">
        <f t="shared" si="170"/>
        <v>2.2000018738936324</v>
      </c>
      <c r="H1049" s="10">
        <f t="shared" si="171"/>
        <v>0.90024967915645349</v>
      </c>
      <c r="I1049" s="10">
        <f t="shared" si="174"/>
        <v>4.317504305053288E-3</v>
      </c>
      <c r="J1049" s="20">
        <f t="shared" si="172"/>
        <v>0</v>
      </c>
      <c r="K1049" s="10">
        <f t="shared" si="175"/>
        <v>7.8633354931759492E-2</v>
      </c>
      <c r="L1049" s="10">
        <f t="shared" si="176"/>
        <v>4.7180012959055606E-2</v>
      </c>
    </row>
    <row r="1050" spans="1:12" x14ac:dyDescent="0.2">
      <c r="A1050" s="14">
        <v>0.98499999999999999</v>
      </c>
      <c r="B1050" s="10">
        <f t="shared" si="166"/>
        <v>4.1845914400698776</v>
      </c>
      <c r="C1050" s="10">
        <f t="shared" si="167"/>
        <v>2.0295268484338904</v>
      </c>
      <c r="D1050" s="10">
        <f t="shared" si="168"/>
        <v>6.0987645238765635</v>
      </c>
      <c r="E1050" s="10">
        <f t="shared" si="169"/>
        <v>445.30726359196825</v>
      </c>
      <c r="F1050" s="10">
        <f t="shared" si="173"/>
        <v>35.665889950572648</v>
      </c>
      <c r="G1050" s="10">
        <f t="shared" si="170"/>
        <v>2.2500913411250707</v>
      </c>
      <c r="H1050" s="10">
        <f t="shared" si="171"/>
        <v>0.90465841370737354</v>
      </c>
      <c r="I1050" s="10">
        <f t="shared" si="174"/>
        <v>4.4087345509200571E-3</v>
      </c>
      <c r="J1050" s="20">
        <f t="shared" si="172"/>
        <v>0</v>
      </c>
      <c r="K1050" s="10">
        <f t="shared" si="175"/>
        <v>8.3482445385730131E-2</v>
      </c>
      <c r="L1050" s="10">
        <f t="shared" si="176"/>
        <v>5.0089467231438256E-2</v>
      </c>
    </row>
    <row r="1051" spans="1:12" x14ac:dyDescent="0.2">
      <c r="A1051" s="14">
        <v>0.98599999999999999</v>
      </c>
      <c r="B1051" s="10">
        <f t="shared" si="166"/>
        <v>4.2545990249873755</v>
      </c>
      <c r="C1051" s="10">
        <f t="shared" si="167"/>
        <v>2.0677351261438646</v>
      </c>
      <c r="D1051" s="10">
        <f t="shared" si="168"/>
        <v>6.1877606387094382</v>
      </c>
      <c r="E1051" s="10">
        <f t="shared" si="169"/>
        <v>486.75486482631817</v>
      </c>
      <c r="F1051" s="10">
        <f t="shared" si="173"/>
        <v>41.447601234349918</v>
      </c>
      <c r="G1051" s="10">
        <f t="shared" si="170"/>
        <v>2.3034890100247951</v>
      </c>
      <c r="H1051" s="10">
        <f t="shared" si="171"/>
        <v>0.90916558535855652</v>
      </c>
      <c r="I1051" s="10">
        <f t="shared" si="174"/>
        <v>4.5071716511829729E-3</v>
      </c>
      <c r="J1051" s="20">
        <f t="shared" si="172"/>
        <v>0</v>
      </c>
      <c r="K1051" s="10">
        <f t="shared" si="175"/>
        <v>8.8996114832874618E-2</v>
      </c>
      <c r="L1051" s="10">
        <f t="shared" si="176"/>
        <v>5.3397668899724415E-2</v>
      </c>
    </row>
    <row r="1052" spans="1:12" x14ac:dyDescent="0.2">
      <c r="A1052" s="14">
        <v>0.98699999999999999</v>
      </c>
      <c r="B1052" s="10">
        <f t="shared" si="166"/>
        <v>4.3297206819719438</v>
      </c>
      <c r="C1052" s="10">
        <f t="shared" si="167"/>
        <v>2.1085739721203365</v>
      </c>
      <c r="D1052" s="10">
        <f t="shared" si="168"/>
        <v>6.2830825690957663</v>
      </c>
      <c r="E1052" s="10">
        <f t="shared" si="169"/>
        <v>535.43664296416534</v>
      </c>
      <c r="F1052" s="10">
        <f t="shared" si="173"/>
        <v>48.681778137847175</v>
      </c>
      <c r="G1052" s="10">
        <f t="shared" si="170"/>
        <v>2.3606821682565928</v>
      </c>
      <c r="H1052" s="10">
        <f t="shared" si="171"/>
        <v>0.91377956630614343</v>
      </c>
      <c r="I1052" s="10">
        <f t="shared" si="174"/>
        <v>4.6139809475869153E-3</v>
      </c>
      <c r="J1052" s="20">
        <f t="shared" si="172"/>
        <v>0</v>
      </c>
      <c r="K1052" s="10">
        <f t="shared" si="175"/>
        <v>9.5321930386328191E-2</v>
      </c>
      <c r="L1052" s="10">
        <f t="shared" si="176"/>
        <v>5.7193158231797714E-2</v>
      </c>
    </row>
    <row r="1053" spans="1:12" x14ac:dyDescent="0.2">
      <c r="A1053" s="14">
        <v>0.98799999999999999</v>
      </c>
      <c r="B1053" s="10">
        <f t="shared" si="166"/>
        <v>4.4107760479598666</v>
      </c>
      <c r="C1053" s="10">
        <f t="shared" si="167"/>
        <v>2.1524587114044147</v>
      </c>
      <c r="D1053" s="10">
        <f t="shared" si="168"/>
        <v>6.3857373012627701</v>
      </c>
      <c r="E1053" s="10">
        <f t="shared" si="169"/>
        <v>593.32202845024938</v>
      </c>
      <c r="F1053" s="10">
        <f t="shared" si="173"/>
        <v>57.885385486084033</v>
      </c>
      <c r="G1053" s="10">
        <f t="shared" si="170"/>
        <v>2.4222750075567947</v>
      </c>
      <c r="H1053" s="10">
        <f t="shared" si="171"/>
        <v>0.9185101892921399</v>
      </c>
      <c r="I1053" s="10">
        <f t="shared" si="174"/>
        <v>4.7306229859964688E-3</v>
      </c>
      <c r="J1053" s="20">
        <f t="shared" si="172"/>
        <v>0</v>
      </c>
      <c r="K1053" s="10">
        <f t="shared" si="175"/>
        <v>0.10265473216700371</v>
      </c>
      <c r="L1053" s="10">
        <f t="shared" si="176"/>
        <v>6.1592839300201874E-2</v>
      </c>
    </row>
    <row r="1054" spans="1:12" x14ac:dyDescent="0.2">
      <c r="A1054" s="14">
        <v>0.98899999999999999</v>
      </c>
      <c r="B1054" s="10">
        <f t="shared" si="166"/>
        <v>4.4987990588243409</v>
      </c>
      <c r="C1054" s="10">
        <f t="shared" si="167"/>
        <v>2.1999127397651028</v>
      </c>
      <c r="D1054" s="10">
        <f t="shared" si="168"/>
        <v>6.4969945376430651</v>
      </c>
      <c r="E1054" s="10">
        <f t="shared" si="169"/>
        <v>663.14557594395478</v>
      </c>
      <c r="F1054" s="10">
        <f t="shared" si="173"/>
        <v>69.823547493705405</v>
      </c>
      <c r="G1054" s="10">
        <f t="shared" si="170"/>
        <v>2.4890293493849711</v>
      </c>
      <c r="H1054" s="10">
        <f t="shared" si="171"/>
        <v>0.92336914902300993</v>
      </c>
      <c r="I1054" s="10">
        <f t="shared" si="174"/>
        <v>4.8589597308700272E-3</v>
      </c>
      <c r="J1054" s="20">
        <f t="shared" si="172"/>
        <v>0</v>
      </c>
      <c r="K1054" s="10">
        <f t="shared" si="175"/>
        <v>0.11125723638029505</v>
      </c>
      <c r="L1054" s="10">
        <f t="shared" si="176"/>
        <v>6.6754341828176411E-2</v>
      </c>
    </row>
    <row r="1055" spans="1:12" x14ac:dyDescent="0.2">
      <c r="A1055" s="14">
        <v>0.99</v>
      </c>
      <c r="B1055" s="10">
        <f t="shared" si="166"/>
        <v>4.5951198501345889</v>
      </c>
      <c r="C1055" s="10">
        <f t="shared" si="167"/>
        <v>2.2516087265659483</v>
      </c>
      <c r="D1055" s="10">
        <f t="shared" si="168"/>
        <v>6.6184869929519312</v>
      </c>
      <c r="E1055" s="10">
        <f t="shared" si="169"/>
        <v>748.81128284506894</v>
      </c>
      <c r="F1055" s="10">
        <f t="shared" si="173"/>
        <v>85.665706901114163</v>
      </c>
      <c r="G1055" s="10">
        <f t="shared" si="170"/>
        <v>2.5619248225702913</v>
      </c>
      <c r="H1055" s="10">
        <f t="shared" si="171"/>
        <v>0.92837056144866337</v>
      </c>
      <c r="I1055" s="10">
        <f t="shared" si="174"/>
        <v>5.0014124256534398E-3</v>
      </c>
      <c r="J1055" s="20">
        <f t="shared" si="172"/>
        <v>0</v>
      </c>
      <c r="K1055" s="10">
        <f t="shared" si="175"/>
        <v>0.1214924553088661</v>
      </c>
      <c r="L1055" s="10">
        <f t="shared" si="176"/>
        <v>7.2895473185320192E-2</v>
      </c>
    </row>
    <row r="1056" spans="1:12" x14ac:dyDescent="0.2">
      <c r="A1056" s="14">
        <v>0.99099999999999999</v>
      </c>
      <c r="B1056" s="10">
        <f t="shared" si="166"/>
        <v>4.7014899569937674</v>
      </c>
      <c r="C1056" s="10">
        <f t="shared" si="167"/>
        <v>2.3084315688839396</v>
      </c>
      <c r="D1056" s="10">
        <f t="shared" si="168"/>
        <v>6.7523636798285391</v>
      </c>
      <c r="E1056" s="10">
        <f t="shared" si="169"/>
        <v>856.07987168200157</v>
      </c>
      <c r="F1056" s="10">
        <f t="shared" si="173"/>
        <v>107.26858883693262</v>
      </c>
      <c r="G1056" s="10">
        <f t="shared" si="170"/>
        <v>2.6422508346962559</v>
      </c>
      <c r="H1056" s="10">
        <f t="shared" si="171"/>
        <v>0.93353176554665351</v>
      </c>
      <c r="I1056" s="10">
        <f t="shared" si="174"/>
        <v>5.1612040979901463E-3</v>
      </c>
      <c r="J1056" s="20">
        <f t="shared" si="172"/>
        <v>0</v>
      </c>
      <c r="K1056" s="10">
        <f t="shared" si="175"/>
        <v>0.13387668687660792</v>
      </c>
      <c r="L1056" s="10">
        <f t="shared" si="176"/>
        <v>8.0326012125964574E-2</v>
      </c>
    </row>
    <row r="1057" spans="1:12" x14ac:dyDescent="0.2">
      <c r="A1057" s="14">
        <v>0.99199999999999999</v>
      </c>
      <c r="B1057" s="10">
        <f t="shared" si="166"/>
        <v>4.8202815656050362</v>
      </c>
      <c r="C1057" s="10">
        <f t="shared" si="167"/>
        <v>2.3715785302776777</v>
      </c>
      <c r="D1057" s="10">
        <f t="shared" si="168"/>
        <v>6.901533802673109</v>
      </c>
      <c r="E1057" s="10">
        <f t="shared" si="169"/>
        <v>993.79783700151233</v>
      </c>
      <c r="F1057" s="10">
        <f t="shared" si="173"/>
        <v>137.71796531951077</v>
      </c>
      <c r="G1057" s="10">
        <f t="shared" si="170"/>
        <v>2.7317529084029974</v>
      </c>
      <c r="H1057" s="10">
        <f t="shared" si="171"/>
        <v>0.93887451254928367</v>
      </c>
      <c r="I1057" s="10">
        <f t="shared" si="174"/>
        <v>5.3427470026301549E-3</v>
      </c>
      <c r="J1057" s="20">
        <f t="shared" si="172"/>
        <v>0</v>
      </c>
      <c r="K1057" s="10">
        <f t="shared" si="175"/>
        <v>0.14917012284456987</v>
      </c>
      <c r="L1057" s="10">
        <f t="shared" si="176"/>
        <v>8.9502073706741569E-2</v>
      </c>
    </row>
    <row r="1058" spans="1:12" x14ac:dyDescent="0.2">
      <c r="A1058" s="14">
        <v>0.99299999999999999</v>
      </c>
      <c r="B1058" s="10">
        <f t="shared" si="166"/>
        <v>4.9548205149898585</v>
      </c>
      <c r="C1058" s="10">
        <f t="shared" si="167"/>
        <v>2.4427265138900003</v>
      </c>
      <c r="D1058" s="10">
        <f t="shared" si="168"/>
        <v>7.0700742753874106</v>
      </c>
      <c r="E1058" s="10">
        <f t="shared" si="169"/>
        <v>1176.2353963444559</v>
      </c>
      <c r="F1058" s="10">
        <f t="shared" si="173"/>
        <v>182.43755934294359</v>
      </c>
      <c r="G1058" s="10">
        <f t="shared" si="170"/>
        <v>2.832877192031579</v>
      </c>
      <c r="H1058" s="10">
        <f t="shared" si="171"/>
        <v>0.9444268042029117</v>
      </c>
      <c r="I1058" s="10">
        <f t="shared" si="174"/>
        <v>5.5522916536280276E-3</v>
      </c>
      <c r="J1058" s="20">
        <f t="shared" si="172"/>
        <v>0</v>
      </c>
      <c r="K1058" s="10">
        <f t="shared" si="175"/>
        <v>0.16854047271430161</v>
      </c>
      <c r="L1058" s="10">
        <f t="shared" si="176"/>
        <v>0.1011242836285815</v>
      </c>
    </row>
    <row r="1059" spans="1:12" x14ac:dyDescent="0.2">
      <c r="A1059" s="14">
        <v>0.99399999999999999</v>
      </c>
      <c r="B1059" s="10">
        <f t="shared" si="166"/>
        <v>5.109977737428518</v>
      </c>
      <c r="C1059" s="10">
        <f t="shared" si="167"/>
        <v>2.5243290022896878</v>
      </c>
      <c r="D1059" s="10">
        <f t="shared" si="168"/>
        <v>7.2639533428728011</v>
      </c>
      <c r="E1059" s="10">
        <f t="shared" si="169"/>
        <v>1427.8903337730701</v>
      </c>
      <c r="F1059" s="10">
        <f t="shared" si="173"/>
        <v>251.65493742861418</v>
      </c>
      <c r="G1059" s="10">
        <f t="shared" si="170"/>
        <v>2.9492046325228127</v>
      </c>
      <c r="H1059" s="10">
        <f t="shared" si="171"/>
        <v>0.95022588368940253</v>
      </c>
      <c r="I1059" s="10">
        <f t="shared" si="174"/>
        <v>5.7990794864908324E-3</v>
      </c>
      <c r="J1059" s="20">
        <f t="shared" si="172"/>
        <v>0</v>
      </c>
      <c r="K1059" s="10">
        <f t="shared" si="175"/>
        <v>0.19387906748539052</v>
      </c>
      <c r="L1059" s="10">
        <f t="shared" si="176"/>
        <v>0.11632744049123378</v>
      </c>
    </row>
    <row r="1060" spans="1:12" x14ac:dyDescent="0.2">
      <c r="A1060" s="14">
        <v>0.995</v>
      </c>
      <c r="B1060" s="10">
        <f t="shared" si="166"/>
        <v>5.2933048247244914</v>
      </c>
      <c r="C1060" s="10">
        <f t="shared" si="167"/>
        <v>2.6201858882386233</v>
      </c>
      <c r="D1060" s="10">
        <f t="shared" si="168"/>
        <v>7.4924196138877823</v>
      </c>
      <c r="E1060" s="10">
        <f t="shared" si="169"/>
        <v>1794.3885709317906</v>
      </c>
      <c r="F1060" s="10">
        <f t="shared" si="173"/>
        <v>366.49823715872049</v>
      </c>
      <c r="G1060" s="10">
        <f t="shared" si="170"/>
        <v>3.0862843951318015</v>
      </c>
      <c r="H1060" s="10">
        <f t="shared" si="171"/>
        <v>0.9563234310905474</v>
      </c>
      <c r="I1060" s="10">
        <f t="shared" si="174"/>
        <v>6.097547401144876E-3</v>
      </c>
      <c r="J1060" s="20">
        <f t="shared" si="172"/>
        <v>0</v>
      </c>
      <c r="K1060" s="10">
        <f t="shared" si="175"/>
        <v>0.22846627101498118</v>
      </c>
      <c r="L1060" s="10">
        <f t="shared" si="176"/>
        <v>0.1370797626089888</v>
      </c>
    </row>
    <row r="1061" spans="1:12" x14ac:dyDescent="0.2">
      <c r="A1061" s="14">
        <v>0.996</v>
      </c>
      <c r="B1061" s="10">
        <f t="shared" si="166"/>
        <v>5.5174528964647065</v>
      </c>
      <c r="C1061" s="10">
        <f t="shared" si="167"/>
        <v>2.7366566366464946</v>
      </c>
      <c r="D1061" s="10">
        <f t="shared" si="168"/>
        <v>7.770960145841741</v>
      </c>
      <c r="E1061" s="10">
        <f t="shared" si="169"/>
        <v>2370.746458286837</v>
      </c>
      <c r="F1061" s="10">
        <f t="shared" si="173"/>
        <v>576.35788735504639</v>
      </c>
      <c r="G1061" s="10">
        <f t="shared" si="170"/>
        <v>3.2534087143041766</v>
      </c>
      <c r="H1061" s="10">
        <f t="shared" si="171"/>
        <v>0.96279540700957533</v>
      </c>
      <c r="I1061" s="10">
        <f t="shared" si="174"/>
        <v>6.471975919027928E-3</v>
      </c>
      <c r="J1061" s="20">
        <f t="shared" si="172"/>
        <v>0</v>
      </c>
      <c r="K1061" s="10">
        <f t="shared" si="175"/>
        <v>0.27854053195395867</v>
      </c>
      <c r="L1061" s="10">
        <f t="shared" si="176"/>
        <v>0.16712431917237502</v>
      </c>
    </row>
    <row r="1062" spans="1:12" x14ac:dyDescent="0.2">
      <c r="A1062" s="14">
        <v>0.997</v>
      </c>
      <c r="B1062" s="10">
        <f t="shared" si="166"/>
        <v>5.8061384812937273</v>
      </c>
      <c r="C1062" s="10">
        <f t="shared" si="167"/>
        <v>2.8856508252029824</v>
      </c>
      <c r="D1062" s="10">
        <f t="shared" si="168"/>
        <v>8.1285945048738721</v>
      </c>
      <c r="E1062" s="10">
        <f t="shared" si="169"/>
        <v>3390.0315423996281</v>
      </c>
      <c r="F1062" s="10">
        <f t="shared" si="173"/>
        <v>1019.2850841127911</v>
      </c>
      <c r="G1062" s="10">
        <f t="shared" si="170"/>
        <v>3.4679893297234559</v>
      </c>
      <c r="H1062" s="10">
        <f t="shared" si="171"/>
        <v>0.9697631160596295</v>
      </c>
      <c r="I1062" s="10">
        <f t="shared" si="174"/>
        <v>6.9677090500541716E-3</v>
      </c>
      <c r="J1062" s="20">
        <f t="shared" si="172"/>
        <v>0</v>
      </c>
      <c r="K1062" s="10">
        <f t="shared" si="175"/>
        <v>0.35763435903213114</v>
      </c>
      <c r="L1062" s="10">
        <f t="shared" si="176"/>
        <v>0.21458061541927931</v>
      </c>
    </row>
    <row r="1063" spans="1:12" x14ac:dyDescent="0.2">
      <c r="A1063" s="14">
        <v>0.998</v>
      </c>
      <c r="B1063" s="10">
        <f t="shared" si="166"/>
        <v>6.2126060957515179</v>
      </c>
      <c r="C1063" s="10">
        <f t="shared" si="167"/>
        <v>3.093877835684256</v>
      </c>
      <c r="D1063" s="10">
        <f t="shared" si="168"/>
        <v>8.6304420620032367</v>
      </c>
      <c r="E1063" s="10">
        <f t="shared" si="169"/>
        <v>5599.5530554045945</v>
      </c>
      <c r="F1063" s="10">
        <f t="shared" si="173"/>
        <v>2209.5215130049664</v>
      </c>
      <c r="G1063" s="10">
        <f t="shared" si="170"/>
        <v>3.7690978640010733</v>
      </c>
      <c r="H1063" s="10">
        <f t="shared" si="171"/>
        <v>0.97744748250976798</v>
      </c>
      <c r="I1063" s="10">
        <f t="shared" si="174"/>
        <v>7.6843664501384801E-3</v>
      </c>
      <c r="J1063" s="20">
        <f t="shared" si="172"/>
        <v>0</v>
      </c>
      <c r="K1063" s="10">
        <f t="shared" si="175"/>
        <v>0.50184755712936457</v>
      </c>
      <c r="L1063" s="10">
        <f t="shared" si="176"/>
        <v>0.30110853427761741</v>
      </c>
    </row>
    <row r="1064" spans="1:12" x14ac:dyDescent="0.2">
      <c r="A1064" s="14">
        <v>0.999</v>
      </c>
      <c r="B1064" s="10">
        <f t="shared" si="166"/>
        <v>6.906754778648553</v>
      </c>
      <c r="C1064" s="10">
        <f t="shared" si="167"/>
        <v>3.4464706345456277</v>
      </c>
      <c r="D1064" s="10">
        <f t="shared" si="168"/>
        <v>9.4841902934070976</v>
      </c>
      <c r="E1064" s="10">
        <f t="shared" si="169"/>
        <v>13150.174314940949</v>
      </c>
      <c r="F1064" s="10">
        <f t="shared" si="173"/>
        <v>7550.621259536354</v>
      </c>
      <c r="G1064" s="10">
        <f t="shared" si="170"/>
        <v>4.2813468028433901</v>
      </c>
      <c r="H1064" s="10">
        <f t="shared" si="171"/>
        <v>0.98636446673992428</v>
      </c>
      <c r="I1064" s="10">
        <f t="shared" si="174"/>
        <v>8.9169842301562996E-3</v>
      </c>
      <c r="J1064" s="20">
        <f t="shared" si="172"/>
        <v>0</v>
      </c>
      <c r="K1064" s="10">
        <f t="shared" si="175"/>
        <v>0.85374823140386091</v>
      </c>
      <c r="L1064" s="10">
        <f t="shared" si="176"/>
        <v>0.51224893884231681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4"/>
  <sheetViews>
    <sheetView topLeftCell="A20" zoomScaleNormal="100" workbookViewId="0">
      <selection activeCell="A4" sqref="A4"/>
    </sheetView>
  </sheetViews>
  <sheetFormatPr baseColWidth="10" defaultColWidth="8.6640625" defaultRowHeight="15" x14ac:dyDescent="0.2"/>
  <cols>
    <col min="1" max="1" width="10" customWidth="1"/>
    <col min="2" max="2" width="17" customWidth="1"/>
    <col min="3" max="5" width="19" customWidth="1"/>
    <col min="6" max="6" width="17" customWidth="1"/>
    <col min="7" max="7" width="19" customWidth="1"/>
    <col min="8" max="8" width="24" customWidth="1"/>
    <col min="9" max="9" width="14" customWidth="1"/>
    <col min="10" max="10" width="17" customWidth="1"/>
    <col min="11" max="12" width="14" customWidth="1"/>
  </cols>
  <sheetData>
    <row r="1" spans="1:5" ht="18" x14ac:dyDescent="0.2">
      <c r="A1" s="1" t="s">
        <v>90</v>
      </c>
    </row>
    <row r="2" spans="1:5" x14ac:dyDescent="0.2">
      <c r="A2" s="2" t="s">
        <v>91</v>
      </c>
    </row>
    <row r="3" spans="1:5" x14ac:dyDescent="0.2">
      <c r="A3" s="3" t="s">
        <v>92</v>
      </c>
    </row>
    <row r="5" spans="1:5" x14ac:dyDescent="0.2">
      <c r="A5" s="4" t="s">
        <v>2</v>
      </c>
      <c r="B5" s="5"/>
      <c r="C5" s="5"/>
      <c r="D5" s="5"/>
      <c r="E5" s="5"/>
    </row>
    <row r="6" spans="1:5" ht="18" customHeight="1" x14ac:dyDescent="0.2">
      <c r="A6" s="6"/>
      <c r="B6" s="6" t="s">
        <v>3</v>
      </c>
      <c r="C6" s="6" t="s">
        <v>4</v>
      </c>
      <c r="D6" s="6" t="s">
        <v>5</v>
      </c>
    </row>
    <row r="7" spans="1:5" x14ac:dyDescent="0.2">
      <c r="A7" s="7" t="s">
        <v>6</v>
      </c>
      <c r="B7" s="8">
        <v>0.5</v>
      </c>
      <c r="C7" s="8">
        <v>2</v>
      </c>
      <c r="D7" s="2" t="s">
        <v>7</v>
      </c>
    </row>
    <row r="8" spans="1:5" x14ac:dyDescent="0.2">
      <c r="A8" s="7" t="s">
        <v>8</v>
      </c>
      <c r="B8" s="8">
        <v>1.2</v>
      </c>
      <c r="C8" s="8">
        <v>2</v>
      </c>
      <c r="D8" s="2" t="s">
        <v>7</v>
      </c>
    </row>
    <row r="9" spans="1:5" x14ac:dyDescent="0.2">
      <c r="A9" s="7" t="s">
        <v>9</v>
      </c>
      <c r="B9" s="8">
        <v>0</v>
      </c>
      <c r="C9" s="8">
        <v>0</v>
      </c>
      <c r="D9" s="2" t="s">
        <v>10</v>
      </c>
    </row>
    <row r="10" spans="1:5" x14ac:dyDescent="0.2">
      <c r="A10" s="7" t="s">
        <v>11</v>
      </c>
      <c r="B10" s="8">
        <v>3</v>
      </c>
      <c r="C10" s="8">
        <v>1</v>
      </c>
      <c r="D10" s="2" t="s">
        <v>12</v>
      </c>
    </row>
    <row r="12" spans="1:5" x14ac:dyDescent="0.2">
      <c r="A12" s="7" t="s">
        <v>13</v>
      </c>
      <c r="B12" s="8">
        <v>3</v>
      </c>
      <c r="C12" s="2" t="s">
        <v>14</v>
      </c>
    </row>
    <row r="13" spans="1:5" x14ac:dyDescent="0.2">
      <c r="A13" s="7" t="s">
        <v>15</v>
      </c>
      <c r="B13" s="8">
        <v>3</v>
      </c>
      <c r="C13" s="2" t="s">
        <v>16</v>
      </c>
    </row>
    <row r="14" spans="1:5" x14ac:dyDescent="0.2">
      <c r="A14" s="7" t="s">
        <v>17</v>
      </c>
      <c r="B14" s="2">
        <f>B9</f>
        <v>0</v>
      </c>
      <c r="C14" s="2">
        <f>C9</f>
        <v>0</v>
      </c>
      <c r="D14" s="2" t="s">
        <v>18</v>
      </c>
    </row>
    <row r="15" spans="1:5" x14ac:dyDescent="0.2">
      <c r="A15" s="7" t="s">
        <v>19</v>
      </c>
      <c r="B15" s="9" t="s">
        <v>20</v>
      </c>
      <c r="C15" s="2">
        <f>C9+C10</f>
        <v>1</v>
      </c>
      <c r="D15" s="2" t="s">
        <v>21</v>
      </c>
    </row>
    <row r="17" spans="1:10" x14ac:dyDescent="0.2">
      <c r="A17" s="4" t="s">
        <v>22</v>
      </c>
      <c r="B17" s="5"/>
      <c r="C17" s="5"/>
      <c r="D17" s="5"/>
      <c r="E17" s="5"/>
    </row>
    <row r="18" spans="1:10" ht="18" customHeight="1" x14ac:dyDescent="0.2">
      <c r="A18" s="6"/>
      <c r="B18" s="6" t="s">
        <v>3</v>
      </c>
      <c r="C18" s="6" t="s">
        <v>4</v>
      </c>
      <c r="D18" s="6" t="s">
        <v>23</v>
      </c>
    </row>
    <row r="19" spans="1:10" x14ac:dyDescent="0.2">
      <c r="A19" s="7" t="s">
        <v>24</v>
      </c>
      <c r="B19" s="10">
        <f>LN(B10)-B7/B8</f>
        <v>0.68194562200144304</v>
      </c>
      <c r="C19" s="10">
        <f>-C7/C8</f>
        <v>-1</v>
      </c>
      <c r="D19" s="2" t="s">
        <v>25</v>
      </c>
    </row>
    <row r="20" spans="1:10" x14ac:dyDescent="0.2">
      <c r="A20" s="7" t="s">
        <v>26</v>
      </c>
      <c r="B20" s="10">
        <f>1/B8</f>
        <v>0.83333333333333337</v>
      </c>
      <c r="C20" s="10">
        <f>1/C8</f>
        <v>0.5</v>
      </c>
      <c r="D20" s="2" t="s">
        <v>27</v>
      </c>
      <c r="G20" s="3" t="s">
        <v>28</v>
      </c>
    </row>
    <row r="21" spans="1:10" x14ac:dyDescent="0.2">
      <c r="A21" s="7" t="s">
        <v>29</v>
      </c>
      <c r="B21" s="11">
        <f>C20/B20</f>
        <v>0.6</v>
      </c>
      <c r="D21" s="2" t="s">
        <v>30</v>
      </c>
      <c r="G21" s="3" t="s">
        <v>31</v>
      </c>
    </row>
    <row r="22" spans="1:10" x14ac:dyDescent="0.2">
      <c r="A22" s="7" t="s">
        <v>32</v>
      </c>
      <c r="B22" s="11">
        <f>C19-B21*B19</f>
        <v>-1.4091673732008658</v>
      </c>
      <c r="D22" s="2" t="s">
        <v>33</v>
      </c>
    </row>
    <row r="23" spans="1:10" x14ac:dyDescent="0.2">
      <c r="A23" s="7" t="s">
        <v>34</v>
      </c>
      <c r="B23" s="12">
        <f>B22-(B7-C7-B8*LN(B10))/C8</f>
        <v>0</v>
      </c>
      <c r="D23" s="2" t="s">
        <v>35</v>
      </c>
    </row>
    <row r="25" spans="1:10" x14ac:dyDescent="0.2">
      <c r="A25" s="4" t="s">
        <v>36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ht="45" customHeight="1" x14ac:dyDescent="0.2">
      <c r="A26" s="6" t="s">
        <v>37</v>
      </c>
      <c r="B26" s="6" t="s">
        <v>38</v>
      </c>
      <c r="C26" s="6" t="s">
        <v>39</v>
      </c>
      <c r="D26" s="6" t="s">
        <v>40</v>
      </c>
      <c r="E26" s="6" t="s">
        <v>41</v>
      </c>
      <c r="F26" s="6" t="s">
        <v>42</v>
      </c>
      <c r="G26" s="6" t="s">
        <v>43</v>
      </c>
    </row>
    <row r="27" spans="1:10" x14ac:dyDescent="0.2">
      <c r="A27" s="2">
        <v>1</v>
      </c>
      <c r="B27" s="13">
        <v>0.12</v>
      </c>
      <c r="C27" s="14">
        <f>A27/($B$12+1)</f>
        <v>0.25</v>
      </c>
      <c r="D27" s="10">
        <f>(B27-$B$7)/$B$8</f>
        <v>-0.31666666666666671</v>
      </c>
      <c r="E27" s="10">
        <f>$B$9+$B$10*EXP(D27)</f>
        <v>2.1857207175341786</v>
      </c>
      <c r="F27" s="10">
        <f>(B27-$C$7)/$C$8</f>
        <v>-0.94</v>
      </c>
      <c r="G27" s="10">
        <f>$C$9+$C$10/(1+EXP(-F27))</f>
        <v>0.28090034258361612</v>
      </c>
      <c r="H27" s="3" t="s">
        <v>44</v>
      </c>
    </row>
    <row r="28" spans="1:10" x14ac:dyDescent="0.2">
      <c r="A28" s="2">
        <v>2</v>
      </c>
      <c r="B28" s="13">
        <v>0.47</v>
      </c>
      <c r="C28" s="14">
        <f>A28/($B$12+1)</f>
        <v>0.5</v>
      </c>
      <c r="D28" s="10">
        <f>(B28-$B$7)/$B$8</f>
        <v>-2.5000000000000022E-2</v>
      </c>
      <c r="E28" s="10">
        <f>$B$9+$B$10*EXP(D28)</f>
        <v>2.9259297360849978</v>
      </c>
      <c r="F28" s="10">
        <f>(B28-$C$7)/$C$8</f>
        <v>-0.76500000000000001</v>
      </c>
      <c r="G28" s="10">
        <f>$C$9+$C$10/(1+EXP(-F28))</f>
        <v>0.31756169780693522</v>
      </c>
    </row>
    <row r="29" spans="1:10" x14ac:dyDescent="0.2">
      <c r="A29" s="2">
        <v>3</v>
      </c>
      <c r="B29" s="13">
        <v>2.65</v>
      </c>
      <c r="C29" s="14">
        <f>A29/($B$12+1)</f>
        <v>0.75</v>
      </c>
      <c r="D29" s="10">
        <f>(B29-$B$7)/$B$8</f>
        <v>1.7916666666666667</v>
      </c>
      <c r="E29" s="10">
        <f>$B$9+$B$10*EXP(D29)</f>
        <v>17.998329631403454</v>
      </c>
      <c r="F29" s="10">
        <f>(B29-$C$7)/$C$8</f>
        <v>0.32499999999999996</v>
      </c>
      <c r="G29" s="10">
        <f>$C$9+$C$10/(1+EXP(-F29))</f>
        <v>0.5805423048206596</v>
      </c>
    </row>
    <row r="31" spans="1:10" x14ac:dyDescent="0.2">
      <c r="A31" s="4" t="s">
        <v>45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45" customHeight="1" x14ac:dyDescent="0.2">
      <c r="A32" s="6" t="s">
        <v>37</v>
      </c>
      <c r="B32" s="6" t="s">
        <v>46</v>
      </c>
      <c r="C32" s="6" t="s">
        <v>47</v>
      </c>
      <c r="D32" s="6" t="s">
        <v>48</v>
      </c>
      <c r="E32" s="6" t="s">
        <v>49</v>
      </c>
    </row>
    <row r="33" spans="1:10" x14ac:dyDescent="0.2">
      <c r="A33" s="2">
        <v>1</v>
      </c>
      <c r="B33" s="15">
        <f>LN(E27-$B$14)</f>
        <v>0.78194562200144291</v>
      </c>
      <c r="C33" s="15">
        <f>LN((G27-$C$14)/($C$15-G27))</f>
        <v>-0.94000000000000006</v>
      </c>
      <c r="D33" s="10">
        <f>$B$22+$B$21*B33</f>
        <v>-0.94000000000000017</v>
      </c>
      <c r="E33" s="16">
        <f>C33-D33</f>
        <v>0</v>
      </c>
      <c r="F33" s="3" t="s">
        <v>50</v>
      </c>
    </row>
    <row r="34" spans="1:10" x14ac:dyDescent="0.2">
      <c r="A34" s="2">
        <v>2</v>
      </c>
      <c r="B34" s="15">
        <f>LN(E28-$B$14)</f>
        <v>1.0736122886681096</v>
      </c>
      <c r="C34" s="15">
        <f>LN((G28-$C$14)/($C$15-G28))</f>
        <v>-0.76500000000000012</v>
      </c>
      <c r="D34" s="10">
        <f>$B$22+$B$21*B34</f>
        <v>-0.76500000000000001</v>
      </c>
      <c r="E34" s="16">
        <f>C34-D34</f>
        <v>0</v>
      </c>
    </row>
    <row r="35" spans="1:10" x14ac:dyDescent="0.2">
      <c r="A35" s="2">
        <v>3</v>
      </c>
      <c r="B35" s="15">
        <f>LN(E29-$B$14)</f>
        <v>2.8902789553347765</v>
      </c>
      <c r="C35" s="15">
        <f>LN((G29-$C$14)/($C$15-G29))</f>
        <v>0.32500000000000001</v>
      </c>
      <c r="D35" s="10">
        <f>$B$22+$B$21*B35</f>
        <v>0.32499999999999996</v>
      </c>
      <c r="E35" s="16">
        <f>C35-D35</f>
        <v>0</v>
      </c>
    </row>
    <row r="37" spans="1:10" x14ac:dyDescent="0.2">
      <c r="A37" s="4" t="s">
        <v>51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ht="45" customHeight="1" x14ac:dyDescent="0.2">
      <c r="A38" s="6" t="s">
        <v>37</v>
      </c>
      <c r="B38" s="6" t="s">
        <v>52</v>
      </c>
      <c r="C38" s="6" t="s">
        <v>53</v>
      </c>
      <c r="D38" s="6" t="s">
        <v>54</v>
      </c>
    </row>
    <row r="39" spans="1:10" x14ac:dyDescent="0.2">
      <c r="A39" s="2">
        <v>1</v>
      </c>
      <c r="B39" s="2">
        <v>1</v>
      </c>
      <c r="C39" s="10">
        <f>LN(C27/(1-C27))</f>
        <v>-1.0986122886681098</v>
      </c>
      <c r="D39" s="10">
        <f>(C27-0.5)*C39</f>
        <v>0.27465307216702745</v>
      </c>
    </row>
    <row r="40" spans="1:10" x14ac:dyDescent="0.2">
      <c r="A40" s="2">
        <v>2</v>
      </c>
      <c r="B40" s="2">
        <v>1</v>
      </c>
      <c r="C40" s="10">
        <f>LN(C28/(1-C28))</f>
        <v>0</v>
      </c>
      <c r="D40" s="10">
        <f>(C28-0.5)*C40</f>
        <v>0</v>
      </c>
    </row>
    <row r="41" spans="1:10" x14ac:dyDescent="0.2">
      <c r="A41" s="2">
        <v>3</v>
      </c>
      <c r="B41" s="2">
        <v>1</v>
      </c>
      <c r="C41" s="10">
        <f>LN(C29/(1-C29))</f>
        <v>1.0986122886681098</v>
      </c>
      <c r="D41" s="10">
        <f>(C29-0.5)*C41</f>
        <v>0.27465307216702745</v>
      </c>
    </row>
    <row r="43" spans="1:10" x14ac:dyDescent="0.2">
      <c r="A43" s="4" t="s">
        <v>55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ht="45" customHeight="1" x14ac:dyDescent="0.2">
      <c r="A44" s="6" t="s">
        <v>56</v>
      </c>
      <c r="B44" s="6" t="s">
        <v>57</v>
      </c>
      <c r="C44" s="6" t="s">
        <v>58</v>
      </c>
      <c r="D44" s="6" t="s">
        <v>59</v>
      </c>
      <c r="E44" s="6" t="s">
        <v>60</v>
      </c>
    </row>
    <row r="45" spans="1:10" x14ac:dyDescent="0.2">
      <c r="A45" s="2">
        <v>1</v>
      </c>
      <c r="B45" s="15">
        <f t="array" ref="B45:B47">MMULT(MINVERSE($B$39:$D$41),B33:B35)</f>
        <v>1.0736122886681096</v>
      </c>
      <c r="C45" s="15">
        <f t="array" ref="C45:C47">MMULT(MINVERSE($B$39:$D$41),C33:C35)</f>
        <v>-0.76500000000000012</v>
      </c>
      <c r="D45" s="10">
        <f>$B$22+$B$21*B45</f>
        <v>-0.76500000000000001</v>
      </c>
      <c r="E45" s="16">
        <f>C45-D45</f>
        <v>0</v>
      </c>
      <c r="F45" s="3" t="s">
        <v>61</v>
      </c>
    </row>
    <row r="46" spans="1:10" x14ac:dyDescent="0.2">
      <c r="A46" s="2">
        <v>2</v>
      </c>
      <c r="B46" s="15">
        <v>0.9595438514024579</v>
      </c>
      <c r="C46" s="15">
        <v>0.57572631084147463</v>
      </c>
      <c r="D46" s="10">
        <f>$B$21*B46</f>
        <v>0.57572631084147474</v>
      </c>
      <c r="E46" s="16">
        <f>C46-D46</f>
        <v>0</v>
      </c>
      <c r="F46" s="3" t="s">
        <v>62</v>
      </c>
    </row>
    <row r="47" spans="1:10" x14ac:dyDescent="0.2">
      <c r="A47" s="2">
        <v>3</v>
      </c>
      <c r="B47" s="15">
        <v>2.7762296412118546</v>
      </c>
      <c r="C47" s="15">
        <v>1.6657377847271126</v>
      </c>
      <c r="D47" s="10">
        <f>$B$21*B47</f>
        <v>1.6657377847271126</v>
      </c>
      <c r="E47" s="16">
        <f>C47-D47</f>
        <v>0</v>
      </c>
      <c r="F47" s="3" t="s">
        <v>63</v>
      </c>
    </row>
    <row r="49" spans="1:12" ht="45" customHeight="1" x14ac:dyDescent="0.2">
      <c r="A49" s="6" t="s">
        <v>37</v>
      </c>
      <c r="B49" s="6" t="s">
        <v>64</v>
      </c>
      <c r="C49" s="6" t="s">
        <v>65</v>
      </c>
    </row>
    <row r="50" spans="1:12" x14ac:dyDescent="0.2">
      <c r="A50" s="2">
        <v>1</v>
      </c>
      <c r="B50" s="16">
        <f t="shared" ref="B50:C52" si="0">$B39*B$45+$C39*B$46+$D39*B$47-B33</f>
        <v>0</v>
      </c>
      <c r="C50" s="16">
        <f t="shared" si="0"/>
        <v>0</v>
      </c>
      <c r="D50" s="3" t="s">
        <v>66</v>
      </c>
    </row>
    <row r="51" spans="1:12" x14ac:dyDescent="0.2">
      <c r="A51" s="2">
        <v>2</v>
      </c>
      <c r="B51" s="16">
        <f t="shared" si="0"/>
        <v>0</v>
      </c>
      <c r="C51" s="16">
        <f t="shared" si="0"/>
        <v>0</v>
      </c>
    </row>
    <row r="52" spans="1:12" x14ac:dyDescent="0.2">
      <c r="A52" s="2">
        <v>3</v>
      </c>
      <c r="B52" s="16">
        <f t="shared" si="0"/>
        <v>0</v>
      </c>
      <c r="C52" s="16">
        <f t="shared" si="0"/>
        <v>0</v>
      </c>
    </row>
    <row r="54" spans="1:12" x14ac:dyDescent="0.2">
      <c r="A54" s="4" t="s">
        <v>67</v>
      </c>
      <c r="B54" s="5"/>
      <c r="C54" s="5"/>
      <c r="D54" s="5"/>
      <c r="E54" s="5"/>
      <c r="F54" s="5"/>
      <c r="G54" s="5"/>
      <c r="H54" s="5"/>
      <c r="I54" s="5"/>
      <c r="J54" s="5"/>
    </row>
    <row r="55" spans="1:12" ht="61.5" customHeight="1" x14ac:dyDescent="0.2">
      <c r="A55" s="6"/>
      <c r="B55" s="6" t="s">
        <v>68</v>
      </c>
      <c r="C55" s="6" t="s">
        <v>69</v>
      </c>
      <c r="D55" s="6" t="s">
        <v>70</v>
      </c>
      <c r="E55" s="6" t="s">
        <v>71</v>
      </c>
    </row>
    <row r="56" spans="1:12" x14ac:dyDescent="0.2">
      <c r="A56" s="7" t="s">
        <v>3</v>
      </c>
      <c r="B56" s="17">
        <f>COUNTIF(F67:F1064,"&lt;=0")</f>
        <v>318</v>
      </c>
      <c r="C56" s="18" t="str">
        <f>IF(B56=0,"Valid","Invalid")</f>
        <v>Invalid</v>
      </c>
      <c r="D56" s="19">
        <f>IF(B56=0,"–",_xlfn.MINIFS($A$67:$A$1064,F67:F1064,"&lt;=0"))</f>
        <v>2E-3</v>
      </c>
      <c r="E56" s="19">
        <f>IF(B56=0,"–",_xlfn.MAXIFS($A$67:$A$1064,F67:F1064,"&lt;=0"))</f>
        <v>0.31900000000000001</v>
      </c>
      <c r="F56" s="3" t="s">
        <v>72</v>
      </c>
    </row>
    <row r="57" spans="1:12" x14ac:dyDescent="0.2">
      <c r="A57" s="7" t="s">
        <v>4</v>
      </c>
      <c r="B57" s="17">
        <f>COUNTIF(I67:I1064,"&lt;=0")</f>
        <v>318</v>
      </c>
      <c r="C57" s="18" t="str">
        <f>IF(B57=0,"Valid","Invalid")</f>
        <v>Invalid</v>
      </c>
      <c r="D57" s="19">
        <f>IF(B57=0,"–",_xlfn.MINIFS($A$67:$A$1064,I67:I1064,"&lt;=0"))</f>
        <v>2E-3</v>
      </c>
      <c r="E57" s="19">
        <f>IF(B57=0,"–",_xlfn.MAXIFS($A$67:$A$1064,I67:I1064,"&lt;=0"))</f>
        <v>0.31900000000000001</v>
      </c>
      <c r="F57" s="3" t="s">
        <v>73</v>
      </c>
    </row>
    <row r="58" spans="1:12" x14ac:dyDescent="0.2">
      <c r="A58" s="7" t="s">
        <v>74</v>
      </c>
      <c r="B58" s="17">
        <f>SUMPRODUCT(--(SIGN(F67:F1064)&lt;&gt;SIGN(I67:I1064)))</f>
        <v>0</v>
      </c>
      <c r="C58" s="18" t="str">
        <f>IF(AND(B58=0,C56=C57),"Identical","Different")</f>
        <v>Identical</v>
      </c>
      <c r="D58" s="3" t="s">
        <v>75</v>
      </c>
    </row>
    <row r="63" spans="1:12" x14ac:dyDescent="0.2">
      <c r="A63" s="4" t="s">
        <v>76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60" customHeight="1" x14ac:dyDescent="0.2">
      <c r="A64" s="6" t="s">
        <v>77</v>
      </c>
      <c r="B64" s="6" t="s">
        <v>78</v>
      </c>
      <c r="C64" s="6" t="s">
        <v>79</v>
      </c>
      <c r="D64" s="6" t="s">
        <v>80</v>
      </c>
      <c r="E64" s="6" t="s">
        <v>81</v>
      </c>
      <c r="F64" s="6" t="s">
        <v>82</v>
      </c>
      <c r="G64" s="6" t="s">
        <v>83</v>
      </c>
      <c r="H64" s="6" t="s">
        <v>84</v>
      </c>
      <c r="I64" s="6" t="s">
        <v>85</v>
      </c>
      <c r="J64" s="6" t="s">
        <v>86</v>
      </c>
      <c r="K64" s="6" t="s">
        <v>87</v>
      </c>
      <c r="L64" s="6" t="s">
        <v>88</v>
      </c>
    </row>
    <row r="65" spans="1:12" x14ac:dyDescent="0.2">
      <c r="A65" s="3" t="s">
        <v>89</v>
      </c>
    </row>
    <row r="66" spans="1:12" x14ac:dyDescent="0.2">
      <c r="A66" s="14">
        <v>1E-3</v>
      </c>
      <c r="B66" s="10">
        <f t="shared" ref="B66:B129" si="1">LN(A66/(1-A66))</f>
        <v>-6.9067547786485539</v>
      </c>
      <c r="C66" s="10">
        <f t="shared" ref="C66:C129" si="2">(A66-0.5)*B66</f>
        <v>3.4464706345456282</v>
      </c>
      <c r="D66" s="10">
        <f t="shared" ref="D66:D129" si="3">$B$45+$B$46*B66+$B$47*C66</f>
        <v>4.0144721408631474</v>
      </c>
      <c r="E66" s="10">
        <f t="shared" ref="E66:E129" si="4">$B$14+EXP(D66)</f>
        <v>55.39404742970514</v>
      </c>
      <c r="F66" s="9" t="s">
        <v>20</v>
      </c>
      <c r="G66" s="10">
        <f t="shared" ref="G66:G129" si="5">$C$45+$C$46*B66+$C$47*C66</f>
        <v>0.99951591131702333</v>
      </c>
      <c r="H66" s="10">
        <f t="shared" ref="H66:H129" si="6">$C$14+($C$15-$C$14)/(1+EXP(-G66))</f>
        <v>0.7309633903729662</v>
      </c>
      <c r="I66" s="9" t="s">
        <v>20</v>
      </c>
      <c r="J66" s="20">
        <f t="shared" ref="J66:J129" si="7">G66-($B$22+$B$21*D66)</f>
        <v>8.8817841970012523E-16</v>
      </c>
      <c r="K66" s="9" t="s">
        <v>20</v>
      </c>
      <c r="L66" s="9" t="s">
        <v>20</v>
      </c>
    </row>
    <row r="67" spans="1:12" x14ac:dyDescent="0.2">
      <c r="A67" s="14">
        <v>2E-3</v>
      </c>
      <c r="B67" s="10">
        <f t="shared" si="1"/>
        <v>-6.2126060957515188</v>
      </c>
      <c r="C67" s="10">
        <f t="shared" si="2"/>
        <v>3.0938778356842564</v>
      </c>
      <c r="D67" s="10">
        <f t="shared" si="3"/>
        <v>3.7016596620193223</v>
      </c>
      <c r="E67" s="10">
        <f t="shared" si="4"/>
        <v>40.514488951333426</v>
      </c>
      <c r="F67" s="10">
        <f t="shared" ref="F67:F130" si="8">E67-E66</f>
        <v>-14.879558478371713</v>
      </c>
      <c r="G67" s="10">
        <f t="shared" si="5"/>
        <v>0.81182842401072808</v>
      </c>
      <c r="H67" s="10">
        <f t="shared" si="6"/>
        <v>0.69249899345567378</v>
      </c>
      <c r="I67" s="10">
        <f t="shared" ref="I67:I130" si="9">H67-H66</f>
        <v>-3.846439691729242E-2</v>
      </c>
      <c r="J67" s="20">
        <f t="shared" si="7"/>
        <v>0</v>
      </c>
      <c r="K67" s="10">
        <f t="shared" ref="K67:K130" si="10">D67-D66</f>
        <v>-0.31281247884382513</v>
      </c>
      <c r="L67" s="10">
        <f t="shared" ref="L67:L130" si="11">G67-G66</f>
        <v>-0.18768748730629525</v>
      </c>
    </row>
    <row r="68" spans="1:12" x14ac:dyDescent="0.2">
      <c r="A68" s="14">
        <v>3.0000000000000001E-3</v>
      </c>
      <c r="B68" s="10">
        <f t="shared" si="1"/>
        <v>-5.8061384812937282</v>
      </c>
      <c r="C68" s="10">
        <f t="shared" si="2"/>
        <v>2.8856508252029829</v>
      </c>
      <c r="D68" s="10">
        <f t="shared" si="3"/>
        <v>3.5135971636674768</v>
      </c>
      <c r="E68" s="10">
        <f t="shared" si="4"/>
        <v>33.568803340646632</v>
      </c>
      <c r="F68" s="10">
        <f t="shared" si="8"/>
        <v>-6.9456856106867946</v>
      </c>
      <c r="G68" s="10">
        <f t="shared" si="5"/>
        <v>0.69899092499962023</v>
      </c>
      <c r="H68" s="10">
        <f t="shared" si="6"/>
        <v>0.667964009293741</v>
      </c>
      <c r="I68" s="10">
        <f t="shared" si="9"/>
        <v>-2.4534984161932782E-2</v>
      </c>
      <c r="J68" s="20">
        <f t="shared" si="7"/>
        <v>0</v>
      </c>
      <c r="K68" s="10">
        <f t="shared" si="10"/>
        <v>-0.18806249835184552</v>
      </c>
      <c r="L68" s="10">
        <f t="shared" si="11"/>
        <v>-0.11283749901110784</v>
      </c>
    </row>
    <row r="69" spans="1:12" x14ac:dyDescent="0.2">
      <c r="A69" s="14">
        <v>4.0000000000000001E-3</v>
      </c>
      <c r="B69" s="10">
        <f t="shared" si="1"/>
        <v>-5.5174528964647074</v>
      </c>
      <c r="C69" s="10">
        <f t="shared" si="2"/>
        <v>2.7366566366464951</v>
      </c>
      <c r="D69" s="10">
        <f t="shared" si="3"/>
        <v>3.3769615589398567</v>
      </c>
      <c r="E69" s="10">
        <f t="shared" si="4"/>
        <v>29.281665196462004</v>
      </c>
      <c r="F69" s="10">
        <f t="shared" si="8"/>
        <v>-4.2871381441846275</v>
      </c>
      <c r="G69" s="10">
        <f t="shared" si="5"/>
        <v>0.61700956216304848</v>
      </c>
      <c r="H69" s="10">
        <f t="shared" si="6"/>
        <v>0.64953811501877001</v>
      </c>
      <c r="I69" s="10">
        <f t="shared" si="9"/>
        <v>-1.8425894274970989E-2</v>
      </c>
      <c r="J69" s="20">
        <f t="shared" si="7"/>
        <v>0</v>
      </c>
      <c r="K69" s="10">
        <f t="shared" si="10"/>
        <v>-0.13663560472762004</v>
      </c>
      <c r="L69" s="10">
        <f t="shared" si="11"/>
        <v>-8.1981362836571758E-2</v>
      </c>
    </row>
    <row r="70" spans="1:12" x14ac:dyDescent="0.2">
      <c r="A70" s="14">
        <v>5.0000000000000001E-3</v>
      </c>
      <c r="B70" s="10">
        <f t="shared" si="1"/>
        <v>-5.2933048247244923</v>
      </c>
      <c r="C70" s="10">
        <f t="shared" si="2"/>
        <v>2.6201858882386238</v>
      </c>
      <c r="D70" s="10">
        <f t="shared" si="3"/>
        <v>3.2686919189178365</v>
      </c>
      <c r="E70" s="10">
        <f t="shared" si="4"/>
        <v>26.276944478564854</v>
      </c>
      <c r="F70" s="10">
        <f t="shared" si="8"/>
        <v>-3.0047207178971505</v>
      </c>
      <c r="G70" s="10">
        <f t="shared" si="5"/>
        <v>0.55204777814983697</v>
      </c>
      <c r="H70" s="10">
        <f t="shared" si="6"/>
        <v>0.63461056056260801</v>
      </c>
      <c r="I70" s="10">
        <f t="shared" si="9"/>
        <v>-1.4927554456162007E-2</v>
      </c>
      <c r="J70" s="20">
        <f t="shared" si="7"/>
        <v>8.8817841970012523E-16</v>
      </c>
      <c r="K70" s="10">
        <f t="shared" si="10"/>
        <v>-0.10826964002202022</v>
      </c>
      <c r="L70" s="10">
        <f t="shared" si="11"/>
        <v>-6.496178401321151E-2</v>
      </c>
    </row>
    <row r="71" spans="1:12" x14ac:dyDescent="0.2">
      <c r="A71" s="14">
        <v>6.0000000000000001E-3</v>
      </c>
      <c r="B71" s="10">
        <f t="shared" si="1"/>
        <v>-5.1099777374285189</v>
      </c>
      <c r="C71" s="10">
        <f t="shared" si="2"/>
        <v>2.5243290022896883</v>
      </c>
      <c r="D71" s="10">
        <f t="shared" si="3"/>
        <v>3.1784815702425115</v>
      </c>
      <c r="E71" s="10">
        <f t="shared" si="4"/>
        <v>24.010267953319666</v>
      </c>
      <c r="F71" s="10">
        <f t="shared" si="8"/>
        <v>-2.2666765252451881</v>
      </c>
      <c r="G71" s="10">
        <f t="shared" si="5"/>
        <v>0.49792156894464101</v>
      </c>
      <c r="H71" s="10">
        <f t="shared" si="6"/>
        <v>0.62197076801346407</v>
      </c>
      <c r="I71" s="10">
        <f t="shared" si="9"/>
        <v>-1.2639792549143936E-2</v>
      </c>
      <c r="J71" s="20">
        <f t="shared" si="7"/>
        <v>0</v>
      </c>
      <c r="K71" s="10">
        <f t="shared" si="10"/>
        <v>-9.0210348675324958E-2</v>
      </c>
      <c r="L71" s="10">
        <f t="shared" si="11"/>
        <v>-5.4126209205195952E-2</v>
      </c>
    </row>
    <row r="72" spans="1:12" x14ac:dyDescent="0.2">
      <c r="A72" s="14">
        <v>7.0000000000000001E-3</v>
      </c>
      <c r="B72" s="10">
        <f t="shared" si="1"/>
        <v>-4.9548205149898594</v>
      </c>
      <c r="C72" s="10">
        <f t="shared" si="2"/>
        <v>2.4427265138900007</v>
      </c>
      <c r="D72" s="10">
        <f t="shared" si="3"/>
        <v>3.1008144819423515</v>
      </c>
      <c r="E72" s="10">
        <f t="shared" si="4"/>
        <v>22.216038476764666</v>
      </c>
      <c r="F72" s="10">
        <f t="shared" si="8"/>
        <v>-1.7942294765549995</v>
      </c>
      <c r="G72" s="10">
        <f t="shared" si="5"/>
        <v>0.45132131596454528</v>
      </c>
      <c r="H72" s="10">
        <f t="shared" si="6"/>
        <v>0.61095334269360213</v>
      </c>
      <c r="I72" s="10">
        <f t="shared" si="9"/>
        <v>-1.101742531986194E-2</v>
      </c>
      <c r="J72" s="20">
        <f t="shared" si="7"/>
        <v>0</v>
      </c>
      <c r="K72" s="10">
        <f t="shared" si="10"/>
        <v>-7.7667088300160003E-2</v>
      </c>
      <c r="L72" s="10">
        <f t="shared" si="11"/>
        <v>-4.6600252980095735E-2</v>
      </c>
    </row>
    <row r="73" spans="1:12" x14ac:dyDescent="0.2">
      <c r="A73" s="14">
        <v>8.0000000000000002E-3</v>
      </c>
      <c r="B73" s="10">
        <f t="shared" si="1"/>
        <v>-4.8202815656050371</v>
      </c>
      <c r="C73" s="10">
        <f t="shared" si="2"/>
        <v>2.3715785302776782</v>
      </c>
      <c r="D73" s="10">
        <f t="shared" si="3"/>
        <v>3.0323873625817193</v>
      </c>
      <c r="E73" s="10">
        <f t="shared" si="4"/>
        <v>20.746703416923243</v>
      </c>
      <c r="F73" s="10">
        <f t="shared" si="8"/>
        <v>-1.4693350598414234</v>
      </c>
      <c r="G73" s="10">
        <f t="shared" si="5"/>
        <v>0.41026504434816546</v>
      </c>
      <c r="H73" s="10">
        <f t="shared" si="6"/>
        <v>0.60115142980794833</v>
      </c>
      <c r="I73" s="10">
        <f t="shared" si="9"/>
        <v>-9.8019128856537963E-3</v>
      </c>
      <c r="J73" s="20">
        <f t="shared" si="7"/>
        <v>0</v>
      </c>
      <c r="K73" s="10">
        <f t="shared" si="10"/>
        <v>-6.8427119360632283E-2</v>
      </c>
      <c r="L73" s="10">
        <f t="shared" si="11"/>
        <v>-4.1056271616379814E-2</v>
      </c>
    </row>
    <row r="74" spans="1:12" x14ac:dyDescent="0.2">
      <c r="A74" s="14">
        <v>8.9999999999999993E-3</v>
      </c>
      <c r="B74" s="10">
        <f t="shared" si="1"/>
        <v>-4.7014899569937691</v>
      </c>
      <c r="C74" s="10">
        <f t="shared" si="2"/>
        <v>2.3084315688839405</v>
      </c>
      <c r="D74" s="10">
        <f t="shared" si="3"/>
        <v>2.9710626542491134</v>
      </c>
      <c r="E74" s="10">
        <f t="shared" si="4"/>
        <v>19.512643776582273</v>
      </c>
      <c r="F74" s="10">
        <f t="shared" si="8"/>
        <v>-1.2340596403409698</v>
      </c>
      <c r="G74" s="10">
        <f t="shared" si="5"/>
        <v>0.37347021934860214</v>
      </c>
      <c r="H74" s="10">
        <f t="shared" si="6"/>
        <v>0.59229723888030006</v>
      </c>
      <c r="I74" s="10">
        <f t="shared" si="9"/>
        <v>-8.8541909276482755E-3</v>
      </c>
      <c r="J74" s="20">
        <f t="shared" si="7"/>
        <v>0</v>
      </c>
      <c r="K74" s="10">
        <f t="shared" si="10"/>
        <v>-6.1324708332605837E-2</v>
      </c>
      <c r="L74" s="10">
        <f t="shared" si="11"/>
        <v>-3.6794824999563325E-2</v>
      </c>
    </row>
    <row r="75" spans="1:12" x14ac:dyDescent="0.2">
      <c r="A75" s="14">
        <v>0.01</v>
      </c>
      <c r="B75" s="10">
        <f t="shared" si="1"/>
        <v>-4.5951198501345898</v>
      </c>
      <c r="C75" s="10">
        <f t="shared" si="2"/>
        <v>2.2516087265659488</v>
      </c>
      <c r="D75" s="10">
        <f t="shared" si="3"/>
        <v>2.9153761771177447</v>
      </c>
      <c r="E75" s="10">
        <f t="shared" si="4"/>
        <v>18.455753729324659</v>
      </c>
      <c r="F75" s="10">
        <f t="shared" si="8"/>
        <v>-1.0568900472576139</v>
      </c>
      <c r="G75" s="10">
        <f t="shared" si="5"/>
        <v>0.3400583330697815</v>
      </c>
      <c r="H75" s="10">
        <f t="shared" si="6"/>
        <v>0.58420469266588571</v>
      </c>
      <c r="I75" s="10">
        <f t="shared" si="9"/>
        <v>-8.0925462144143534E-3</v>
      </c>
      <c r="J75" s="20">
        <f t="shared" si="7"/>
        <v>6.6613381477509392E-16</v>
      </c>
      <c r="K75" s="10">
        <f t="shared" si="10"/>
        <v>-5.5686477131368761E-2</v>
      </c>
      <c r="L75" s="10">
        <f t="shared" si="11"/>
        <v>-3.3411886278820635E-2</v>
      </c>
    </row>
    <row r="76" spans="1:12" x14ac:dyDescent="0.2">
      <c r="A76" s="14">
        <v>1.0999999999999999E-2</v>
      </c>
      <c r="B76" s="10">
        <f t="shared" si="1"/>
        <v>-4.4987990588243418</v>
      </c>
      <c r="C76" s="10">
        <f t="shared" si="2"/>
        <v>2.1999127397651033</v>
      </c>
      <c r="D76" s="10">
        <f t="shared" si="3"/>
        <v>2.8642802692935083</v>
      </c>
      <c r="E76" s="10">
        <f t="shared" si="4"/>
        <v>17.536427156347742</v>
      </c>
      <c r="F76" s="10">
        <f t="shared" si="8"/>
        <v>-0.91932657297691733</v>
      </c>
      <c r="G76" s="10">
        <f t="shared" si="5"/>
        <v>0.30940078837523943</v>
      </c>
      <c r="H76" s="10">
        <f t="shared" si="6"/>
        <v>0.57673899363728076</v>
      </c>
      <c r="I76" s="10">
        <f t="shared" si="9"/>
        <v>-7.4656990286049441E-3</v>
      </c>
      <c r="J76" s="20">
        <f t="shared" si="7"/>
        <v>0</v>
      </c>
      <c r="K76" s="10">
        <f t="shared" si="10"/>
        <v>-5.1095907824236342E-2</v>
      </c>
      <c r="L76" s="10">
        <f t="shared" si="11"/>
        <v>-3.0657544694542072E-2</v>
      </c>
    </row>
    <row r="77" spans="1:12" x14ac:dyDescent="0.2">
      <c r="A77" s="14">
        <v>1.2E-2</v>
      </c>
      <c r="B77" s="10">
        <f t="shared" si="1"/>
        <v>-4.4107760479598674</v>
      </c>
      <c r="C77" s="10">
        <f t="shared" si="2"/>
        <v>2.1524587114044151</v>
      </c>
      <c r="D77" s="10">
        <f t="shared" si="3"/>
        <v>2.8169989280205963</v>
      </c>
      <c r="E77" s="10">
        <f t="shared" si="4"/>
        <v>16.726577609955935</v>
      </c>
      <c r="F77" s="10">
        <f t="shared" si="8"/>
        <v>-0.80984954639180629</v>
      </c>
      <c r="G77" s="10">
        <f t="shared" si="5"/>
        <v>0.28103198361149229</v>
      </c>
      <c r="H77" s="10">
        <f t="shared" si="6"/>
        <v>0.569799210291006</v>
      </c>
      <c r="I77" s="10">
        <f t="shared" si="9"/>
        <v>-6.9397833462747638E-3</v>
      </c>
      <c r="J77" s="20">
        <f t="shared" si="7"/>
        <v>4.4408920985006262E-16</v>
      </c>
      <c r="K77" s="10">
        <f t="shared" si="10"/>
        <v>-4.7281341272912059E-2</v>
      </c>
      <c r="L77" s="10">
        <f t="shared" si="11"/>
        <v>-2.8368804763747146E-2</v>
      </c>
    </row>
    <row r="78" spans="1:12" x14ac:dyDescent="0.2">
      <c r="A78" s="14">
        <v>1.2999999999999999E-2</v>
      </c>
      <c r="B78" s="10">
        <f t="shared" si="1"/>
        <v>-4.3297206819719447</v>
      </c>
      <c r="C78" s="10">
        <f t="shared" si="2"/>
        <v>2.1085739721203369</v>
      </c>
      <c r="D78" s="10">
        <f t="shared" si="3"/>
        <v>2.7729409920801711</v>
      </c>
      <c r="E78" s="10">
        <f t="shared" si="4"/>
        <v>16.005637310315144</v>
      </c>
      <c r="F78" s="10">
        <f t="shared" si="8"/>
        <v>-0.72094029964079098</v>
      </c>
      <c r="G78" s="10">
        <f t="shared" si="5"/>
        <v>0.254597222047237</v>
      </c>
      <c r="H78" s="10">
        <f t="shared" si="6"/>
        <v>0.56330770858176771</v>
      </c>
      <c r="I78" s="10">
        <f t="shared" si="9"/>
        <v>-6.4915017092382898E-3</v>
      </c>
      <c r="J78" s="20">
        <f t="shared" si="7"/>
        <v>0</v>
      </c>
      <c r="K78" s="10">
        <f t="shared" si="10"/>
        <v>-4.4057935940425175E-2</v>
      </c>
      <c r="L78" s="10">
        <f t="shared" si="11"/>
        <v>-2.6434761564255282E-2</v>
      </c>
    </row>
    <row r="79" spans="1:12" x14ac:dyDescent="0.2">
      <c r="A79" s="14">
        <v>1.4E-2</v>
      </c>
      <c r="B79" s="10">
        <f t="shared" si="1"/>
        <v>-4.2545990249873764</v>
      </c>
      <c r="C79" s="10">
        <f t="shared" si="2"/>
        <v>2.067735126143865</v>
      </c>
      <c r="D79" s="10">
        <f t="shared" si="3"/>
        <v>2.7316455014341114</v>
      </c>
      <c r="E79" s="10">
        <f t="shared" si="4"/>
        <v>15.358138077115308</v>
      </c>
      <c r="F79" s="10">
        <f t="shared" si="8"/>
        <v>-0.64749923319983615</v>
      </c>
      <c r="G79" s="10">
        <f t="shared" si="5"/>
        <v>0.22981992765960113</v>
      </c>
      <c r="H79" s="10">
        <f t="shared" si="6"/>
        <v>0.55720342620969099</v>
      </c>
      <c r="I79" s="10">
        <f t="shared" si="9"/>
        <v>-6.1042823720767192E-3</v>
      </c>
      <c r="J79" s="20">
        <f t="shared" si="7"/>
        <v>2.2204460492503131E-16</v>
      </c>
      <c r="K79" s="10">
        <f t="shared" si="10"/>
        <v>-4.129549064605964E-2</v>
      </c>
      <c r="L79" s="10">
        <f t="shared" si="11"/>
        <v>-2.4777294387635873E-2</v>
      </c>
    </row>
    <row r="80" spans="1:12" x14ac:dyDescent="0.2">
      <c r="A80" s="14">
        <v>1.4999999999999999E-2</v>
      </c>
      <c r="B80" s="10">
        <f t="shared" si="1"/>
        <v>-4.1845914400698785</v>
      </c>
      <c r="C80" s="10">
        <f t="shared" si="2"/>
        <v>2.0295268484338909</v>
      </c>
      <c r="D80" s="10">
        <f t="shared" si="3"/>
        <v>2.6927458959751478</v>
      </c>
      <c r="E80" s="10">
        <f t="shared" si="4"/>
        <v>14.772183158939415</v>
      </c>
      <c r="F80" s="10">
        <f t="shared" si="8"/>
        <v>-0.58595491817589362</v>
      </c>
      <c r="G80" s="10">
        <f t="shared" si="5"/>
        <v>0.20648016438422312</v>
      </c>
      <c r="H80" s="10">
        <f t="shared" si="6"/>
        <v>0.55143742198255752</v>
      </c>
      <c r="I80" s="10">
        <f t="shared" si="9"/>
        <v>-5.7660042271334699E-3</v>
      </c>
      <c r="J80" s="20">
        <f t="shared" si="7"/>
        <v>2.2204460492503131E-16</v>
      </c>
      <c r="K80" s="10">
        <f t="shared" si="10"/>
        <v>-3.8899605458963649E-2</v>
      </c>
      <c r="L80" s="10">
        <f t="shared" si="11"/>
        <v>-2.3339763275378012E-2</v>
      </c>
    </row>
    <row r="81" spans="1:12" x14ac:dyDescent="0.2">
      <c r="A81" s="14">
        <v>1.6E-2</v>
      </c>
      <c r="B81" s="10">
        <f t="shared" si="1"/>
        <v>-4.1190371748124717</v>
      </c>
      <c r="C81" s="10">
        <f t="shared" si="2"/>
        <v>1.9936139926092362</v>
      </c>
      <c r="D81" s="10">
        <f t="shared" si="3"/>
        <v>2.6559457532951241</v>
      </c>
      <c r="E81" s="10">
        <f t="shared" si="4"/>
        <v>14.238445750539629</v>
      </c>
      <c r="F81" s="10">
        <f t="shared" si="8"/>
        <v>-0.53373740839978545</v>
      </c>
      <c r="G81" s="10">
        <f t="shared" si="5"/>
        <v>0.18440007877620879</v>
      </c>
      <c r="H81" s="10">
        <f t="shared" si="6"/>
        <v>0.54596983261424892</v>
      </c>
      <c r="I81" s="10">
        <f t="shared" si="9"/>
        <v>-5.4675893683086008E-3</v>
      </c>
      <c r="J81" s="20">
        <f t="shared" si="7"/>
        <v>2.2204460492503131E-16</v>
      </c>
      <c r="K81" s="10">
        <f t="shared" si="10"/>
        <v>-3.680014268002374E-2</v>
      </c>
      <c r="L81" s="10">
        <f t="shared" si="11"/>
        <v>-2.2080085608014333E-2</v>
      </c>
    </row>
    <row r="82" spans="1:12" x14ac:dyDescent="0.2">
      <c r="A82" s="14">
        <v>1.7000000000000001E-2</v>
      </c>
      <c r="B82" s="10">
        <f t="shared" si="1"/>
        <v>-4.0573957760909503</v>
      </c>
      <c r="C82" s="10">
        <f t="shared" si="2"/>
        <v>1.959722159851929</v>
      </c>
      <c r="D82" s="10">
        <f t="shared" si="3"/>
        <v>2.6210018677343765</v>
      </c>
      <c r="E82" s="10">
        <f t="shared" si="4"/>
        <v>13.749491859189277</v>
      </c>
      <c r="F82" s="10">
        <f t="shared" si="8"/>
        <v>-0.48895389135035217</v>
      </c>
      <c r="G82" s="10">
        <f t="shared" si="5"/>
        <v>0.1634337474397598</v>
      </c>
      <c r="H82" s="10">
        <f t="shared" si="6"/>
        <v>0.54076773304855785</v>
      </c>
      <c r="I82" s="10">
        <f t="shared" si="9"/>
        <v>-5.2020995656910651E-3</v>
      </c>
      <c r="J82" s="20">
        <f t="shared" si="7"/>
        <v>-2.2204460492503131E-16</v>
      </c>
      <c r="K82" s="10">
        <f t="shared" si="10"/>
        <v>-3.4943885560747567E-2</v>
      </c>
      <c r="L82" s="10">
        <f t="shared" si="11"/>
        <v>-2.0966331336448985E-2</v>
      </c>
    </row>
    <row r="83" spans="1:12" x14ac:dyDescent="0.2">
      <c r="A83" s="14">
        <v>1.7999999999999999E-2</v>
      </c>
      <c r="B83" s="10">
        <f t="shared" si="1"/>
        <v>-3.9992195504583012</v>
      </c>
      <c r="C83" s="10">
        <f t="shared" si="2"/>
        <v>1.9276238233209011</v>
      </c>
      <c r="D83" s="10">
        <f t="shared" si="3"/>
        <v>2.5877121540269536</v>
      </c>
      <c r="E83" s="10">
        <f t="shared" si="4"/>
        <v>13.299309997929189</v>
      </c>
      <c r="F83" s="10">
        <f t="shared" si="8"/>
        <v>-0.45018186126008786</v>
      </c>
      <c r="G83" s="10">
        <f t="shared" si="5"/>
        <v>0.14345991921530654</v>
      </c>
      <c r="H83" s="10">
        <f t="shared" si="6"/>
        <v>0.53580359545710543</v>
      </c>
      <c r="I83" s="10">
        <f t="shared" si="9"/>
        <v>-4.9641375914524222E-3</v>
      </c>
      <c r="J83" s="20">
        <f t="shared" si="7"/>
        <v>2.2204460492503131E-16</v>
      </c>
      <c r="K83" s="10">
        <f t="shared" si="10"/>
        <v>-3.3289713707422841E-2</v>
      </c>
      <c r="L83" s="10">
        <f t="shared" si="11"/>
        <v>-1.9973828224453261E-2</v>
      </c>
    </row>
    <row r="84" spans="1:12" x14ac:dyDescent="0.2">
      <c r="A84" s="14">
        <v>1.9E-2</v>
      </c>
      <c r="B84" s="10">
        <f t="shared" si="1"/>
        <v>-3.9441334803989228</v>
      </c>
      <c r="C84" s="10">
        <f t="shared" si="2"/>
        <v>1.8971282040718818</v>
      </c>
      <c r="D84" s="10">
        <f t="shared" si="3"/>
        <v>2.5559068117641166</v>
      </c>
      <c r="E84" s="10">
        <f t="shared" si="4"/>
        <v>12.882976797154667</v>
      </c>
      <c r="F84" s="10">
        <f t="shared" si="8"/>
        <v>-0.41633320077452218</v>
      </c>
      <c r="G84" s="10">
        <f t="shared" si="5"/>
        <v>0.1243767138576044</v>
      </c>
      <c r="H84" s="10">
        <f t="shared" si="6"/>
        <v>0.5310541559201114</v>
      </c>
      <c r="I84" s="10">
        <f t="shared" si="9"/>
        <v>-4.7494395369940268E-3</v>
      </c>
      <c r="J84" s="20">
        <f t="shared" si="7"/>
        <v>2.2204460492503131E-16</v>
      </c>
      <c r="K84" s="10">
        <f t="shared" si="10"/>
        <v>-3.1805342262837044E-2</v>
      </c>
      <c r="L84" s="10">
        <f t="shared" si="11"/>
        <v>-1.9083205357702138E-2</v>
      </c>
    </row>
    <row r="85" spans="1:12" x14ac:dyDescent="0.2">
      <c r="A85" s="14">
        <v>0.02</v>
      </c>
      <c r="B85" s="10">
        <f t="shared" si="1"/>
        <v>-3.8918202981106265</v>
      </c>
      <c r="C85" s="10">
        <f t="shared" si="2"/>
        <v>1.8680737430931007</v>
      </c>
      <c r="D85" s="10">
        <f t="shared" si="3"/>
        <v>2.5254417483974221</v>
      </c>
      <c r="E85" s="10">
        <f t="shared" si="4"/>
        <v>12.496414315498289</v>
      </c>
      <c r="F85" s="10">
        <f t="shared" si="8"/>
        <v>-0.38656248165637841</v>
      </c>
      <c r="G85" s="10">
        <f t="shared" si="5"/>
        <v>0.10609767583758778</v>
      </c>
      <c r="H85" s="10">
        <f t="shared" si="6"/>
        <v>0.52649956544650178</v>
      </c>
      <c r="I85" s="10">
        <f t="shared" si="9"/>
        <v>-4.554590473609621E-3</v>
      </c>
      <c r="J85" s="20">
        <f t="shared" si="7"/>
        <v>4.4408920985006262E-16</v>
      </c>
      <c r="K85" s="10">
        <f t="shared" si="10"/>
        <v>-3.0465063366694523E-2</v>
      </c>
      <c r="L85" s="10">
        <f t="shared" si="11"/>
        <v>-1.8279038020016625E-2</v>
      </c>
    </row>
    <row r="86" spans="1:12" x14ac:dyDescent="0.2">
      <c r="A86" s="14">
        <v>2.1000000000000001E-2</v>
      </c>
      <c r="B86" s="10">
        <f t="shared" si="1"/>
        <v>-3.8420092048070873</v>
      </c>
      <c r="C86" s="10">
        <f t="shared" si="2"/>
        <v>1.8403224091025947</v>
      </c>
      <c r="D86" s="10">
        <f t="shared" si="3"/>
        <v>2.4961936007008547</v>
      </c>
      <c r="E86" s="10">
        <f t="shared" si="4"/>
        <v>12.136210666460951</v>
      </c>
      <c r="F86" s="10">
        <f t="shared" si="8"/>
        <v>-0.36020364903733793</v>
      </c>
      <c r="G86" s="10">
        <f t="shared" si="5"/>
        <v>8.8548787219647096E-2</v>
      </c>
      <c r="H86" s="10">
        <f t="shared" si="6"/>
        <v>0.52212274353124399</v>
      </c>
      <c r="I86" s="10">
        <f t="shared" si="9"/>
        <v>-4.3768219152577892E-3</v>
      </c>
      <c r="J86" s="20">
        <f t="shared" si="7"/>
        <v>2.2204460492503131E-16</v>
      </c>
      <c r="K86" s="10">
        <f t="shared" si="10"/>
        <v>-2.9248147696567361E-2</v>
      </c>
      <c r="L86" s="10">
        <f t="shared" si="11"/>
        <v>-1.7548888617940683E-2</v>
      </c>
    </row>
    <row r="87" spans="1:12" x14ac:dyDescent="0.2">
      <c r="A87" s="14">
        <v>2.1999999999999999E-2</v>
      </c>
      <c r="B87" s="10">
        <f t="shared" si="1"/>
        <v>-3.7944672166765017</v>
      </c>
      <c r="C87" s="10">
        <f t="shared" si="2"/>
        <v>1.8137553295713678</v>
      </c>
      <c r="D87" s="10">
        <f t="shared" si="3"/>
        <v>2.4680559094199817</v>
      </c>
      <c r="E87" s="10">
        <f t="shared" si="4"/>
        <v>11.799485271017527</v>
      </c>
      <c r="F87" s="10">
        <f t="shared" si="8"/>
        <v>-0.33672539544342328</v>
      </c>
      <c r="G87" s="10">
        <f t="shared" si="5"/>
        <v>7.1666172451123611E-2</v>
      </c>
      <c r="H87" s="10">
        <f t="shared" si="6"/>
        <v>0.51790887870864277</v>
      </c>
      <c r="I87" s="10">
        <f t="shared" si="9"/>
        <v>-4.213864822601221E-3</v>
      </c>
      <c r="J87" s="20">
        <f t="shared" si="7"/>
        <v>4.4408920985006262E-16</v>
      </c>
      <c r="K87" s="10">
        <f t="shared" si="10"/>
        <v>-2.8137691280873067E-2</v>
      </c>
      <c r="L87" s="10">
        <f t="shared" si="11"/>
        <v>-1.6882614768523485E-2</v>
      </c>
    </row>
    <row r="88" spans="1:12" x14ac:dyDescent="0.2">
      <c r="A88" s="14">
        <v>2.3E-2</v>
      </c>
      <c r="B88" s="10">
        <f t="shared" si="1"/>
        <v>-3.7489924361136331</v>
      </c>
      <c r="C88" s="10">
        <f t="shared" si="2"/>
        <v>1.7882693920262029</v>
      </c>
      <c r="D88" s="10">
        <f t="shared" si="3"/>
        <v>2.4409361402559977</v>
      </c>
      <c r="E88" s="10">
        <f t="shared" si="4"/>
        <v>11.483786146910809</v>
      </c>
      <c r="F88" s="10">
        <f t="shared" si="8"/>
        <v>-0.31569912410671819</v>
      </c>
      <c r="G88" s="10">
        <f t="shared" si="5"/>
        <v>5.5394310952733061E-2</v>
      </c>
      <c r="H88" s="10">
        <f t="shared" si="6"/>
        <v>0.51384503759349176</v>
      </c>
      <c r="I88" s="10">
        <f t="shared" si="9"/>
        <v>-4.0638411151510123E-3</v>
      </c>
      <c r="J88" s="20">
        <f t="shared" si="7"/>
        <v>2.2204460492503131E-16</v>
      </c>
      <c r="K88" s="10">
        <f t="shared" si="10"/>
        <v>-2.7119769163983953E-2</v>
      </c>
      <c r="L88" s="10">
        <f t="shared" si="11"/>
        <v>-1.627186149839055E-2</v>
      </c>
    </row>
    <row r="89" spans="1:12" x14ac:dyDescent="0.2">
      <c r="A89" s="14">
        <v>2.4E-2</v>
      </c>
      <c r="B89" s="10">
        <f t="shared" si="1"/>
        <v>-3.7054087560651467</v>
      </c>
      <c r="C89" s="10">
        <f t="shared" si="2"/>
        <v>1.7637745678870098</v>
      </c>
      <c r="D89" s="10">
        <f t="shared" si="3"/>
        <v>2.4147533356365156</v>
      </c>
      <c r="E89" s="10">
        <f t="shared" si="4"/>
        <v>11.18701058035326</v>
      </c>
      <c r="F89" s="10">
        <f t="shared" si="8"/>
        <v>-0.29677556655754955</v>
      </c>
      <c r="G89" s="10">
        <f t="shared" si="5"/>
        <v>3.9684628181043458E-2</v>
      </c>
      <c r="H89" s="10">
        <f t="shared" si="6"/>
        <v>0.50991985520613681</v>
      </c>
      <c r="I89" s="10">
        <f t="shared" si="9"/>
        <v>-3.925182387354953E-3</v>
      </c>
      <c r="J89" s="20">
        <f t="shared" si="7"/>
        <v>0</v>
      </c>
      <c r="K89" s="10">
        <f t="shared" si="10"/>
        <v>-2.6182804619482081E-2</v>
      </c>
      <c r="L89" s="10">
        <f t="shared" si="11"/>
        <v>-1.5709682771689604E-2</v>
      </c>
    </row>
    <row r="90" spans="1:12" x14ac:dyDescent="0.2">
      <c r="A90" s="14">
        <v>2.5000000000000001E-2</v>
      </c>
      <c r="B90" s="10">
        <f t="shared" si="1"/>
        <v>-3.6635616461296463</v>
      </c>
      <c r="C90" s="10">
        <f t="shared" si="2"/>
        <v>1.740191781911582</v>
      </c>
      <c r="D90" s="10">
        <f t="shared" si="3"/>
        <v>2.3894362432267497</v>
      </c>
      <c r="E90" s="10">
        <f t="shared" si="4"/>
        <v>10.907343120858497</v>
      </c>
      <c r="F90" s="10">
        <f t="shared" si="8"/>
        <v>-0.27966745949476213</v>
      </c>
      <c r="G90" s="10">
        <f t="shared" si="5"/>
        <v>2.4494372735183845E-2</v>
      </c>
      <c r="H90" s="10">
        <f t="shared" si="6"/>
        <v>0.50612328703562171</v>
      </c>
      <c r="I90" s="10">
        <f t="shared" si="9"/>
        <v>-3.7965681705151022E-3</v>
      </c>
      <c r="J90" s="20">
        <f t="shared" si="7"/>
        <v>-2.2204460492503131E-16</v>
      </c>
      <c r="K90" s="10">
        <f t="shared" si="10"/>
        <v>-2.5317092409765873E-2</v>
      </c>
      <c r="L90" s="10">
        <f t="shared" si="11"/>
        <v>-1.5190255445859613E-2</v>
      </c>
    </row>
    <row r="91" spans="1:12" x14ac:dyDescent="0.2">
      <c r="A91" s="14">
        <v>2.5999999999999999E-2</v>
      </c>
      <c r="B91" s="10">
        <f t="shared" si="1"/>
        <v>-3.6233147656210529</v>
      </c>
      <c r="C91" s="10">
        <f t="shared" si="2"/>
        <v>1.717451198904379</v>
      </c>
      <c r="D91" s="10">
        <f t="shared" si="3"/>
        <v>2.3649218093538638</v>
      </c>
      <c r="E91" s="10">
        <f t="shared" si="4"/>
        <v>10.643206585774161</v>
      </c>
      <c r="F91" s="10">
        <f t="shared" si="8"/>
        <v>-0.26413653508433654</v>
      </c>
      <c r="G91" s="10">
        <f t="shared" si="5"/>
        <v>9.7857124114528737E-3</v>
      </c>
      <c r="H91" s="10">
        <f t="shared" si="6"/>
        <v>0.50244640858051981</v>
      </c>
      <c r="I91" s="10">
        <f t="shared" si="9"/>
        <v>-3.6768784551018951E-3</v>
      </c>
      <c r="J91" s="20">
        <f t="shared" si="7"/>
        <v>4.4408920985006262E-16</v>
      </c>
      <c r="K91" s="10">
        <f t="shared" si="10"/>
        <v>-2.4514433872885988E-2</v>
      </c>
      <c r="L91" s="10">
        <f t="shared" si="11"/>
        <v>-1.4708660323730971E-2</v>
      </c>
    </row>
    <row r="92" spans="1:12" x14ac:dyDescent="0.2">
      <c r="A92" s="14">
        <v>2.7E-2</v>
      </c>
      <c r="B92" s="10">
        <f t="shared" si="1"/>
        <v>-3.5845472161816758</v>
      </c>
      <c r="C92" s="10">
        <f t="shared" si="2"/>
        <v>1.6954908332539327</v>
      </c>
      <c r="D92" s="10">
        <f t="shared" si="3"/>
        <v>2.3411539550017397</v>
      </c>
      <c r="E92" s="10">
        <f t="shared" si="4"/>
        <v>10.393222957137439</v>
      </c>
      <c r="F92" s="10">
        <f t="shared" si="8"/>
        <v>-0.24998362863672163</v>
      </c>
      <c r="G92" s="10">
        <f t="shared" si="5"/>
        <v>-4.4750001998221656E-3</v>
      </c>
      <c r="H92" s="10">
        <f t="shared" si="6"/>
        <v>0.49888125181701337</v>
      </c>
      <c r="I92" s="10">
        <f t="shared" si="9"/>
        <v>-3.5651567635064385E-3</v>
      </c>
      <c r="J92" s="20">
        <f t="shared" si="7"/>
        <v>-2.2204460492503131E-16</v>
      </c>
      <c r="K92" s="10">
        <f t="shared" si="10"/>
        <v>-2.3767854352124029E-2</v>
      </c>
      <c r="L92" s="10">
        <f t="shared" si="11"/>
        <v>-1.4260712611275039E-2</v>
      </c>
    </row>
    <row r="93" spans="1:12" x14ac:dyDescent="0.2">
      <c r="A93" s="14">
        <v>2.8000000000000001E-2</v>
      </c>
      <c r="B93" s="10">
        <f t="shared" si="1"/>
        <v>-3.5471512942852352</v>
      </c>
      <c r="C93" s="10">
        <f t="shared" si="2"/>
        <v>1.6742554109026309</v>
      </c>
      <c r="D93" s="10">
        <f t="shared" si="3"/>
        <v>2.3180825729496584</v>
      </c>
      <c r="E93" s="10">
        <f t="shared" si="4"/>
        <v>10.156181886521699</v>
      </c>
      <c r="F93" s="10">
        <f t="shared" si="8"/>
        <v>-0.23704107061574042</v>
      </c>
      <c r="G93" s="10">
        <f t="shared" si="5"/>
        <v>-1.8317829431070631E-2</v>
      </c>
      <c r="H93" s="10">
        <f t="shared" si="6"/>
        <v>0.49542067068829315</v>
      </c>
      <c r="I93" s="10">
        <f t="shared" si="9"/>
        <v>-3.4605811287202193E-3</v>
      </c>
      <c r="J93" s="20">
        <f t="shared" si="7"/>
        <v>2.2204460492503131E-16</v>
      </c>
      <c r="K93" s="10">
        <f t="shared" si="10"/>
        <v>-2.3071382052081368E-2</v>
      </c>
      <c r="L93" s="10">
        <f t="shared" si="11"/>
        <v>-1.3842829231248466E-2</v>
      </c>
    </row>
    <row r="94" spans="1:12" x14ac:dyDescent="0.2">
      <c r="A94" s="14">
        <v>2.9000000000000001E-2</v>
      </c>
      <c r="B94" s="10">
        <f t="shared" si="1"/>
        <v>-3.5110306383048506</v>
      </c>
      <c r="C94" s="10">
        <f t="shared" si="2"/>
        <v>1.6536954306415845</v>
      </c>
      <c r="D94" s="10">
        <f t="shared" si="3"/>
        <v>2.2956626996808129</v>
      </c>
      <c r="E94" s="10">
        <f t="shared" si="4"/>
        <v>9.9310151126060013</v>
      </c>
      <c r="F94" s="10">
        <f t="shared" si="8"/>
        <v>-0.2251667739156975</v>
      </c>
      <c r="G94" s="10">
        <f t="shared" si="5"/>
        <v>-3.1769753392377975E-2</v>
      </c>
      <c r="H94" s="10">
        <f t="shared" si="6"/>
        <v>0.49205822962114282</v>
      </c>
      <c r="I94" s="10">
        <f t="shared" si="9"/>
        <v>-3.3624410671503346E-3</v>
      </c>
      <c r="J94" s="20">
        <f t="shared" si="7"/>
        <v>2.2204460492503131E-16</v>
      </c>
      <c r="K94" s="10">
        <f t="shared" si="10"/>
        <v>-2.2419873268845425E-2</v>
      </c>
      <c r="L94" s="10">
        <f t="shared" si="11"/>
        <v>-1.3451923961307344E-2</v>
      </c>
    </row>
    <row r="95" spans="1:12" x14ac:dyDescent="0.2">
      <c r="A95" s="14">
        <v>0.03</v>
      </c>
      <c r="B95" s="10">
        <f t="shared" si="1"/>
        <v>-3.4760986898352733</v>
      </c>
      <c r="C95" s="10">
        <f t="shared" si="2"/>
        <v>1.6337663842225782</v>
      </c>
      <c r="D95" s="10">
        <f t="shared" si="3"/>
        <v>2.2738538266627706</v>
      </c>
      <c r="E95" s="10">
        <f t="shared" si="4"/>
        <v>9.7167755185687561</v>
      </c>
      <c r="F95" s="10">
        <f t="shared" si="8"/>
        <v>-0.21423959403724524</v>
      </c>
      <c r="G95" s="10">
        <f t="shared" si="5"/>
        <v>-4.4855077203203475E-2</v>
      </c>
      <c r="H95" s="10">
        <f t="shared" si="6"/>
        <v>0.48878811047570814</v>
      </c>
      <c r="I95" s="10">
        <f t="shared" si="9"/>
        <v>-3.2701191454346801E-3</v>
      </c>
      <c r="J95" s="20">
        <f t="shared" si="7"/>
        <v>0</v>
      </c>
      <c r="K95" s="10">
        <f t="shared" si="10"/>
        <v>-2.1808873018042352E-2</v>
      </c>
      <c r="L95" s="10">
        <f t="shared" si="11"/>
        <v>-1.30853238108255E-2</v>
      </c>
    </row>
    <row r="96" spans="1:12" x14ac:dyDescent="0.2">
      <c r="A96" s="14">
        <v>3.1E-2</v>
      </c>
      <c r="B96" s="10">
        <f t="shared" si="1"/>
        <v>-3.4422774074056197</v>
      </c>
      <c r="C96" s="10">
        <f t="shared" si="2"/>
        <v>1.6144281040732356</v>
      </c>
      <c r="D96" s="10">
        <f t="shared" si="3"/>
        <v>2.2526193237040273</v>
      </c>
      <c r="E96" s="10">
        <f t="shared" si="4"/>
        <v>9.5126198631657388</v>
      </c>
      <c r="F96" s="10">
        <f t="shared" si="8"/>
        <v>-0.20415565540301728</v>
      </c>
      <c r="G96" s="10">
        <f t="shared" si="5"/>
        <v>-5.7595778978449808E-2</v>
      </c>
      <c r="H96" s="10">
        <f t="shared" si="6"/>
        <v>0.48560503437220387</v>
      </c>
      <c r="I96" s="10">
        <f t="shared" si="9"/>
        <v>-3.1830761035042676E-3</v>
      </c>
      <c r="J96" s="20">
        <f t="shared" si="7"/>
        <v>-2.2204460492503131E-16</v>
      </c>
      <c r="K96" s="10">
        <f t="shared" si="10"/>
        <v>-2.1234502958743295E-2</v>
      </c>
      <c r="L96" s="10">
        <f t="shared" si="11"/>
        <v>-1.2740701775246333E-2</v>
      </c>
    </row>
    <row r="97" spans="1:12" x14ac:dyDescent="0.2">
      <c r="A97" s="14">
        <v>3.2000000000000001E-2</v>
      </c>
      <c r="B97" s="10">
        <f t="shared" si="1"/>
        <v>-3.4094961844768505</v>
      </c>
      <c r="C97" s="10">
        <f t="shared" si="2"/>
        <v>1.5956442143351659</v>
      </c>
      <c r="D97" s="10">
        <f t="shared" si="3"/>
        <v>2.2319259531386964</v>
      </c>
      <c r="E97" s="10">
        <f t="shared" si="4"/>
        <v>9.3177944448027521</v>
      </c>
      <c r="F97" s="10">
        <f t="shared" si="8"/>
        <v>-0.19482541836298672</v>
      </c>
      <c r="G97" s="10">
        <f t="shared" si="5"/>
        <v>-7.0011801317647837E-2</v>
      </c>
      <c r="H97" s="10">
        <f t="shared" si="6"/>
        <v>0.4825041956160106</v>
      </c>
      <c r="I97" s="10">
        <f t="shared" si="9"/>
        <v>-3.1008387561932693E-3</v>
      </c>
      <c r="J97" s="20">
        <f t="shared" si="7"/>
        <v>2.2204460492503131E-16</v>
      </c>
      <c r="K97" s="10">
        <f t="shared" si="10"/>
        <v>-2.0693370565330937E-2</v>
      </c>
      <c r="L97" s="10">
        <f t="shared" si="11"/>
        <v>-1.241602233919803E-2</v>
      </c>
    </row>
    <row r="98" spans="1:12" x14ac:dyDescent="0.2">
      <c r="A98" s="14">
        <v>3.3000000000000002E-2</v>
      </c>
      <c r="B98" s="10">
        <f t="shared" si="1"/>
        <v>-3.377690933986814</v>
      </c>
      <c r="C98" s="10">
        <f t="shared" si="2"/>
        <v>1.5773816661718421</v>
      </c>
      <c r="D98" s="10">
        <f t="shared" si="3"/>
        <v>2.2117434581536477</v>
      </c>
      <c r="E98" s="10">
        <f t="shared" si="4"/>
        <v>9.1316231254440101</v>
      </c>
      <c r="F98" s="10">
        <f t="shared" si="8"/>
        <v>-0.18617131935874198</v>
      </c>
      <c r="G98" s="10">
        <f t="shared" si="5"/>
        <v>-8.2121298308677648E-2</v>
      </c>
      <c r="H98" s="10">
        <f t="shared" si="6"/>
        <v>0.47948120553148454</v>
      </c>
      <c r="I98" s="10">
        <f t="shared" si="9"/>
        <v>-3.022990084526056E-3</v>
      </c>
      <c r="J98" s="20">
        <f t="shared" si="7"/>
        <v>-4.4408920985006262E-16</v>
      </c>
      <c r="K98" s="10">
        <f t="shared" si="10"/>
        <v>-2.0182494985048649E-2</v>
      </c>
      <c r="L98" s="10">
        <f t="shared" si="11"/>
        <v>-1.2109496991029811E-2</v>
      </c>
    </row>
    <row r="99" spans="1:12" x14ac:dyDescent="0.2">
      <c r="A99" s="14">
        <v>3.4000000000000002E-2</v>
      </c>
      <c r="B99" s="10">
        <f t="shared" si="1"/>
        <v>-3.3468033095963565</v>
      </c>
      <c r="C99" s="10">
        <f t="shared" si="2"/>
        <v>1.5596103422719021</v>
      </c>
      <c r="D99" s="10">
        <f t="shared" si="3"/>
        <v>2.1920442120473496</v>
      </c>
      <c r="E99" s="10">
        <f t="shared" si="4"/>
        <v>8.9534972669684691</v>
      </c>
      <c r="F99" s="10">
        <f t="shared" si="8"/>
        <v>-0.17812585847554097</v>
      </c>
      <c r="G99" s="10">
        <f t="shared" si="5"/>
        <v>-9.3940845972455556E-2</v>
      </c>
      <c r="H99" s="10">
        <f t="shared" si="6"/>
        <v>0.47653204446494085</v>
      </c>
      <c r="I99" s="10">
        <f t="shared" si="9"/>
        <v>-2.9491610665436929E-3</v>
      </c>
      <c r="J99" s="20">
        <f t="shared" si="7"/>
        <v>6.6613381477509392E-16</v>
      </c>
      <c r="K99" s="10">
        <f t="shared" si="10"/>
        <v>-1.9699246106298141E-2</v>
      </c>
      <c r="L99" s="10">
        <f t="shared" si="11"/>
        <v>-1.1819547663777907E-2</v>
      </c>
    </row>
    <row r="100" spans="1:12" x14ac:dyDescent="0.2">
      <c r="A100" s="14">
        <v>3.5000000000000003E-2</v>
      </c>
      <c r="B100" s="10">
        <f t="shared" si="1"/>
        <v>-3.3167800398495721</v>
      </c>
      <c r="C100" s="10">
        <f t="shared" si="2"/>
        <v>1.5423027185300509</v>
      </c>
      <c r="D100" s="10">
        <f t="shared" si="3"/>
        <v>2.1728029178808042</v>
      </c>
      <c r="E100" s="10">
        <f t="shared" si="4"/>
        <v>8.7828672279167339</v>
      </c>
      <c r="F100" s="10">
        <f t="shared" si="8"/>
        <v>-0.17063003905173524</v>
      </c>
      <c r="G100" s="10">
        <f t="shared" si="5"/>
        <v>-0.10548562247238324</v>
      </c>
      <c r="H100" s="10">
        <f t="shared" si="6"/>
        <v>0.47365302056447167</v>
      </c>
      <c r="I100" s="10">
        <f t="shared" si="9"/>
        <v>-2.8790239004691798E-3</v>
      </c>
      <c r="J100" s="20">
        <f t="shared" si="7"/>
        <v>2.2204460492503131E-16</v>
      </c>
      <c r="K100" s="10">
        <f t="shared" si="10"/>
        <v>-1.9241294166545408E-2</v>
      </c>
      <c r="L100" s="10">
        <f t="shared" si="11"/>
        <v>-1.1544776499927689E-2</v>
      </c>
    </row>
    <row r="101" spans="1:12" x14ac:dyDescent="0.2">
      <c r="A101" s="14">
        <v>3.5999999999999997E-2</v>
      </c>
      <c r="B101" s="10">
        <f t="shared" si="1"/>
        <v>-3.2875723561544357</v>
      </c>
      <c r="C101" s="10">
        <f t="shared" si="2"/>
        <v>1.5254335732556583</v>
      </c>
      <c r="D101" s="10">
        <f t="shared" si="3"/>
        <v>2.1539963500515031</v>
      </c>
      <c r="E101" s="10">
        <f t="shared" si="4"/>
        <v>8.6192351414754889</v>
      </c>
      <c r="F101" s="10">
        <f t="shared" si="8"/>
        <v>-0.16363208644124505</v>
      </c>
      <c r="G101" s="10">
        <f t="shared" si="5"/>
        <v>-0.11676956316996412</v>
      </c>
      <c r="H101" s="10">
        <f t="shared" si="6"/>
        <v>0.47084073421429834</v>
      </c>
      <c r="I101" s="10">
        <f t="shared" si="9"/>
        <v>-2.812286350173332E-3</v>
      </c>
      <c r="J101" s="20">
        <f t="shared" si="7"/>
        <v>-2.2204460492503131E-16</v>
      </c>
      <c r="K101" s="10">
        <f t="shared" si="10"/>
        <v>-1.8806567829301013E-2</v>
      </c>
      <c r="L101" s="10">
        <f t="shared" si="11"/>
        <v>-1.1283940697580874E-2</v>
      </c>
    </row>
    <row r="102" spans="1:12" x14ac:dyDescent="0.2">
      <c r="A102" s="14">
        <v>3.6999999999999998E-2</v>
      </c>
      <c r="B102" s="10">
        <f t="shared" si="1"/>
        <v>-3.259135499153901</v>
      </c>
      <c r="C102" s="10">
        <f t="shared" si="2"/>
        <v>1.5089797361082562</v>
      </c>
      <c r="D102" s="10">
        <f t="shared" si="3"/>
        <v>2.1356031309392862</v>
      </c>
      <c r="E102" s="10">
        <f t="shared" si="4"/>
        <v>8.4621487517710392</v>
      </c>
      <c r="F102" s="10">
        <f t="shared" si="8"/>
        <v>-0.15708638970444966</v>
      </c>
      <c r="G102" s="10">
        <f t="shared" si="5"/>
        <v>-0.12780549463729418</v>
      </c>
      <c r="H102" s="10">
        <f t="shared" si="6"/>
        <v>0.46809204721302167</v>
      </c>
      <c r="I102" s="10">
        <f t="shared" si="9"/>
        <v>-2.7486870012766729E-3</v>
      </c>
      <c r="J102" s="20">
        <f t="shared" si="7"/>
        <v>0</v>
      </c>
      <c r="K102" s="10">
        <f t="shared" si="10"/>
        <v>-1.8393219112216919E-2</v>
      </c>
      <c r="L102" s="10">
        <f t="shared" si="11"/>
        <v>-1.1035931467330062E-2</v>
      </c>
    </row>
    <row r="103" spans="1:12" x14ac:dyDescent="0.2">
      <c r="A103" s="14">
        <v>3.7999999999999999E-2</v>
      </c>
      <c r="B103" s="10">
        <f t="shared" si="1"/>
        <v>-3.2314282909393208</v>
      </c>
      <c r="C103" s="10">
        <f t="shared" si="2"/>
        <v>1.4929198704139663</v>
      </c>
      <c r="D103" s="10">
        <f t="shared" si="3"/>
        <v>2.1176035370467452</v>
      </c>
      <c r="E103" s="10">
        <f t="shared" si="4"/>
        <v>8.3111961292470049</v>
      </c>
      <c r="F103" s="10">
        <f t="shared" si="8"/>
        <v>-0.1509526225240343</v>
      </c>
      <c r="G103" s="10">
        <f t="shared" si="5"/>
        <v>-0.13860525097281817</v>
      </c>
      <c r="H103" s="10">
        <f t="shared" si="6"/>
        <v>0.46540405595230061</v>
      </c>
      <c r="I103" s="10">
        <f t="shared" si="9"/>
        <v>-2.6879912607210565E-3</v>
      </c>
      <c r="J103" s="20">
        <f t="shared" si="7"/>
        <v>6.6613381477509392E-16</v>
      </c>
      <c r="K103" s="10">
        <f t="shared" si="10"/>
        <v>-1.7999593892541021E-2</v>
      </c>
      <c r="L103" s="10">
        <f t="shared" si="11"/>
        <v>-1.0799756335523991E-2</v>
      </c>
    </row>
    <row r="104" spans="1:12" x14ac:dyDescent="0.2">
      <c r="A104" s="14">
        <v>3.9E-2</v>
      </c>
      <c r="B104" s="10">
        <f t="shared" si="1"/>
        <v>-3.2044127628406458</v>
      </c>
      <c r="C104" s="10">
        <f t="shared" si="2"/>
        <v>1.4772342836695378</v>
      </c>
      <c r="D104" s="10">
        <f t="shared" si="3"/>
        <v>2.0999793300665375</v>
      </c>
      <c r="E104" s="10">
        <f t="shared" si="4"/>
        <v>8.1660011201233846</v>
      </c>
      <c r="F104" s="10">
        <f t="shared" si="8"/>
        <v>-0.14519500912362027</v>
      </c>
      <c r="G104" s="10">
        <f t="shared" si="5"/>
        <v>-0.14917977516094316</v>
      </c>
      <c r="H104" s="10">
        <f t="shared" si="6"/>
        <v>0.46277406798538046</v>
      </c>
      <c r="I104" s="10">
        <f t="shared" si="9"/>
        <v>-2.6299879669201554E-3</v>
      </c>
      <c r="J104" s="20">
        <f t="shared" si="7"/>
        <v>2.2204460492503131E-16</v>
      </c>
      <c r="K104" s="10">
        <f t="shared" si="10"/>
        <v>-1.7624206980207724E-2</v>
      </c>
      <c r="L104" s="10">
        <f t="shared" si="11"/>
        <v>-1.057452418812499E-2</v>
      </c>
    </row>
    <row r="105" spans="1:12" x14ac:dyDescent="0.2">
      <c r="A105" s="14">
        <v>0.04</v>
      </c>
      <c r="B105" s="10">
        <f t="shared" si="1"/>
        <v>-3.1780538303479453</v>
      </c>
      <c r="C105" s="10">
        <f t="shared" si="2"/>
        <v>1.4619047619600549</v>
      </c>
      <c r="D105" s="10">
        <f t="shared" si="3"/>
        <v>2.082713609113974</v>
      </c>
      <c r="E105" s="10">
        <f t="shared" si="4"/>
        <v>8.0262194119220407</v>
      </c>
      <c r="F105" s="10">
        <f t="shared" si="8"/>
        <v>-0.13978170820134395</v>
      </c>
      <c r="G105" s="10">
        <f t="shared" si="5"/>
        <v>-0.15953920773248154</v>
      </c>
      <c r="H105" s="10">
        <f t="shared" si="6"/>
        <v>0.46019958148127854</v>
      </c>
      <c r="I105" s="10">
        <f t="shared" si="9"/>
        <v>-2.5744865041019138E-3</v>
      </c>
      <c r="J105" s="20">
        <f t="shared" si="7"/>
        <v>0</v>
      </c>
      <c r="K105" s="10">
        <f t="shared" si="10"/>
        <v>-1.7265720952563512E-2</v>
      </c>
      <c r="L105" s="10">
        <f t="shared" si="11"/>
        <v>-1.0359432571538374E-2</v>
      </c>
    </row>
    <row r="106" spans="1:12" x14ac:dyDescent="0.2">
      <c r="A106" s="14">
        <v>4.1000000000000002E-2</v>
      </c>
      <c r="B106" s="10">
        <f t="shared" si="1"/>
        <v>-3.1523190081791301</v>
      </c>
      <c r="C106" s="10">
        <f t="shared" si="2"/>
        <v>1.4469144247542207</v>
      </c>
      <c r="D106" s="10">
        <f t="shared" si="3"/>
        <v>2.0657906810103985</v>
      </c>
      <c r="E106" s="10">
        <f t="shared" si="4"/>
        <v>7.8915351184649918</v>
      </c>
      <c r="F106" s="10">
        <f t="shared" si="8"/>
        <v>-0.13468429345704891</v>
      </c>
      <c r="G106" s="10">
        <f t="shared" si="5"/>
        <v>-0.16969296459462679</v>
      </c>
      <c r="H106" s="10">
        <f t="shared" si="6"/>
        <v>0.45767826714608667</v>
      </c>
      <c r="I106" s="10">
        <f t="shared" si="9"/>
        <v>-2.521314335191871E-3</v>
      </c>
      <c r="J106" s="20">
        <f t="shared" si="7"/>
        <v>0</v>
      </c>
      <c r="K106" s="10">
        <f t="shared" si="10"/>
        <v>-1.692292810357543E-2</v>
      </c>
      <c r="L106" s="10">
        <f t="shared" si="11"/>
        <v>-1.0153756862145258E-2</v>
      </c>
    </row>
    <row r="107" spans="1:12" x14ac:dyDescent="0.2">
      <c r="A107" s="14">
        <v>4.2000000000000003E-2</v>
      </c>
      <c r="B107" s="10">
        <f t="shared" si="1"/>
        <v>-3.1271781596874924</v>
      </c>
      <c r="C107" s="10">
        <f t="shared" si="2"/>
        <v>1.4322475971368716</v>
      </c>
      <c r="D107" s="10">
        <f t="shared" si="3"/>
        <v>2.0491959460257605</v>
      </c>
      <c r="E107" s="10">
        <f t="shared" si="4"/>
        <v>7.7616578048627751</v>
      </c>
      <c r="F107" s="10">
        <f t="shared" si="8"/>
        <v>-0.12987731360221666</v>
      </c>
      <c r="G107" s="10">
        <f t="shared" si="5"/>
        <v>-0.17964980558540899</v>
      </c>
      <c r="H107" s="10">
        <f t="shared" si="6"/>
        <v>0.4552079522622432</v>
      </c>
      <c r="I107" s="10">
        <f t="shared" si="9"/>
        <v>-2.4703148838434719E-3</v>
      </c>
      <c r="J107" s="20">
        <f t="shared" si="7"/>
        <v>6.6613381477509392E-16</v>
      </c>
      <c r="K107" s="10">
        <f t="shared" si="10"/>
        <v>-1.6594734984638038E-2</v>
      </c>
      <c r="L107" s="10">
        <f t="shared" si="11"/>
        <v>-9.9568409907822009E-3</v>
      </c>
    </row>
    <row r="108" spans="1:12" x14ac:dyDescent="0.2">
      <c r="A108" s="14">
        <v>4.2999999999999997E-2</v>
      </c>
      <c r="B108" s="10">
        <f t="shared" si="1"/>
        <v>-3.102603275759392</v>
      </c>
      <c r="C108" s="10">
        <f t="shared" si="2"/>
        <v>1.4178896970220423</v>
      </c>
      <c r="D108" s="10">
        <f t="shared" si="3"/>
        <v>2.0329157969135498</v>
      </c>
      <c r="E108" s="10">
        <f t="shared" si="4"/>
        <v>7.6363198867583213</v>
      </c>
      <c r="F108" s="10">
        <f t="shared" si="8"/>
        <v>-0.12533791810445383</v>
      </c>
      <c r="G108" s="10">
        <f t="shared" si="5"/>
        <v>-0.18941789505273565</v>
      </c>
      <c r="H108" s="10">
        <f t="shared" si="6"/>
        <v>0.45278660655313591</v>
      </c>
      <c r="I108" s="10">
        <f t="shared" si="9"/>
        <v>-2.4213457091072921E-3</v>
      </c>
      <c r="J108" s="20">
        <f t="shared" si="7"/>
        <v>2.2204460492503131E-16</v>
      </c>
      <c r="K108" s="10">
        <f t="shared" si="10"/>
        <v>-1.6280149112210651E-2</v>
      </c>
      <c r="L108" s="10">
        <f t="shared" si="11"/>
        <v>-9.7680894673266572E-3</v>
      </c>
    </row>
    <row r="109" spans="1:12" x14ac:dyDescent="0.2">
      <c r="A109" s="14">
        <v>4.3999999999999997E-2</v>
      </c>
      <c r="B109" s="10">
        <f t="shared" si="1"/>
        <v>-3.0785682791331399</v>
      </c>
      <c r="C109" s="10">
        <f t="shared" si="2"/>
        <v>1.4038271352847118</v>
      </c>
      <c r="D109" s="10">
        <f t="shared" si="3"/>
        <v>2.0169375294182008</v>
      </c>
      <c r="E109" s="10">
        <f t="shared" si="4"/>
        <v>7.5152743492003662</v>
      </c>
      <c r="F109" s="10">
        <f t="shared" si="8"/>
        <v>-0.12104553755795511</v>
      </c>
      <c r="G109" s="10">
        <f t="shared" si="5"/>
        <v>-0.19900485554994507</v>
      </c>
      <c r="H109" s="10">
        <f t="shared" si="6"/>
        <v>0.45041232962667649</v>
      </c>
      <c r="I109" s="10">
        <f t="shared" si="9"/>
        <v>-2.3742769264594177E-3</v>
      </c>
      <c r="J109" s="20">
        <f t="shared" si="7"/>
        <v>2.2204460492503131E-16</v>
      </c>
      <c r="K109" s="10">
        <f t="shared" si="10"/>
        <v>-1.597826749534903E-2</v>
      </c>
      <c r="L109" s="10">
        <f t="shared" si="11"/>
        <v>-9.586960497209418E-3</v>
      </c>
    </row>
    <row r="110" spans="1:12" x14ac:dyDescent="0.2">
      <c r="A110" s="14">
        <v>4.4999999999999998E-2</v>
      </c>
      <c r="B110" s="10">
        <f t="shared" si="1"/>
        <v>-3.0550488507104103</v>
      </c>
      <c r="C110" s="10">
        <f t="shared" si="2"/>
        <v>1.3900472270732367</v>
      </c>
      <c r="D110" s="10">
        <f t="shared" si="3"/>
        <v>2.0012492627198553</v>
      </c>
      <c r="E110" s="10">
        <f t="shared" si="4"/>
        <v>7.3982927395440816</v>
      </c>
      <c r="F110" s="10">
        <f t="shared" si="8"/>
        <v>-0.11698160965628457</v>
      </c>
      <c r="G110" s="10">
        <f t="shared" si="5"/>
        <v>-0.20841781556895222</v>
      </c>
      <c r="H110" s="10">
        <f t="shared" si="6"/>
        <v>0.44808333978955511</v>
      </c>
      <c r="I110" s="10">
        <f t="shared" si="9"/>
        <v>-2.3289898371213757E-3</v>
      </c>
      <c r="J110" s="20">
        <f t="shared" si="7"/>
        <v>4.4408920985006262E-16</v>
      </c>
      <c r="K110" s="10">
        <f t="shared" si="10"/>
        <v>-1.5688266698345554E-2</v>
      </c>
      <c r="L110" s="10">
        <f t="shared" si="11"/>
        <v>-9.412960019007155E-3</v>
      </c>
    </row>
    <row r="111" spans="1:12" x14ac:dyDescent="0.2">
      <c r="A111" s="14">
        <v>4.5999999999999999E-2</v>
      </c>
      <c r="B111" s="10">
        <f t="shared" si="1"/>
        <v>-3.0320222749591914</v>
      </c>
      <c r="C111" s="10">
        <f t="shared" si="2"/>
        <v>1.3765381128314729</v>
      </c>
      <c r="D111" s="10">
        <f t="shared" si="3"/>
        <v>1.9858398685162881</v>
      </c>
      <c r="E111" s="10">
        <f t="shared" si="4"/>
        <v>7.2851633961439273</v>
      </c>
      <c r="F111" s="10">
        <f t="shared" si="8"/>
        <v>-0.11312934340015435</v>
      </c>
      <c r="G111" s="10">
        <f t="shared" si="5"/>
        <v>-0.2176634520910925</v>
      </c>
      <c r="H111" s="10">
        <f t="shared" si="6"/>
        <v>0.44579796405537087</v>
      </c>
      <c r="I111" s="10">
        <f t="shared" si="9"/>
        <v>-2.2853757341842473E-3</v>
      </c>
      <c r="J111" s="20">
        <f t="shared" si="7"/>
        <v>4.4408920985006262E-16</v>
      </c>
      <c r="K111" s="10">
        <f t="shared" si="10"/>
        <v>-1.5409394203567128E-2</v>
      </c>
      <c r="L111" s="10">
        <f t="shared" si="11"/>
        <v>-9.245636522140277E-3</v>
      </c>
    </row>
    <row r="112" spans="1:12" x14ac:dyDescent="0.2">
      <c r="A112" s="14">
        <v>4.7E-2</v>
      </c>
      <c r="B112" s="10">
        <f t="shared" si="1"/>
        <v>-3.0094673019441434</v>
      </c>
      <c r="C112" s="10">
        <f t="shared" si="2"/>
        <v>1.3632886877806969</v>
      </c>
      <c r="D112" s="10">
        <f t="shared" si="3"/>
        <v>1.970698907636447</v>
      </c>
      <c r="E112" s="10">
        <f t="shared" si="4"/>
        <v>7.1756898806478162</v>
      </c>
      <c r="F112" s="10">
        <f t="shared" si="8"/>
        <v>-0.10947351549611106</v>
      </c>
      <c r="G112" s="10">
        <f t="shared" si="5"/>
        <v>-0.22674802861899757</v>
      </c>
      <c r="H112" s="10">
        <f t="shared" si="6"/>
        <v>0.44355462919597427</v>
      </c>
      <c r="I112" s="10">
        <f t="shared" si="9"/>
        <v>-2.2433348593965952E-3</v>
      </c>
      <c r="J112" s="20">
        <f t="shared" si="7"/>
        <v>2.2204460492503131E-16</v>
      </c>
      <c r="K112" s="10">
        <f t="shared" si="10"/>
        <v>-1.5140960879841181E-2</v>
      </c>
      <c r="L112" s="10">
        <f t="shared" si="11"/>
        <v>-9.0845765279050639E-3</v>
      </c>
    </row>
    <row r="113" spans="1:12" x14ac:dyDescent="0.2">
      <c r="A113" s="14">
        <v>4.8000000000000001E-2</v>
      </c>
      <c r="B113" s="10">
        <f t="shared" si="1"/>
        <v>-2.9873640238834742</v>
      </c>
      <c r="C113" s="10">
        <f t="shared" si="2"/>
        <v>1.3502885387953303</v>
      </c>
      <c r="D113" s="10">
        <f t="shared" si="3"/>
        <v>1.955816573242056</v>
      </c>
      <c r="E113" s="10">
        <f t="shared" si="4"/>
        <v>7.0696895866830296</v>
      </c>
      <c r="F113" s="10">
        <f t="shared" si="8"/>
        <v>-0.10600029396478661</v>
      </c>
      <c r="G113" s="10">
        <f t="shared" si="5"/>
        <v>-0.23567742925563229</v>
      </c>
      <c r="H113" s="10">
        <f t="shared" si="6"/>
        <v>0.44135185370716618</v>
      </c>
      <c r="I113" s="10">
        <f t="shared" si="9"/>
        <v>-2.2027754888080953E-3</v>
      </c>
      <c r="J113" s="20">
        <f t="shared" si="7"/>
        <v>0</v>
      </c>
      <c r="K113" s="10">
        <f t="shared" si="10"/>
        <v>-1.4882334394390906E-2</v>
      </c>
      <c r="L113" s="10">
        <f t="shared" si="11"/>
        <v>-8.9294006366347212E-3</v>
      </c>
    </row>
    <row r="114" spans="1:12" x14ac:dyDescent="0.2">
      <c r="A114" s="14">
        <v>4.9000000000000002E-2</v>
      </c>
      <c r="B114" s="10">
        <f t="shared" si="1"/>
        <v>-2.9656937644347634</v>
      </c>
      <c r="C114" s="10">
        <f t="shared" si="2"/>
        <v>1.3375278877600782</v>
      </c>
      <c r="D114" s="10">
        <f t="shared" si="3"/>
        <v>1.9411836398091351</v>
      </c>
      <c r="E114" s="10">
        <f t="shared" si="4"/>
        <v>6.9669925018479892</v>
      </c>
      <c r="F114" s="10">
        <f t="shared" si="8"/>
        <v>-0.10269708483504036</v>
      </c>
      <c r="G114" s="10">
        <f t="shared" si="5"/>
        <v>-0.24445718931538529</v>
      </c>
      <c r="H114" s="10">
        <f t="shared" si="6"/>
        <v>0.43918824057816136</v>
      </c>
      <c r="I114" s="10">
        <f t="shared" si="9"/>
        <v>-2.1636131290048155E-3</v>
      </c>
      <c r="J114" s="20">
        <f t="shared" si="7"/>
        <v>-4.4408920985006262E-16</v>
      </c>
      <c r="K114" s="10">
        <f t="shared" si="10"/>
        <v>-1.4632933432920936E-2</v>
      </c>
      <c r="L114" s="10">
        <f t="shared" si="11"/>
        <v>-8.7797600597530057E-3</v>
      </c>
    </row>
    <row r="115" spans="1:12" x14ac:dyDescent="0.2">
      <c r="A115" s="14">
        <v>0.05</v>
      </c>
      <c r="B115" s="10">
        <f t="shared" si="1"/>
        <v>-2.9444389791664403</v>
      </c>
      <c r="C115" s="10">
        <f t="shared" si="2"/>
        <v>1.3249975406248982</v>
      </c>
      <c r="D115" s="10">
        <f t="shared" si="3"/>
        <v>1.926791417194873</v>
      </c>
      <c r="E115" s="10">
        <f t="shared" si="4"/>
        <v>6.8674401033517665</v>
      </c>
      <c r="F115" s="10">
        <f t="shared" si="8"/>
        <v>-9.9552398496222771E-2</v>
      </c>
      <c r="G115" s="10">
        <f t="shared" si="5"/>
        <v>-0.25309252288394246</v>
      </c>
      <c r="H115" s="10">
        <f t="shared" si="6"/>
        <v>0.43706247076958177</v>
      </c>
      <c r="I115" s="10">
        <f t="shared" si="9"/>
        <v>-2.1257698085795917E-3</v>
      </c>
      <c r="J115" s="20">
        <f t="shared" si="7"/>
        <v>-4.4408920985006262E-16</v>
      </c>
      <c r="K115" s="10">
        <f t="shared" si="10"/>
        <v>-1.4392222614262096E-2</v>
      </c>
      <c r="L115" s="10">
        <f t="shared" si="11"/>
        <v>-8.6353335685571686E-3</v>
      </c>
    </row>
    <row r="116" spans="1:12" x14ac:dyDescent="0.2">
      <c r="A116" s="14">
        <v>5.0999999999999997E-2</v>
      </c>
      <c r="B116" s="10">
        <f t="shared" si="1"/>
        <v>-2.923583165885602</v>
      </c>
      <c r="C116" s="10">
        <f t="shared" si="2"/>
        <v>1.3126888414826352</v>
      </c>
      <c r="D116" s="10">
        <f t="shared" si="3"/>
        <v>1.9126317091909892</v>
      </c>
      <c r="E116" s="10">
        <f t="shared" si="4"/>
        <v>6.7708843705042563</v>
      </c>
      <c r="F116" s="10">
        <f t="shared" si="8"/>
        <v>-9.6555732847510178E-2</v>
      </c>
      <c r="G116" s="10">
        <f t="shared" si="5"/>
        <v>-0.26158834768627193</v>
      </c>
      <c r="H116" s="10">
        <f t="shared" si="6"/>
        <v>0.43497329731770484</v>
      </c>
      <c r="I116" s="10">
        <f t="shared" si="9"/>
        <v>-2.0891734518769245E-3</v>
      </c>
      <c r="J116" s="20">
        <f t="shared" si="7"/>
        <v>4.4408920985006262E-16</v>
      </c>
      <c r="K116" s="10">
        <f t="shared" si="10"/>
        <v>-1.4159708003883775E-2</v>
      </c>
      <c r="L116" s="10">
        <f t="shared" si="11"/>
        <v>-8.4958248023294658E-3</v>
      </c>
    </row>
    <row r="117" spans="1:12" x14ac:dyDescent="0.2">
      <c r="A117" s="14">
        <v>5.1999999999999998E-2</v>
      </c>
      <c r="B117" s="10">
        <f t="shared" si="1"/>
        <v>-2.9031107836735943</v>
      </c>
      <c r="C117" s="10">
        <f t="shared" si="2"/>
        <v>1.3005936310857702</v>
      </c>
      <c r="D117" s="10">
        <f t="shared" si="3"/>
        <v>1.8986967760456119</v>
      </c>
      <c r="E117" s="10">
        <f t="shared" si="4"/>
        <v>6.6771868996570474</v>
      </c>
      <c r="F117" s="10">
        <f t="shared" si="8"/>
        <v>-9.3697470847208919E-2</v>
      </c>
      <c r="G117" s="10">
        <f t="shared" si="5"/>
        <v>-0.26994930757349866</v>
      </c>
      <c r="H117" s="10">
        <f t="shared" si="6"/>
        <v>0.43291953999367128</v>
      </c>
      <c r="I117" s="10">
        <f t="shared" si="9"/>
        <v>-2.0537573240335671E-3</v>
      </c>
      <c r="J117" s="20">
        <f t="shared" si="7"/>
        <v>0</v>
      </c>
      <c r="K117" s="10">
        <f t="shared" si="10"/>
        <v>-1.3934933145377304E-2</v>
      </c>
      <c r="L117" s="10">
        <f t="shared" si="11"/>
        <v>-8.3609598872267377E-3</v>
      </c>
    </row>
    <row r="118" spans="1:12" x14ac:dyDescent="0.2">
      <c r="A118" s="14">
        <v>5.2999999999999999E-2</v>
      </c>
      <c r="B118" s="10">
        <f t="shared" si="1"/>
        <v>-2.8830071796339563</v>
      </c>
      <c r="C118" s="10">
        <f t="shared" si="2"/>
        <v>1.2887042092963785</v>
      </c>
      <c r="D118" s="10">
        <f t="shared" si="3"/>
        <v>1.884979300504297</v>
      </c>
      <c r="E118" s="10">
        <f t="shared" si="4"/>
        <v>6.5862181092106118</v>
      </c>
      <c r="F118" s="10">
        <f t="shared" si="8"/>
        <v>-9.0968790446435577E-2</v>
      </c>
      <c r="G118" s="10">
        <f t="shared" si="5"/>
        <v>-0.2781797928982872</v>
      </c>
      <c r="H118" s="10">
        <f t="shared" si="6"/>
        <v>0.43090008045568889</v>
      </c>
      <c r="I118" s="10">
        <f t="shared" si="9"/>
        <v>-2.0194595379823821E-3</v>
      </c>
      <c r="J118" s="20">
        <f t="shared" si="7"/>
        <v>4.4408920985006262E-16</v>
      </c>
      <c r="K118" s="10">
        <f t="shared" si="10"/>
        <v>-1.3717475541314972E-2</v>
      </c>
      <c r="L118" s="10">
        <f t="shared" si="11"/>
        <v>-8.230485324788539E-3</v>
      </c>
    </row>
    <row r="119" spans="1:12" x14ac:dyDescent="0.2">
      <c r="A119" s="14">
        <v>5.3999999999999999E-2</v>
      </c>
      <c r="B119" s="10">
        <f t="shared" si="1"/>
        <v>-2.8632585224876039</v>
      </c>
      <c r="C119" s="10">
        <f t="shared" si="2"/>
        <v>1.2770133010294713</v>
      </c>
      <c r="D119" s="10">
        <f t="shared" si="3"/>
        <v>1.8714723569792584</v>
      </c>
      <c r="E119" s="10">
        <f t="shared" si="4"/>
        <v>6.497856524004809</v>
      </c>
      <c r="F119" s="10">
        <f t="shared" si="8"/>
        <v>-8.8361585205802839E-2</v>
      </c>
      <c r="G119" s="10">
        <f t="shared" si="5"/>
        <v>-0.28628395901331105</v>
      </c>
      <c r="H119" s="10">
        <f t="shared" si="6"/>
        <v>0.42891385784022068</v>
      </c>
      <c r="I119" s="10">
        <f t="shared" si="9"/>
        <v>-1.9862226154682139E-3</v>
      </c>
      <c r="J119" s="20">
        <f t="shared" si="7"/>
        <v>0</v>
      </c>
      <c r="K119" s="10">
        <f t="shared" si="10"/>
        <v>-1.3506943525038562E-2</v>
      </c>
      <c r="L119" s="10">
        <f t="shared" si="11"/>
        <v>-8.1041661150238475E-3</v>
      </c>
    </row>
    <row r="120" spans="1:12" x14ac:dyDescent="0.2">
      <c r="A120" s="14">
        <v>5.5E-2</v>
      </c>
      <c r="B120" s="10">
        <f t="shared" si="1"/>
        <v>-2.8438517422612719</v>
      </c>
      <c r="C120" s="10">
        <f t="shared" si="2"/>
        <v>1.265514025306266</v>
      </c>
      <c r="D120" s="10">
        <f t="shared" si="3"/>
        <v>1.8581693835057234</v>
      </c>
      <c r="E120" s="10">
        <f t="shared" si="4"/>
        <v>6.4119881298499557</v>
      </c>
      <c r="F120" s="10">
        <f t="shared" si="8"/>
        <v>-8.5868394154853256E-2</v>
      </c>
      <c r="G120" s="10">
        <f t="shared" si="5"/>
        <v>-0.29426574309743181</v>
      </c>
      <c r="H120" s="10">
        <f t="shared" si="6"/>
        <v>0.42695986474496489</v>
      </c>
      <c r="I120" s="10">
        <f t="shared" si="9"/>
        <v>-1.9539930952557905E-3</v>
      </c>
      <c r="J120" s="20">
        <f t="shared" si="7"/>
        <v>0</v>
      </c>
      <c r="K120" s="10">
        <f t="shared" si="10"/>
        <v>-1.330297347353504E-2</v>
      </c>
      <c r="L120" s="10">
        <f t="shared" si="11"/>
        <v>-7.9817840841207577E-3</v>
      </c>
    </row>
    <row r="121" spans="1:12" x14ac:dyDescent="0.2">
      <c r="A121" s="14">
        <v>5.6000000000000001E-2</v>
      </c>
      <c r="B121" s="10">
        <f t="shared" si="1"/>
        <v>-2.8247744754103516</v>
      </c>
      <c r="C121" s="10">
        <f t="shared" si="2"/>
        <v>1.2541998670821961</v>
      </c>
      <c r="D121" s="10">
        <f t="shared" si="3"/>
        <v>1.8450641561870644</v>
      </c>
      <c r="E121" s="10">
        <f t="shared" si="4"/>
        <v>6.3285057901795447</v>
      </c>
      <c r="F121" s="10">
        <f t="shared" si="8"/>
        <v>-8.3482339670410965E-2</v>
      </c>
      <c r="G121" s="10">
        <f t="shared" si="5"/>
        <v>-0.30212887948862743</v>
      </c>
      <c r="H121" s="10">
        <f t="shared" si="6"/>
        <v>0.42503714356225869</v>
      </c>
      <c r="I121" s="10">
        <f t="shared" si="9"/>
        <v>-1.9227211827061996E-3</v>
      </c>
      <c r="J121" s="20">
        <f t="shared" si="7"/>
        <v>0</v>
      </c>
      <c r="K121" s="10">
        <f t="shared" si="10"/>
        <v>-1.310522731865893E-2</v>
      </c>
      <c r="L121" s="10">
        <f t="shared" si="11"/>
        <v>-7.8631363911956242E-3</v>
      </c>
    </row>
    <row r="122" spans="1:12" x14ac:dyDescent="0.2">
      <c r="A122" s="14">
        <v>5.7000000000000002E-2</v>
      </c>
      <c r="B122" s="10">
        <f t="shared" si="1"/>
        <v>-2.8060150147989074</v>
      </c>
      <c r="C122" s="10">
        <f t="shared" si="2"/>
        <v>1.2430646515559161</v>
      </c>
      <c r="D122" s="10">
        <f t="shared" si="3"/>
        <v>1.8321507658670613</v>
      </c>
      <c r="E122" s="10">
        <f t="shared" si="4"/>
        <v>6.2473087178485578</v>
      </c>
      <c r="F122" s="10">
        <f t="shared" si="8"/>
        <v>-8.1197072330986941E-2</v>
      </c>
      <c r="G122" s="10">
        <f t="shared" si="5"/>
        <v>-0.30987691368062942</v>
      </c>
      <c r="H122" s="10">
        <f t="shared" si="6"/>
        <v>0.42314478312658388</v>
      </c>
      <c r="I122" s="10">
        <f t="shared" si="9"/>
        <v>-1.8923604356748114E-3</v>
      </c>
      <c r="J122" s="20">
        <f t="shared" si="7"/>
        <v>0</v>
      </c>
      <c r="K122" s="10">
        <f t="shared" si="10"/>
        <v>-1.291339032000316E-2</v>
      </c>
      <c r="L122" s="10">
        <f t="shared" si="11"/>
        <v>-7.7480341920019846E-3</v>
      </c>
    </row>
    <row r="123" spans="1:12" x14ac:dyDescent="0.2">
      <c r="A123" s="14">
        <v>5.8000000000000003E-2</v>
      </c>
      <c r="B123" s="10">
        <f t="shared" si="1"/>
        <v>-2.7875622640299436</v>
      </c>
      <c r="C123" s="10">
        <f t="shared" si="2"/>
        <v>1.232102520701235</v>
      </c>
      <c r="D123" s="10">
        <f t="shared" si="3"/>
        <v>1.819423596799274</v>
      </c>
      <c r="E123" s="10">
        <f t="shared" si="4"/>
        <v>6.1683019959927821</v>
      </c>
      <c r="F123" s="10">
        <f t="shared" si="8"/>
        <v>-7.900672185577573E-2</v>
      </c>
      <c r="G123" s="10">
        <f t="shared" si="5"/>
        <v>-0.3175132151213016</v>
      </c>
      <c r="H123" s="10">
        <f t="shared" si="6"/>
        <v>0.42128191564417455</v>
      </c>
      <c r="I123" s="10">
        <f t="shared" si="9"/>
        <v>-1.862867482409325E-3</v>
      </c>
      <c r="J123" s="20">
        <f t="shared" si="7"/>
        <v>0</v>
      </c>
      <c r="K123" s="10">
        <f t="shared" si="10"/>
        <v>-1.2727169067787258E-2</v>
      </c>
      <c r="L123" s="10">
        <f t="shared" si="11"/>
        <v>-7.6363014406721774E-3</v>
      </c>
    </row>
    <row r="124" spans="1:12" x14ac:dyDescent="0.2">
      <c r="A124" s="14">
        <v>5.8999999999999997E-2</v>
      </c>
      <c r="B124" s="10">
        <f t="shared" si="1"/>
        <v>-2.7694056956796604</v>
      </c>
      <c r="C124" s="10">
        <f t="shared" si="2"/>
        <v>1.2213079117947303</v>
      </c>
      <c r="D124" s="10">
        <f t="shared" si="3"/>
        <v>1.8068773071108284</v>
      </c>
      <c r="E124" s="10">
        <f t="shared" si="4"/>
        <v>6.091396142628704</v>
      </c>
      <c r="F124" s="10">
        <f t="shared" si="8"/>
        <v>-7.6905853364078069E-2</v>
      </c>
      <c r="G124" s="10">
        <f t="shared" si="5"/>
        <v>-0.32504098893436861</v>
      </c>
      <c r="H124" s="10">
        <f t="shared" si="6"/>
        <v>0.41944771387649538</v>
      </c>
      <c r="I124" s="10">
        <f t="shared" si="9"/>
        <v>-1.8342017676791778E-3</v>
      </c>
      <c r="J124" s="20">
        <f t="shared" si="7"/>
        <v>0</v>
      </c>
      <c r="K124" s="10">
        <f t="shared" si="10"/>
        <v>-1.2546289688445622E-2</v>
      </c>
      <c r="L124" s="10">
        <f t="shared" si="11"/>
        <v>-7.527773813067018E-3</v>
      </c>
    </row>
    <row r="125" spans="1:12" x14ac:dyDescent="0.2">
      <c r="A125" s="14">
        <v>0.06</v>
      </c>
      <c r="B125" s="10">
        <f t="shared" si="1"/>
        <v>-2.7515353130419489</v>
      </c>
      <c r="C125" s="10">
        <f t="shared" si="2"/>
        <v>1.2106755377384575</v>
      </c>
      <c r="D125" s="10">
        <f t="shared" si="3"/>
        <v>1.7945068108815772</v>
      </c>
      <c r="E125" s="10">
        <f t="shared" si="4"/>
        <v>6.0165067143304887</v>
      </c>
      <c r="F125" s="10">
        <f t="shared" si="8"/>
        <v>-7.4889428298215321E-2</v>
      </c>
      <c r="G125" s="10">
        <f t="shared" si="5"/>
        <v>-0.33246328667191927</v>
      </c>
      <c r="H125" s="10">
        <f t="shared" si="6"/>
        <v>0.4176413885526068</v>
      </c>
      <c r="I125" s="10">
        <f t="shared" si="9"/>
        <v>-1.8063253238885801E-3</v>
      </c>
      <c r="J125" s="20">
        <f t="shared" si="7"/>
        <v>0</v>
      </c>
      <c r="K125" s="10">
        <f t="shared" si="10"/>
        <v>-1.2370496229251238E-2</v>
      </c>
      <c r="L125" s="10">
        <f t="shared" si="11"/>
        <v>-7.4222977375506538E-3</v>
      </c>
    </row>
    <row r="126" spans="1:12" x14ac:dyDescent="0.2">
      <c r="A126" s="14">
        <v>6.0999999999999999E-2</v>
      </c>
      <c r="B126" s="10">
        <f t="shared" si="1"/>
        <v>-2.7339416150349516</v>
      </c>
      <c r="C126" s="10">
        <f t="shared" si="2"/>
        <v>1.2002003690003438</v>
      </c>
      <c r="D126" s="10">
        <f t="shared" si="3"/>
        <v>1.7823072616801765</v>
      </c>
      <c r="E126" s="10">
        <f t="shared" si="4"/>
        <v>5.943553944886963</v>
      </c>
      <c r="F126" s="10">
        <f t="shared" si="8"/>
        <v>-7.2952769443525689E-2</v>
      </c>
      <c r="G126" s="10">
        <f t="shared" si="5"/>
        <v>-0.33978301619276019</v>
      </c>
      <c r="H126" s="10">
        <f t="shared" si="6"/>
        <v>0.4158621859882754</v>
      </c>
      <c r="I126" s="10">
        <f t="shared" si="9"/>
        <v>-1.7792025643313947E-3</v>
      </c>
      <c r="J126" s="20">
        <f t="shared" si="7"/>
        <v>0</v>
      </c>
      <c r="K126" s="10">
        <f t="shared" si="10"/>
        <v>-1.219954920140065E-2</v>
      </c>
      <c r="L126" s="10">
        <f t="shared" si="11"/>
        <v>-7.319729520840923E-3</v>
      </c>
    </row>
    <row r="127" spans="1:12" x14ac:dyDescent="0.2">
      <c r="A127" s="14">
        <v>6.2E-2</v>
      </c>
      <c r="B127" s="10">
        <f t="shared" si="1"/>
        <v>-2.7166155639611329</v>
      </c>
      <c r="C127" s="10">
        <f t="shared" si="2"/>
        <v>1.1898776170149763</v>
      </c>
      <c r="D127" s="10">
        <f t="shared" si="3"/>
        <v>1.7702740374164883</v>
      </c>
      <c r="E127" s="10">
        <f t="shared" si="4"/>
        <v>5.8724624153307596</v>
      </c>
      <c r="F127" s="10">
        <f t="shared" si="8"/>
        <v>-7.1091529556203348E-2</v>
      </c>
      <c r="G127" s="10">
        <f t="shared" si="5"/>
        <v>-0.34700295075097287</v>
      </c>
      <c r="H127" s="10">
        <f t="shared" si="6"/>
        <v>0.41410938589215424</v>
      </c>
      <c r="I127" s="10">
        <f t="shared" si="9"/>
        <v>-1.7528000961211654E-3</v>
      </c>
      <c r="J127" s="20">
        <f t="shared" si="7"/>
        <v>0</v>
      </c>
      <c r="K127" s="10">
        <f t="shared" si="10"/>
        <v>-1.2033224263688247E-2</v>
      </c>
      <c r="L127" s="10">
        <f t="shared" si="11"/>
        <v>-7.2199345582126817E-3</v>
      </c>
    </row>
    <row r="128" spans="1:12" x14ac:dyDescent="0.2">
      <c r="A128" s="14">
        <v>6.3E-2</v>
      </c>
      <c r="B128" s="10">
        <f t="shared" si="1"/>
        <v>-2.6995485558468895</v>
      </c>
      <c r="C128" s="10">
        <f t="shared" si="2"/>
        <v>1.1797027189050906</v>
      </c>
      <c r="D128" s="10">
        <f t="shared" si="3"/>
        <v>1.7584027263853708</v>
      </c>
      <c r="E128" s="10">
        <f t="shared" si="4"/>
        <v>5.8031607521560495</v>
      </c>
      <c r="F128" s="10">
        <f t="shared" si="8"/>
        <v>-6.9301663174710093E-2</v>
      </c>
      <c r="G128" s="10">
        <f t="shared" si="5"/>
        <v>-0.35412573736964292</v>
      </c>
      <c r="H128" s="10">
        <f t="shared" si="6"/>
        <v>0.41238229934152032</v>
      </c>
      <c r="I128" s="10">
        <f t="shared" si="9"/>
        <v>-1.7270865506339161E-3</v>
      </c>
      <c r="J128" s="20">
        <f t="shared" si="7"/>
        <v>4.4408920985006262E-16</v>
      </c>
      <c r="K128" s="10">
        <f t="shared" si="10"/>
        <v>-1.1871311031117493E-2</v>
      </c>
      <c r="L128" s="10">
        <f t="shared" si="11"/>
        <v>-7.1227866186700517E-3</v>
      </c>
    </row>
    <row r="129" spans="1:12" x14ac:dyDescent="0.2">
      <c r="A129" s="14">
        <v>6.4000000000000001E-2</v>
      </c>
      <c r="B129" s="10">
        <f t="shared" si="1"/>
        <v>-2.6827323931179201</v>
      </c>
      <c r="C129" s="10">
        <f t="shared" si="2"/>
        <v>1.1696713233994132</v>
      </c>
      <c r="D129" s="10">
        <f t="shared" si="3"/>
        <v>1.7466891143905561</v>
      </c>
      <c r="E129" s="10">
        <f t="shared" si="4"/>
        <v>5.7355813509093618</v>
      </c>
      <c r="F129" s="10">
        <f t="shared" si="8"/>
        <v>-6.7579401246687709E-2</v>
      </c>
      <c r="G129" s="10">
        <f t="shared" si="5"/>
        <v>-0.3611539045665324</v>
      </c>
      <c r="H129" s="10">
        <f t="shared" si="6"/>
        <v>0.41068026691194937</v>
      </c>
      <c r="I129" s="10">
        <f t="shared" si="9"/>
        <v>-1.7020324295709544E-3</v>
      </c>
      <c r="J129" s="20">
        <f t="shared" si="7"/>
        <v>0</v>
      </c>
      <c r="K129" s="10">
        <f t="shared" si="10"/>
        <v>-1.1713611994814688E-2</v>
      </c>
      <c r="L129" s="10">
        <f t="shared" si="11"/>
        <v>-7.0281671968894788E-3</v>
      </c>
    </row>
    <row r="130" spans="1:12" x14ac:dyDescent="0.2">
      <c r="A130" s="14">
        <v>6.5000000000000002E-2</v>
      </c>
      <c r="B130" s="10">
        <f t="shared" ref="B130:B193" si="12">LN(A130/(1-A130))</f>
        <v>-2.6661592593930501</v>
      </c>
      <c r="C130" s="10">
        <f t="shared" ref="C130:C193" si="13">(A130-0.5)*B130</f>
        <v>1.1597792778359768</v>
      </c>
      <c r="D130" s="10">
        <f t="shared" ref="D130:D193" si="14">$B$45+$B$46*B130+$B$47*C130</f>
        <v>1.735129172849295</v>
      </c>
      <c r="E130" s="10">
        <f t="shared" ref="E130:E193" si="15">$B$14+EXP(D130)</f>
        <v>5.6696601226586836</v>
      </c>
      <c r="F130" s="10">
        <f t="shared" si="8"/>
        <v>-6.5921228250678254E-2</v>
      </c>
      <c r="G130" s="10">
        <f t="shared" ref="G130:G193" si="16">$C$45+$C$46*B130+$C$47*C130</f>
        <v>-0.36808986949128863</v>
      </c>
      <c r="H130" s="10">
        <f t="shared" ref="H130:H193" si="17">$C$14+($C$15-$C$14)/(1+EXP(-G130))</f>
        <v>0.40900265694696752</v>
      </c>
      <c r="I130" s="10">
        <f t="shared" si="9"/>
        <v>-1.677609964981841E-3</v>
      </c>
      <c r="J130" s="20">
        <f t="shared" ref="J130:J193" si="18">G130-($B$22+$B$21*D130)</f>
        <v>0</v>
      </c>
      <c r="K130" s="10">
        <f t="shared" si="10"/>
        <v>-1.1559941541261054E-2</v>
      </c>
      <c r="L130" s="10">
        <f t="shared" si="11"/>
        <v>-6.9359649247562327E-3</v>
      </c>
    </row>
    <row r="131" spans="1:12" x14ac:dyDescent="0.2">
      <c r="A131" s="14">
        <v>6.6000000000000003E-2</v>
      </c>
      <c r="B131" s="10">
        <f t="shared" si="12"/>
        <v>-2.6498216962024168</v>
      </c>
      <c r="C131" s="10">
        <f t="shared" si="13"/>
        <v>1.150022616151849</v>
      </c>
      <c r="D131" s="10">
        <f t="shared" si="14"/>
        <v>1.723719047789015</v>
      </c>
      <c r="E131" s="10">
        <f t="shared" si="15"/>
        <v>5.6053362611259825</v>
      </c>
      <c r="F131" s="10">
        <f t="shared" ref="F131:F194" si="19">E131-E130</f>
        <v>-6.4323861532701088E-2</v>
      </c>
      <c r="G131" s="10">
        <f t="shared" si="16"/>
        <v>-0.37493594452745693</v>
      </c>
      <c r="H131" s="10">
        <f t="shared" si="17"/>
        <v>0.40734886395518349</v>
      </c>
      <c r="I131" s="10">
        <f t="shared" ref="I131:I194" si="20">H131-H130</f>
        <v>-1.6537929917840311E-3</v>
      </c>
      <c r="J131" s="20">
        <f t="shared" si="18"/>
        <v>0</v>
      </c>
      <c r="K131" s="10">
        <f t="shared" ref="K131:K194" si="21">D131-D130</f>
        <v>-1.1410125060280052E-2</v>
      </c>
      <c r="L131" s="10">
        <f t="shared" ref="L131:L194" si="22">G131-G130</f>
        <v>-6.8460750361682976E-3</v>
      </c>
    </row>
    <row r="132" spans="1:12" x14ac:dyDescent="0.2">
      <c r="A132" s="14">
        <v>6.7000000000000004E-2</v>
      </c>
      <c r="B132" s="10">
        <f t="shared" si="12"/>
        <v>-2.6337125814563778</v>
      </c>
      <c r="C132" s="10">
        <f t="shared" si="13"/>
        <v>1.1403975477706116</v>
      </c>
      <c r="D132" s="10">
        <f t="shared" si="14"/>
        <v>1.7124550496564312</v>
      </c>
      <c r="E132" s="10">
        <f t="shared" si="15"/>
        <v>5.5425520285125538</v>
      </c>
      <c r="F132" s="10">
        <f t="shared" si="19"/>
        <v>-6.2784232613428692E-2</v>
      </c>
      <c r="G132" s="10">
        <f t="shared" si="16"/>
        <v>-0.38169434340700681</v>
      </c>
      <c r="H132" s="10">
        <f t="shared" si="17"/>
        <v>0.40571830712369478</v>
      </c>
      <c r="I132" s="10">
        <f t="shared" si="20"/>
        <v>-1.6305568314887164E-3</v>
      </c>
      <c r="J132" s="20">
        <f t="shared" si="18"/>
        <v>0</v>
      </c>
      <c r="K132" s="10">
        <f t="shared" si="21"/>
        <v>-1.1263998132583719E-2</v>
      </c>
      <c r="L132" s="10">
        <f t="shared" si="22"/>
        <v>-6.7583988795498762E-3</v>
      </c>
    </row>
    <row r="133" spans="1:12" x14ac:dyDescent="0.2">
      <c r="A133" s="14">
        <v>6.8000000000000005E-2</v>
      </c>
      <c r="B133" s="10">
        <f t="shared" si="12"/>
        <v>-2.6178251095094844</v>
      </c>
      <c r="C133" s="10">
        <f t="shared" si="13"/>
        <v>1.1309004473080972</v>
      </c>
      <c r="D133" s="10">
        <f t="shared" si="14"/>
        <v>1.7013336438678026</v>
      </c>
      <c r="E133" s="10">
        <f t="shared" si="15"/>
        <v>5.4812525582613754</v>
      </c>
      <c r="F133" s="10">
        <f t="shared" si="19"/>
        <v>-6.1299470251178434E-2</v>
      </c>
      <c r="G133" s="10">
        <f t="shared" si="16"/>
        <v>-0.38836718688018412</v>
      </c>
      <c r="H133" s="10">
        <f t="shared" si="17"/>
        <v>0.40411042893769572</v>
      </c>
      <c r="I133" s="10">
        <f t="shared" si="20"/>
        <v>-1.6078781859990565E-3</v>
      </c>
      <c r="J133" s="20">
        <f t="shared" si="18"/>
        <v>0</v>
      </c>
      <c r="K133" s="10">
        <f t="shared" si="21"/>
        <v>-1.1121405788628635E-2</v>
      </c>
      <c r="L133" s="10">
        <f t="shared" si="22"/>
        <v>-6.6728434731773145E-3</v>
      </c>
    </row>
    <row r="134" spans="1:12" x14ac:dyDescent="0.2">
      <c r="A134" s="14">
        <v>6.9000000000000006E-2</v>
      </c>
      <c r="B134" s="10">
        <f t="shared" si="12"/>
        <v>-2.6021527726798075</v>
      </c>
      <c r="C134" s="10">
        <f t="shared" si="13"/>
        <v>1.121527845024997</v>
      </c>
      <c r="D134" s="10">
        <f t="shared" si="14"/>
        <v>1.6903514420361945</v>
      </c>
      <c r="E134" s="10">
        <f t="shared" si="15"/>
        <v>5.4213856731886532</v>
      </c>
      <c r="F134" s="10">
        <f t="shared" si="19"/>
        <v>-5.9866885072722198E-2</v>
      </c>
      <c r="G134" s="10">
        <f t="shared" si="16"/>
        <v>-0.39495650797914905</v>
      </c>
      <c r="H134" s="10">
        <f t="shared" si="17"/>
        <v>0.40252469389722989</v>
      </c>
      <c r="I134" s="10">
        <f t="shared" si="20"/>
        <v>-1.5857350404658299E-3</v>
      </c>
      <c r="J134" s="20">
        <f t="shared" si="18"/>
        <v>0</v>
      </c>
      <c r="K134" s="10">
        <f t="shared" si="21"/>
        <v>-1.098220183160814E-2</v>
      </c>
      <c r="L134" s="10">
        <f t="shared" si="22"/>
        <v>-6.5893210989649287E-3</v>
      </c>
    </row>
    <row r="135" spans="1:12" x14ac:dyDescent="0.2">
      <c r="A135" s="14">
        <v>7.0000000000000007E-2</v>
      </c>
      <c r="B135" s="10">
        <f t="shared" si="12"/>
        <v>-2.5866893440979424</v>
      </c>
      <c r="C135" s="10">
        <f t="shared" si="13"/>
        <v>1.1122764179621152</v>
      </c>
      <c r="D135" s="10">
        <f t="shared" si="14"/>
        <v>1.6795051938180419</v>
      </c>
      <c r="E135" s="10">
        <f t="shared" si="15"/>
        <v>5.3629017175825053</v>
      </c>
      <c r="F135" s="10">
        <f t="shared" si="19"/>
        <v>-5.8483955606147831E-2</v>
      </c>
      <c r="G135" s="10">
        <f t="shared" si="16"/>
        <v>-0.4014642569100404</v>
      </c>
      <c r="H135" s="10">
        <f t="shared" si="17"/>
        <v>0.40096058732291601</v>
      </c>
      <c r="I135" s="10">
        <f t="shared" si="20"/>
        <v>-1.5641065743138838E-3</v>
      </c>
      <c r="J135" s="20">
        <f t="shared" si="18"/>
        <v>4.4408920985006262E-16</v>
      </c>
      <c r="K135" s="10">
        <f t="shared" si="21"/>
        <v>-1.084624821815261E-2</v>
      </c>
      <c r="L135" s="10">
        <f t="shared" si="22"/>
        <v>-6.5077489308913439E-3</v>
      </c>
    </row>
    <row r="136" spans="1:12" x14ac:dyDescent="0.2">
      <c r="A136" s="14">
        <v>7.0999999999999994E-2</v>
      </c>
      <c r="B136" s="10">
        <f t="shared" si="12"/>
        <v>-2.5714288617725232</v>
      </c>
      <c r="C136" s="10">
        <f t="shared" si="13"/>
        <v>1.1031429817004124</v>
      </c>
      <c r="D136" s="10">
        <f t="shared" si="14"/>
        <v>1.6687917793269755</v>
      </c>
      <c r="E136" s="10">
        <f t="shared" si="15"/>
        <v>5.3057534020127717</v>
      </c>
      <c r="F136" s="10">
        <f t="shared" si="19"/>
        <v>-5.7148315569733654E-2</v>
      </c>
      <c r="G136" s="10">
        <f t="shared" si="16"/>
        <v>-0.40789230560468059</v>
      </c>
      <c r="H136" s="10">
        <f t="shared" si="17"/>
        <v>0.39941761424327799</v>
      </c>
      <c r="I136" s="10">
        <f t="shared" si="20"/>
        <v>-1.5429730796380214E-3</v>
      </c>
      <c r="J136" s="20">
        <f t="shared" si="18"/>
        <v>0</v>
      </c>
      <c r="K136" s="10">
        <f t="shared" si="21"/>
        <v>-1.0713414491066331E-2</v>
      </c>
      <c r="L136" s="10">
        <f t="shared" si="22"/>
        <v>-6.4280486946401982E-3</v>
      </c>
    </row>
    <row r="137" spans="1:12" x14ac:dyDescent="0.2">
      <c r="A137" s="14">
        <v>7.1999999999999995E-2</v>
      </c>
      <c r="B137" s="10">
        <f t="shared" si="12"/>
        <v>-2.5563656137701454</v>
      </c>
      <c r="C137" s="10">
        <f t="shared" si="13"/>
        <v>1.0941244826936223</v>
      </c>
      <c r="D137" s="10">
        <f t="shared" si="14"/>
        <v>1.6582082020679172</v>
      </c>
      <c r="E137" s="10">
        <f t="shared" si="15"/>
        <v>5.2498956597248814</v>
      </c>
      <c r="F137" s="10">
        <f t="shared" si="19"/>
        <v>-5.5857742287890311E-2</v>
      </c>
      <c r="G137" s="10">
        <f t="shared" si="16"/>
        <v>-0.41424245196011555</v>
      </c>
      <c r="H137" s="10">
        <f t="shared" si="17"/>
        <v>0.3978952983570111</v>
      </c>
      <c r="I137" s="10">
        <f t="shared" si="20"/>
        <v>-1.5223158862668895E-3</v>
      </c>
      <c r="J137" s="20">
        <f t="shared" si="18"/>
        <v>0</v>
      </c>
      <c r="K137" s="10">
        <f t="shared" si="21"/>
        <v>-1.0583577259058341E-2</v>
      </c>
      <c r="L137" s="10">
        <f t="shared" si="22"/>
        <v>-6.3501463554349602E-3</v>
      </c>
    </row>
    <row r="138" spans="1:12" x14ac:dyDescent="0.2">
      <c r="A138" s="14">
        <v>7.2999999999999995E-2</v>
      </c>
      <c r="B138" s="10">
        <f t="shared" si="12"/>
        <v>-2.541494124417464</v>
      </c>
      <c r="C138" s="10">
        <f t="shared" si="13"/>
        <v>1.0852179911262572</v>
      </c>
      <c r="D138" s="10">
        <f t="shared" si="14"/>
        <v>1.647751582348957</v>
      </c>
      <c r="E138" s="10">
        <f t="shared" si="15"/>
        <v>5.1952855136049232</v>
      </c>
      <c r="F138" s="10">
        <f t="shared" si="19"/>
        <v>-5.4610146119958181E-2</v>
      </c>
      <c r="G138" s="10">
        <f t="shared" si="16"/>
        <v>-0.42051642379149157</v>
      </c>
      <c r="H138" s="10">
        <f t="shared" si="17"/>
        <v>0.3963931810641485</v>
      </c>
      <c r="I138" s="10">
        <f t="shared" si="20"/>
        <v>-1.5021172928625925E-3</v>
      </c>
      <c r="J138" s="20">
        <f t="shared" si="18"/>
        <v>0</v>
      </c>
      <c r="K138" s="10">
        <f t="shared" si="21"/>
        <v>-1.045661971896017E-2</v>
      </c>
      <c r="L138" s="10">
        <f t="shared" si="22"/>
        <v>-6.2739718313760129E-3</v>
      </c>
    </row>
    <row r="139" spans="1:12" x14ac:dyDescent="0.2">
      <c r="A139" s="14">
        <v>7.3999999999999996E-2</v>
      </c>
      <c r="B139" s="10">
        <f t="shared" si="12"/>
        <v>-2.5268091414420097</v>
      </c>
      <c r="C139" s="10">
        <f t="shared" si="13"/>
        <v>1.0764206942542962</v>
      </c>
      <c r="D139" s="10">
        <f t="shared" si="14"/>
        <v>1.6374191511325256</v>
      </c>
      <c r="E139" s="10">
        <f t="shared" si="15"/>
        <v>5.141881952804205</v>
      </c>
      <c r="F139" s="10">
        <f t="shared" si="19"/>
        <v>-5.3403560800718175E-2</v>
      </c>
      <c r="G139" s="10">
        <f t="shared" si="16"/>
        <v>-0.4267158825213504</v>
      </c>
      <c r="H139" s="10">
        <f t="shared" si="17"/>
        <v>0.39491082056065624</v>
      </c>
      <c r="I139" s="10">
        <f t="shared" si="20"/>
        <v>-1.4823605034922638E-3</v>
      </c>
      <c r="J139" s="20">
        <f t="shared" si="18"/>
        <v>0</v>
      </c>
      <c r="K139" s="10">
        <f t="shared" si="21"/>
        <v>-1.0332431216431459E-2</v>
      </c>
      <c r="L139" s="10">
        <f t="shared" si="22"/>
        <v>-6.1994587298588311E-3</v>
      </c>
    </row>
    <row r="140" spans="1:12" x14ac:dyDescent="0.2">
      <c r="A140" s="14">
        <v>7.4999999999999997E-2</v>
      </c>
      <c r="B140" s="10">
        <f t="shared" si="12"/>
        <v>-2.5123056239761148</v>
      </c>
      <c r="C140" s="10">
        <f t="shared" si="13"/>
        <v>1.0677298901898487</v>
      </c>
      <c r="D140" s="10">
        <f t="shared" si="14"/>
        <v>1.6272082442909497</v>
      </c>
      <c r="E140" s="10">
        <f t="shared" si="15"/>
        <v>5.0896458182013964</v>
      </c>
      <c r="F140" s="10">
        <f t="shared" si="19"/>
        <v>-5.2236134602808626E-2</v>
      </c>
      <c r="G140" s="10">
        <f t="shared" si="16"/>
        <v>-0.4328424266262958</v>
      </c>
      <c r="H140" s="10">
        <f t="shared" si="17"/>
        <v>0.39344779099148602</v>
      </c>
      <c r="I140" s="10">
        <f t="shared" si="20"/>
        <v>-1.4630295691702155E-3</v>
      </c>
      <c r="J140" s="20">
        <f t="shared" si="18"/>
        <v>0</v>
      </c>
      <c r="K140" s="10">
        <f t="shared" si="21"/>
        <v>-1.0210906841575884E-2</v>
      </c>
      <c r="L140" s="10">
        <f t="shared" si="22"/>
        <v>-6.1265441049453973E-3</v>
      </c>
    </row>
    <row r="141" spans="1:12" x14ac:dyDescent="0.2">
      <c r="A141" s="14">
        <v>7.5999999999999998E-2</v>
      </c>
      <c r="B141" s="10">
        <f t="shared" si="12"/>
        <v>-2.497978731355353</v>
      </c>
      <c r="C141" s="10">
        <f t="shared" si="13"/>
        <v>1.0591429820946696</v>
      </c>
      <c r="D141" s="10">
        <f t="shared" si="14"/>
        <v>1.6171162972347068</v>
      </c>
      <c r="E141" s="10">
        <f t="shared" si="15"/>
        <v>5.0385396959604165</v>
      </c>
      <c r="F141" s="10">
        <f t="shared" si="19"/>
        <v>-5.1106122240979879E-2</v>
      </c>
      <c r="G141" s="10">
        <f t="shared" si="16"/>
        <v>-0.43889759486004176</v>
      </c>
      <c r="H141" s="10">
        <f t="shared" si="17"/>
        <v>0.39200368165756788</v>
      </c>
      <c r="I141" s="10">
        <f t="shared" si="20"/>
        <v>-1.4441093339181421E-3</v>
      </c>
      <c r="J141" s="20">
        <f t="shared" si="18"/>
        <v>0</v>
      </c>
      <c r="K141" s="10">
        <f t="shared" si="21"/>
        <v>-1.0091947056242834E-2</v>
      </c>
      <c r="L141" s="10">
        <f t="shared" si="22"/>
        <v>-6.0551682337459667E-3</v>
      </c>
    </row>
    <row r="142" spans="1:12" x14ac:dyDescent="0.2">
      <c r="A142" s="14">
        <v>7.6999999999999999E-2</v>
      </c>
      <c r="B142" s="10">
        <f t="shared" si="12"/>
        <v>-2.4838238126491685</v>
      </c>
      <c r="C142" s="10">
        <f t="shared" si="13"/>
        <v>1.0506574727505982</v>
      </c>
      <c r="D142" s="10">
        <f t="shared" si="14"/>
        <v>1.6071408398845364</v>
      </c>
      <c r="E142" s="10">
        <f t="shared" si="15"/>
        <v>4.988527818513222</v>
      </c>
      <c r="F142" s="10">
        <f t="shared" si="19"/>
        <v>-5.0011877447194486E-2</v>
      </c>
      <c r="G142" s="10">
        <f t="shared" si="16"/>
        <v>-0.44488286927014364</v>
      </c>
      <c r="H142" s="10">
        <f t="shared" si="17"/>
        <v>0.39057809627262824</v>
      </c>
      <c r="I142" s="10">
        <f t="shared" si="20"/>
        <v>-1.4255853849396427E-3</v>
      </c>
      <c r="J142" s="20">
        <f t="shared" si="18"/>
        <v>4.4408920985006262E-16</v>
      </c>
      <c r="K142" s="10">
        <f t="shared" si="21"/>
        <v>-9.9754573501704691E-3</v>
      </c>
      <c r="L142" s="10">
        <f t="shared" si="22"/>
        <v>-5.9852744101018818E-3</v>
      </c>
    </row>
    <row r="143" spans="1:12" x14ac:dyDescent="0.2">
      <c r="A143" s="14">
        <v>7.8E-2</v>
      </c>
      <c r="B143" s="10">
        <f t="shared" si="12"/>
        <v>-2.4698363968670023</v>
      </c>
      <c r="C143" s="10">
        <f t="shared" si="13"/>
        <v>1.042270959477875</v>
      </c>
      <c r="D143" s="10">
        <f t="shared" si="14"/>
        <v>1.597279491961173</v>
      </c>
      <c r="E143" s="10">
        <f t="shared" si="15"/>
        <v>4.9395759723603945</v>
      </c>
      <c r="F143" s="10">
        <f t="shared" si="19"/>
        <v>-4.8951846152827549E-2</v>
      </c>
      <c r="G143" s="10">
        <f t="shared" si="16"/>
        <v>-0.45079967802416188</v>
      </c>
      <c r="H143" s="10">
        <f t="shared" si="17"/>
        <v>0.38917065226608305</v>
      </c>
      <c r="I143" s="10">
        <f t="shared" si="20"/>
        <v>-1.4074440065451888E-3</v>
      </c>
      <c r="J143" s="20">
        <f t="shared" si="18"/>
        <v>0</v>
      </c>
      <c r="K143" s="10">
        <f t="shared" si="21"/>
        <v>-9.8613479233633505E-3</v>
      </c>
      <c r="L143" s="10">
        <f t="shared" si="22"/>
        <v>-5.9168087540182324E-3</v>
      </c>
    </row>
    <row r="144" spans="1:12" x14ac:dyDescent="0.2">
      <c r="A144" s="14">
        <v>7.9000000000000001E-2</v>
      </c>
      <c r="B144" s="10">
        <f t="shared" si="12"/>
        <v>-2.4560121837882853</v>
      </c>
      <c r="C144" s="10">
        <f t="shared" si="13"/>
        <v>1.0339811293748682</v>
      </c>
      <c r="D144" s="10">
        <f t="shared" si="14"/>
        <v>1.5875299585687555</v>
      </c>
      <c r="E144" s="10">
        <f t="shared" si="15"/>
        <v>4.8916514121390176</v>
      </c>
      <c r="F144" s="10">
        <f t="shared" si="19"/>
        <v>-4.7924560221376922E-2</v>
      </c>
      <c r="G144" s="10">
        <f t="shared" si="16"/>
        <v>-0.45664939805961269</v>
      </c>
      <c r="H144" s="10">
        <f t="shared" si="17"/>
        <v>0.3877809801285837</v>
      </c>
      <c r="I144" s="10">
        <f t="shared" si="20"/>
        <v>-1.3896721374993537E-3</v>
      </c>
      <c r="J144" s="20">
        <f t="shared" si="18"/>
        <v>0</v>
      </c>
      <c r="K144" s="10">
        <f t="shared" si="21"/>
        <v>-9.7495333924175753E-3</v>
      </c>
      <c r="L144" s="10">
        <f t="shared" si="22"/>
        <v>-5.8497200354508117E-3</v>
      </c>
    </row>
    <row r="145" spans="1:12" x14ac:dyDescent="0.2">
      <c r="A145" s="14">
        <v>0.08</v>
      </c>
      <c r="B145" s="10">
        <f t="shared" si="12"/>
        <v>-2.4423470353692043</v>
      </c>
      <c r="C145" s="10">
        <f t="shared" si="13"/>
        <v>1.0257857548550657</v>
      </c>
      <c r="D145" s="10">
        <f t="shared" si="14"/>
        <v>1.5778900260500786</v>
      </c>
      <c r="E145" s="10">
        <f t="shared" si="15"/>
        <v>4.8447227804583344</v>
      </c>
      <c r="F145" s="10">
        <f t="shared" si="19"/>
        <v>-4.6928631680683175E-2</v>
      </c>
      <c r="G145" s="10">
        <f t="shared" si="16"/>
        <v>-0.4624333575708186</v>
      </c>
      <c r="H145" s="10">
        <f t="shared" si="17"/>
        <v>0.38640872279708594</v>
      </c>
      <c r="I145" s="10">
        <f t="shared" si="20"/>
        <v>-1.3722573314977615E-3</v>
      </c>
      <c r="J145" s="20">
        <f t="shared" si="18"/>
        <v>0</v>
      </c>
      <c r="K145" s="10">
        <f t="shared" si="21"/>
        <v>-9.6399325186768969E-3</v>
      </c>
      <c r="L145" s="10">
        <f t="shared" si="22"/>
        <v>-5.7839595112059161E-3</v>
      </c>
    </row>
    <row r="146" spans="1:12" x14ac:dyDescent="0.2">
      <c r="A146" s="14">
        <v>8.1000000000000003E-2</v>
      </c>
      <c r="B146" s="10">
        <f t="shared" si="12"/>
        <v>-2.4288369676832482</v>
      </c>
      <c r="C146" s="10">
        <f t="shared" si="13"/>
        <v>1.017682689459281</v>
      </c>
      <c r="D146" s="10">
        <f t="shared" si="14"/>
        <v>1.5683575580937132</v>
      </c>
      <c r="E146" s="10">
        <f t="shared" si="15"/>
        <v>4.7987600330490832</v>
      </c>
      <c r="F146" s="10">
        <f t="shared" si="19"/>
        <v>-4.5962747409251214E-2</v>
      </c>
      <c r="G146" s="10">
        <f t="shared" si="16"/>
        <v>-0.46815283834463761</v>
      </c>
      <c r="H146" s="10">
        <f t="shared" si="17"/>
        <v>0.38505353507658113</v>
      </c>
      <c r="I146" s="10">
        <f t="shared" si="20"/>
        <v>-1.3551877205048024E-3</v>
      </c>
      <c r="J146" s="20">
        <f t="shared" si="18"/>
        <v>0</v>
      </c>
      <c r="K146" s="10">
        <f t="shared" si="21"/>
        <v>-9.5324679563653092E-3</v>
      </c>
      <c r="L146" s="10">
        <f t="shared" si="22"/>
        <v>-5.7194807738190079E-3</v>
      </c>
    </row>
    <row r="147" spans="1:12" x14ac:dyDescent="0.2">
      <c r="A147" s="14">
        <v>8.2000000000000003E-2</v>
      </c>
      <c r="B147" s="10">
        <f t="shared" si="12"/>
        <v>-2.4154781433562373</v>
      </c>
      <c r="C147" s="10">
        <f t="shared" si="13"/>
        <v>1.0096698639229071</v>
      </c>
      <c r="D147" s="10">
        <f t="shared" si="14"/>
        <v>1.558930492074722</v>
      </c>
      <c r="E147" s="10">
        <f t="shared" si="15"/>
        <v>4.7537343688133538</v>
      </c>
      <c r="F147" s="10">
        <f t="shared" si="19"/>
        <v>-4.5025664235729401E-2</v>
      </c>
      <c r="G147" s="10">
        <f t="shared" si="16"/>
        <v>-0.47380907795603244</v>
      </c>
      <c r="H147" s="10">
        <f t="shared" si="17"/>
        <v>0.38371508309586577</v>
      </c>
      <c r="I147" s="10">
        <f t="shared" si="20"/>
        <v>-1.3384519807153605E-3</v>
      </c>
      <c r="J147" s="20">
        <f t="shared" si="18"/>
        <v>0</v>
      </c>
      <c r="K147" s="10">
        <f t="shared" si="21"/>
        <v>-9.427066018991237E-3</v>
      </c>
      <c r="L147" s="10">
        <f t="shared" si="22"/>
        <v>-5.656239611394831E-3</v>
      </c>
    </row>
    <row r="148" spans="1:12" x14ac:dyDescent="0.2">
      <c r="A148" s="14">
        <v>8.3000000000000004E-2</v>
      </c>
      <c r="B148" s="10">
        <f t="shared" si="12"/>
        <v>-2.4022668644598668</v>
      </c>
      <c r="C148" s="10">
        <f t="shared" si="13"/>
        <v>1.0017452824797644</v>
      </c>
      <c r="D148" s="10">
        <f t="shared" si="14"/>
        <v>1.5496068356122468</v>
      </c>
      <c r="E148" s="10">
        <f t="shared" si="15"/>
        <v>4.7096181643986412</v>
      </c>
      <c r="F148" s="10">
        <f t="shared" si="19"/>
        <v>-4.4116204414712534E-2</v>
      </c>
      <c r="G148" s="10">
        <f t="shared" si="16"/>
        <v>-0.47940327183351772</v>
      </c>
      <c r="H148" s="10">
        <f t="shared" si="17"/>
        <v>0.38239304379494893</v>
      </c>
      <c r="I148" s="10">
        <f t="shared" si="20"/>
        <v>-1.3220393009168441E-3</v>
      </c>
      <c r="J148" s="20">
        <f t="shared" si="18"/>
        <v>0</v>
      </c>
      <c r="K148" s="10">
        <f t="shared" si="21"/>
        <v>-9.3236564624752383E-3</v>
      </c>
      <c r="L148" s="10">
        <f t="shared" si="22"/>
        <v>-5.5941938774852762E-3</v>
      </c>
    </row>
    <row r="149" spans="1:12" x14ac:dyDescent="0.2">
      <c r="A149" s="14">
        <v>8.4000000000000005E-2</v>
      </c>
      <c r="B149" s="10">
        <f t="shared" si="12"/>
        <v>-2.3891995658308165</v>
      </c>
      <c r="C149" s="10">
        <f t="shared" si="13"/>
        <v>0.99390701938561965</v>
      </c>
      <c r="D149" s="10">
        <f t="shared" si="14"/>
        <v>1.5403846633286102</v>
      </c>
      <c r="E149" s="10">
        <f t="shared" si="15"/>
        <v>4.6663849129527142</v>
      </c>
      <c r="F149" s="10">
        <f t="shared" si="19"/>
        <v>-4.3233251445927046E-2</v>
      </c>
      <c r="G149" s="10">
        <f t="shared" si="16"/>
        <v>-0.48493657520369959</v>
      </c>
      <c r="H149" s="10">
        <f t="shared" si="17"/>
        <v>0.38108710444188559</v>
      </c>
      <c r="I149" s="10">
        <f t="shared" si="20"/>
        <v>-1.3059393530633345E-3</v>
      </c>
      <c r="J149" s="20">
        <f t="shared" si="18"/>
        <v>0</v>
      </c>
      <c r="K149" s="10">
        <f t="shared" si="21"/>
        <v>-9.2221722836365316E-3</v>
      </c>
      <c r="L149" s="10">
        <f t="shared" si="22"/>
        <v>-5.5333033701818746E-3</v>
      </c>
    </row>
    <row r="150" spans="1:12" x14ac:dyDescent="0.2">
      <c r="A150" s="14">
        <v>8.5000000000000006E-2</v>
      </c>
      <c r="B150" s="10">
        <f t="shared" si="12"/>
        <v>-2.3762728087852047</v>
      </c>
      <c r="C150" s="10">
        <f t="shared" si="13"/>
        <v>0.98615321564585989</v>
      </c>
      <c r="D150" s="10">
        <f t="shared" si="14"/>
        <v>1.5312621137958402</v>
      </c>
      <c r="E150" s="10">
        <f t="shared" si="15"/>
        <v>4.6240091667458181</v>
      </c>
      <c r="F150" s="10">
        <f t="shared" si="19"/>
        <v>-4.2375746206896103E-2</v>
      </c>
      <c r="G150" s="10">
        <f t="shared" si="16"/>
        <v>-0.49041010492336179</v>
      </c>
      <c r="H150" s="10">
        <f t="shared" si="17"/>
        <v>0.3797969621770107</v>
      </c>
      <c r="I150" s="10">
        <f t="shared" si="20"/>
        <v>-1.2901422648748939E-3</v>
      </c>
      <c r="J150" s="20">
        <f t="shared" si="18"/>
        <v>0</v>
      </c>
      <c r="K150" s="10">
        <f t="shared" si="21"/>
        <v>-9.1225495327700301E-3</v>
      </c>
      <c r="L150" s="10">
        <f t="shared" si="22"/>
        <v>-5.4735297196621957E-3</v>
      </c>
    </row>
    <row r="151" spans="1:12" x14ac:dyDescent="0.2">
      <c r="A151" s="14">
        <v>8.5999999999999993E-2</v>
      </c>
      <c r="B151" s="10">
        <f t="shared" si="12"/>
        <v>-2.3634832752006423</v>
      </c>
      <c r="C151" s="10">
        <f t="shared" si="13"/>
        <v>0.97848207593306602</v>
      </c>
      <c r="D151" s="10">
        <f t="shared" si="14"/>
        <v>1.5222373866566765</v>
      </c>
      <c r="E151" s="10">
        <f t="shared" si="15"/>
        <v>4.582466483373671</v>
      </c>
      <c r="F151" s="10">
        <f t="shared" si="19"/>
        <v>-4.154268337214706E-2</v>
      </c>
      <c r="G151" s="10">
        <f t="shared" si="16"/>
        <v>-0.4958249412068596</v>
      </c>
      <c r="H151" s="10">
        <f t="shared" si="17"/>
        <v>0.3785223235827081</v>
      </c>
      <c r="I151" s="10">
        <f t="shared" si="20"/>
        <v>-1.2746385943026017E-3</v>
      </c>
      <c r="J151" s="20">
        <f t="shared" si="18"/>
        <v>0</v>
      </c>
      <c r="K151" s="10">
        <f t="shared" si="21"/>
        <v>-9.0247271391636907E-3</v>
      </c>
      <c r="L151" s="10">
        <f t="shared" si="22"/>
        <v>-5.4148362834978148E-3</v>
      </c>
    </row>
    <row r="152" spans="1:12" x14ac:dyDescent="0.2">
      <c r="A152" s="14">
        <v>8.6999999999999994E-2</v>
      </c>
      <c r="B152" s="10">
        <f t="shared" si="12"/>
        <v>-2.3508277619403848</v>
      </c>
      <c r="C152" s="10">
        <f t="shared" si="13"/>
        <v>0.97089186568137897</v>
      </c>
      <c r="D152" s="10">
        <f t="shared" si="14"/>
        <v>1.5133087399081355</v>
      </c>
      <c r="E152" s="10">
        <f t="shared" si="15"/>
        <v>4.5417333752789153</v>
      </c>
      <c r="F152" s="10">
        <f t="shared" si="19"/>
        <v>-4.0733108094755721E-2</v>
      </c>
      <c r="G152" s="10">
        <f t="shared" si="16"/>
        <v>-0.50118212925598438</v>
      </c>
      <c r="H152" s="10">
        <f t="shared" si="17"/>
        <v>0.37726290427699155</v>
      </c>
      <c r="I152" s="10">
        <f t="shared" si="20"/>
        <v>-1.259419305716547E-3</v>
      </c>
      <c r="J152" s="20">
        <f t="shared" si="18"/>
        <v>0</v>
      </c>
      <c r="K152" s="10">
        <f t="shared" si="21"/>
        <v>-8.9286467485409915E-3</v>
      </c>
      <c r="L152" s="10">
        <f t="shared" si="22"/>
        <v>-5.3571880491247725E-3</v>
      </c>
    </row>
    <row r="153" spans="1:12" x14ac:dyDescent="0.2">
      <c r="A153" s="14">
        <v>8.7999999999999995E-2</v>
      </c>
      <c r="B153" s="10">
        <f t="shared" si="12"/>
        <v>-2.338303175596125</v>
      </c>
      <c r="C153" s="10">
        <f t="shared" si="13"/>
        <v>0.96338090834560353</v>
      </c>
      <c r="D153" s="10">
        <f t="shared" si="14"/>
        <v>1.5044744873366716</v>
      </c>
      <c r="E153" s="10">
        <f t="shared" si="15"/>
        <v>4.5017872623508079</v>
      </c>
      <c r="F153" s="10">
        <f t="shared" si="19"/>
        <v>-3.9946112928107347E-2</v>
      </c>
      <c r="G153" s="10">
        <f t="shared" si="16"/>
        <v>-0.50648268079886294</v>
      </c>
      <c r="H153" s="10">
        <f t="shared" si="17"/>
        <v>0.37601842852932038</v>
      </c>
      <c r="I153" s="10">
        <f t="shared" si="20"/>
        <v>-1.2444757476711699E-3</v>
      </c>
      <c r="J153" s="20">
        <f t="shared" si="18"/>
        <v>0</v>
      </c>
      <c r="K153" s="10">
        <f t="shared" si="21"/>
        <v>-8.8342525714639741E-3</v>
      </c>
      <c r="L153" s="10">
        <f t="shared" si="22"/>
        <v>-5.3005515428785621E-3</v>
      </c>
    </row>
    <row r="154" spans="1:12" x14ac:dyDescent="0.2">
      <c r="A154" s="14">
        <v>8.8999999999999996E-2</v>
      </c>
      <c r="B154" s="10">
        <f t="shared" si="12"/>
        <v>-2.3259065275278186</v>
      </c>
      <c r="C154" s="10">
        <f t="shared" si="13"/>
        <v>0.95594758281393355</v>
      </c>
      <c r="D154" s="10">
        <f t="shared" si="14"/>
        <v>1.4957329960948162</v>
      </c>
      <c r="E154" s="10">
        <f t="shared" si="15"/>
        <v>4.4626064273827621</v>
      </c>
      <c r="F154" s="10">
        <f t="shared" si="19"/>
        <v>-3.9180834968045808E-2</v>
      </c>
      <c r="G154" s="10">
        <f t="shared" si="16"/>
        <v>-0.51172757554397608</v>
      </c>
      <c r="H154" s="10">
        <f t="shared" si="17"/>
        <v>0.3747886288971819</v>
      </c>
      <c r="I154" s="10">
        <f t="shared" si="20"/>
        <v>-1.2297996321384841E-3</v>
      </c>
      <c r="J154" s="20">
        <f t="shared" si="18"/>
        <v>0</v>
      </c>
      <c r="K154" s="10">
        <f t="shared" si="21"/>
        <v>-8.7414912418553037E-3</v>
      </c>
      <c r="L154" s="10">
        <f t="shared" si="22"/>
        <v>-5.2448947451131378E-3</v>
      </c>
    </row>
    <row r="155" spans="1:12" x14ac:dyDescent="0.2">
      <c r="A155" s="14">
        <v>0.09</v>
      </c>
      <c r="B155" s="10">
        <f t="shared" si="12"/>
        <v>-2.3136349291806306</v>
      </c>
      <c r="C155" s="10">
        <f t="shared" si="13"/>
        <v>0.9485903209640586</v>
      </c>
      <c r="D155" s="10">
        <f t="shared" si="14"/>
        <v>1.4870826844099607</v>
      </c>
      <c r="E155" s="10">
        <f t="shared" si="15"/>
        <v>4.4241699741854363</v>
      </c>
      <c r="F155" s="10">
        <f t="shared" si="19"/>
        <v>-3.8436453197325804E-2</v>
      </c>
      <c r="G155" s="10">
        <f t="shared" si="16"/>
        <v>-0.51691776255488908</v>
      </c>
      <c r="H155" s="10">
        <f t="shared" si="17"/>
        <v>0.37357324588209334</v>
      </c>
      <c r="I155" s="10">
        <f t="shared" si="20"/>
        <v>-1.2153830150885558E-3</v>
      </c>
      <c r="J155" s="20">
        <f t="shared" si="18"/>
        <v>0</v>
      </c>
      <c r="K155" s="10">
        <f t="shared" si="21"/>
        <v>-8.6503116848555273E-3</v>
      </c>
      <c r="L155" s="10">
        <f t="shared" si="22"/>
        <v>-5.1901870109130055E-3</v>
      </c>
    </row>
    <row r="156" spans="1:12" x14ac:dyDescent="0.2">
      <c r="A156" s="14">
        <v>9.0999999999999998E-2</v>
      </c>
      <c r="B156" s="10">
        <f t="shared" si="12"/>
        <v>-2.3014855876606291</v>
      </c>
      <c r="C156" s="10">
        <f t="shared" si="13"/>
        <v>0.94130760535319735</v>
      </c>
      <c r="D156" s="10">
        <f t="shared" si="14"/>
        <v>1.4785220194166775</v>
      </c>
      <c r="E156" s="10">
        <f t="shared" si="15"/>
        <v>4.3864577881695501</v>
      </c>
      <c r="F156" s="10">
        <f t="shared" si="19"/>
        <v>-3.7712186015886218E-2</v>
      </c>
      <c r="G156" s="10">
        <f t="shared" si="16"/>
        <v>-0.52205416155085937</v>
      </c>
      <c r="H156" s="10">
        <f t="shared" si="17"/>
        <v>0.37237202760377525</v>
      </c>
      <c r="I156" s="10">
        <f t="shared" si="20"/>
        <v>-1.2012182783180947E-3</v>
      </c>
      <c r="J156" s="20">
        <f t="shared" si="18"/>
        <v>0</v>
      </c>
      <c r="K156" s="10">
        <f t="shared" si="21"/>
        <v>-8.5606649932832291E-3</v>
      </c>
      <c r="L156" s="10">
        <f t="shared" si="22"/>
        <v>-5.1363989959702927E-3</v>
      </c>
    </row>
    <row r="157" spans="1:12" x14ac:dyDescent="0.2">
      <c r="A157" s="14">
        <v>9.1999999999999998E-2</v>
      </c>
      <c r="B157" s="10">
        <f t="shared" si="12"/>
        <v>-2.2894558015522528</v>
      </c>
      <c r="C157" s="10">
        <f t="shared" si="13"/>
        <v>0.93409796703331927</v>
      </c>
      <c r="D157" s="10">
        <f t="shared" si="14"/>
        <v>1.470049515104594</v>
      </c>
      <c r="E157" s="10">
        <f t="shared" si="15"/>
        <v>4.3494504992273519</v>
      </c>
      <c r="F157" s="10">
        <f t="shared" si="19"/>
        <v>-3.700728894219818E-2</v>
      </c>
      <c r="G157" s="10">
        <f t="shared" si="16"/>
        <v>-0.52713766413810914</v>
      </c>
      <c r="H157" s="10">
        <f t="shared" si="17"/>
        <v>0.37118472949134135</v>
      </c>
      <c r="I157" s="10">
        <f t="shared" si="20"/>
        <v>-1.1872981124338988E-3</v>
      </c>
      <c r="J157" s="20">
        <f t="shared" si="18"/>
        <v>0</v>
      </c>
      <c r="K157" s="10">
        <f t="shared" si="21"/>
        <v>-8.472504312083462E-3</v>
      </c>
      <c r="L157" s="10">
        <f t="shared" si="22"/>
        <v>-5.0835025872497663E-3</v>
      </c>
    </row>
    <row r="158" spans="1:12" x14ac:dyDescent="0.2">
      <c r="A158" s="14">
        <v>9.2999999999999999E-2</v>
      </c>
      <c r="B158" s="10">
        <f t="shared" si="12"/>
        <v>-2.2775429569618808</v>
      </c>
      <c r="C158" s="10">
        <f t="shared" si="13"/>
        <v>0.92695998348348552</v>
      </c>
      <c r="D158" s="10">
        <f t="shared" si="14"/>
        <v>1.4616637303744677</v>
      </c>
      <c r="E158" s="10">
        <f t="shared" si="15"/>
        <v>4.3131294467554033</v>
      </c>
      <c r="F158" s="10">
        <f t="shared" si="19"/>
        <v>-3.6321052471948612E-2</v>
      </c>
      <c r="G158" s="10">
        <f t="shared" si="16"/>
        <v>-0.53216913497618501</v>
      </c>
      <c r="H158" s="10">
        <f t="shared" si="17"/>
        <v>0.3700111139904339</v>
      </c>
      <c r="I158" s="10">
        <f t="shared" si="20"/>
        <v>-1.1736155009074434E-3</v>
      </c>
      <c r="J158" s="20">
        <f t="shared" si="18"/>
        <v>0</v>
      </c>
      <c r="K158" s="10">
        <f t="shared" si="21"/>
        <v>-8.3857847301263E-3</v>
      </c>
      <c r="L158" s="10">
        <f t="shared" si="22"/>
        <v>-5.0314708380758688E-3</v>
      </c>
    </row>
    <row r="159" spans="1:12" x14ac:dyDescent="0.2">
      <c r="A159" s="14">
        <v>9.4E-2</v>
      </c>
      <c r="B159" s="10">
        <f t="shared" si="12"/>
        <v>-2.2657445237729754</v>
      </c>
      <c r="C159" s="10">
        <f t="shared" si="13"/>
        <v>0.91989227665182804</v>
      </c>
      <c r="D159" s="10">
        <f t="shared" si="14"/>
        <v>1.4533632671956216</v>
      </c>
      <c r="E159" s="10">
        <f t="shared" si="15"/>
        <v>4.2774766466735565</v>
      </c>
      <c r="F159" s="10">
        <f t="shared" si="19"/>
        <v>-3.5652800081846792E-2</v>
      </c>
      <c r="G159" s="10">
        <f t="shared" si="16"/>
        <v>-0.53714941288349261</v>
      </c>
      <c r="H159" s="10">
        <f t="shared" si="17"/>
        <v>0.36885095028531584</v>
      </c>
      <c r="I159" s="10">
        <f t="shared" si="20"/>
        <v>-1.1601637051180669E-3</v>
      </c>
      <c r="J159" s="20">
        <f t="shared" si="18"/>
        <v>0</v>
      </c>
      <c r="K159" s="10">
        <f t="shared" si="21"/>
        <v>-8.3004631788461403E-3</v>
      </c>
      <c r="L159" s="10">
        <f t="shared" si="22"/>
        <v>-4.9802779073075953E-3</v>
      </c>
    </row>
    <row r="160" spans="1:12" x14ac:dyDescent="0.2">
      <c r="A160" s="14">
        <v>9.5000000000000001E-2</v>
      </c>
      <c r="B160" s="10">
        <f t="shared" si="12"/>
        <v>-2.2540580520993854</v>
      </c>
      <c r="C160" s="10">
        <f t="shared" si="13"/>
        <v>0.91289351110025119</v>
      </c>
      <c r="D160" s="10">
        <f t="shared" si="14"/>
        <v>1.4451467688584239</v>
      </c>
      <c r="E160" s="10">
        <f t="shared" si="15"/>
        <v>4.2424747603063508</v>
      </c>
      <c r="F160" s="10">
        <f t="shared" si="19"/>
        <v>-3.5001886367205692E-2</v>
      </c>
      <c r="G160" s="10">
        <f t="shared" si="16"/>
        <v>-0.5420793118858116</v>
      </c>
      <c r="H160" s="10">
        <f t="shared" si="17"/>
        <v>0.36770401403499769</v>
      </c>
      <c r="I160" s="10">
        <f t="shared" si="20"/>
        <v>-1.1469362503181424E-3</v>
      </c>
      <c r="J160" s="20">
        <f t="shared" si="18"/>
        <v>0</v>
      </c>
      <c r="K160" s="10">
        <f t="shared" si="21"/>
        <v>-8.2164983371977307E-3</v>
      </c>
      <c r="L160" s="10">
        <f t="shared" si="22"/>
        <v>-4.9298990023189937E-3</v>
      </c>
    </row>
    <row r="161" spans="1:12" x14ac:dyDescent="0.2">
      <c r="A161" s="14">
        <v>9.6000000000000002E-2</v>
      </c>
      <c r="B161" s="10">
        <f t="shared" si="12"/>
        <v>-2.2424811689243405</v>
      </c>
      <c r="C161" s="10">
        <f t="shared" si="13"/>
        <v>0.90596239224543362</v>
      </c>
      <c r="D161" s="10">
        <f t="shared" si="14"/>
        <v>1.4370129183159359</v>
      </c>
      <c r="E161" s="10">
        <f t="shared" si="15"/>
        <v>4.2081070650032739</v>
      </c>
      <c r="F161" s="10">
        <f t="shared" si="19"/>
        <v>-3.4367695303076928E-2</v>
      </c>
      <c r="G161" s="10">
        <f t="shared" si="16"/>
        <v>-0.54695962221130423</v>
      </c>
      <c r="H161" s="10">
        <f t="shared" si="17"/>
        <v>0.36657008712254729</v>
      </c>
      <c r="I161" s="10">
        <f t="shared" si="20"/>
        <v>-1.1339269124504003E-3</v>
      </c>
      <c r="J161" s="20">
        <f t="shared" si="18"/>
        <v>0</v>
      </c>
      <c r="K161" s="10">
        <f t="shared" si="21"/>
        <v>-8.1338505424879415E-3</v>
      </c>
      <c r="L161" s="10">
        <f t="shared" si="22"/>
        <v>-4.8803103254926317E-3</v>
      </c>
    </row>
    <row r="162" spans="1:12" x14ac:dyDescent="0.2">
      <c r="A162" s="14">
        <v>9.7000000000000003E-2</v>
      </c>
      <c r="B162" s="10">
        <f t="shared" si="12"/>
        <v>-2.2310115749136026</v>
      </c>
      <c r="C162" s="10">
        <f t="shared" si="13"/>
        <v>0.89909766469018193</v>
      </c>
      <c r="D162" s="10">
        <f t="shared" si="14"/>
        <v>1.4289604366092883</v>
      </c>
      <c r="E162" s="10">
        <f t="shared" si="15"/>
        <v>4.1743574263837884</v>
      </c>
      <c r="F162" s="10">
        <f t="shared" si="19"/>
        <v>-3.3749638619485545E-2</v>
      </c>
      <c r="G162" s="10">
        <f t="shared" si="16"/>
        <v>-0.55179111123529268</v>
      </c>
      <c r="H162" s="10">
        <f t="shared" si="17"/>
        <v>0.36544895741678668</v>
      </c>
      <c r="I162" s="10">
        <f t="shared" si="20"/>
        <v>-1.1211297057606151E-3</v>
      </c>
      <c r="J162" s="20">
        <f t="shared" si="18"/>
        <v>0</v>
      </c>
      <c r="K162" s="10">
        <f t="shared" si="21"/>
        <v>-8.0524817066476295E-3</v>
      </c>
      <c r="L162" s="10">
        <f t="shared" si="22"/>
        <v>-4.8314890239884445E-3</v>
      </c>
    </row>
    <row r="163" spans="1:12" x14ac:dyDescent="0.2">
      <c r="A163" s="14">
        <v>9.8000000000000004E-2</v>
      </c>
      <c r="B163" s="10">
        <f t="shared" si="12"/>
        <v>-2.2196470413920517</v>
      </c>
      <c r="C163" s="10">
        <f t="shared" si="13"/>
        <v>0.89229811063960485</v>
      </c>
      <c r="D163" s="10">
        <f t="shared" si="14"/>
        <v>1.4209880813717155</v>
      </c>
      <c r="E163" s="10">
        <f t="shared" si="15"/>
        <v>4.1412102721015369</v>
      </c>
      <c r="F163" s="10">
        <f t="shared" si="19"/>
        <v>-3.3147154282251456E-2</v>
      </c>
      <c r="G163" s="10">
        <f t="shared" si="16"/>
        <v>-0.55657452437783661</v>
      </c>
      <c r="H163" s="10">
        <f t="shared" si="17"/>
        <v>0.36434041854564125</v>
      </c>
      <c r="I163" s="10">
        <f t="shared" si="20"/>
        <v>-1.1085388711454258E-3</v>
      </c>
      <c r="J163" s="20">
        <f t="shared" si="18"/>
        <v>0</v>
      </c>
      <c r="K163" s="10">
        <f t="shared" si="21"/>
        <v>-7.9723552375727813E-3</v>
      </c>
      <c r="L163" s="10">
        <f t="shared" si="22"/>
        <v>-4.7834131425439352E-3</v>
      </c>
    </row>
    <row r="164" spans="1:12" x14ac:dyDescent="0.2">
      <c r="A164" s="14">
        <v>9.9000000000000005E-2</v>
      </c>
      <c r="B164" s="10">
        <f t="shared" si="12"/>
        <v>-2.2083854074737479</v>
      </c>
      <c r="C164" s="10">
        <f t="shared" si="13"/>
        <v>0.8855625483969729</v>
      </c>
      <c r="D164" s="10">
        <f t="shared" si="14"/>
        <v>1.4130946454065469</v>
      </c>
      <c r="E164" s="10">
        <f t="shared" si="15"/>
        <v>4.1086505670300575</v>
      </c>
      <c r="F164" s="10">
        <f t="shared" si="19"/>
        <v>-3.2559705071479428E-2</v>
      </c>
      <c r="G164" s="10">
        <f t="shared" si="16"/>
        <v>-0.56131058595693784</v>
      </c>
      <c r="H164" s="10">
        <f t="shared" si="17"/>
        <v>0.36324426968045209</v>
      </c>
      <c r="I164" s="10">
        <f t="shared" si="20"/>
        <v>-1.0961488651891615E-3</v>
      </c>
      <c r="J164" s="20">
        <f t="shared" si="18"/>
        <v>0</v>
      </c>
      <c r="K164" s="10">
        <f t="shared" si="21"/>
        <v>-7.8934359651685604E-3</v>
      </c>
      <c r="L164" s="10">
        <f t="shared" si="22"/>
        <v>-4.736061579101225E-3</v>
      </c>
    </row>
    <row r="165" spans="1:12" x14ac:dyDescent="0.2">
      <c r="A165" s="14">
        <v>0.1</v>
      </c>
      <c r="B165" s="10">
        <f t="shared" si="12"/>
        <v>-2.1972245773362191</v>
      </c>
      <c r="C165" s="10">
        <f t="shared" si="13"/>
        <v>0.87888983093448769</v>
      </c>
      <c r="D165" s="10">
        <f t="shared" si="14"/>
        <v>1.4052789553347766</v>
      </c>
      <c r="E165" s="10">
        <f t="shared" si="15"/>
        <v>4.0766637897795279</v>
      </c>
      <c r="F165" s="10">
        <f t="shared" si="19"/>
        <v>-3.1986777250529563E-2</v>
      </c>
      <c r="G165" s="10">
        <f t="shared" si="16"/>
        <v>-0.56600000000000006</v>
      </c>
      <c r="H165" s="10">
        <f t="shared" si="17"/>
        <v>0.36216031533061283</v>
      </c>
      <c r="I165" s="10">
        <f t="shared" si="20"/>
        <v>-1.0839543498392668E-3</v>
      </c>
      <c r="J165" s="20">
        <f t="shared" si="18"/>
        <v>0</v>
      </c>
      <c r="K165" s="10">
        <f t="shared" si="21"/>
        <v>-7.8156900717702982E-3</v>
      </c>
      <c r="L165" s="10">
        <f t="shared" si="22"/>
        <v>-4.6894140430622233E-3</v>
      </c>
    </row>
    <row r="166" spans="1:12" x14ac:dyDescent="0.2">
      <c r="A166" s="14">
        <v>0.10100000000000001</v>
      </c>
      <c r="B166" s="10">
        <f t="shared" si="12"/>
        <v>-2.1861625176303607</v>
      </c>
      <c r="C166" s="10">
        <f t="shared" si="13"/>
        <v>0.87227884453451399</v>
      </c>
      <c r="D166" s="10">
        <f t="shared" si="14"/>
        <v>1.3975398703081243</v>
      </c>
      <c r="E166" s="10">
        <f t="shared" si="15"/>
        <v>4.0452359104606304</v>
      </c>
      <c r="F166" s="10">
        <f t="shared" si="19"/>
        <v>-3.1427879318897567E-2</v>
      </c>
      <c r="G166" s="10">
        <f t="shared" si="16"/>
        <v>-0.57064345101599079</v>
      </c>
      <c r="H166" s="10">
        <f t="shared" si="17"/>
        <v>0.36108836514793502</v>
      </c>
      <c r="I166" s="10">
        <f t="shared" si="20"/>
        <v>-1.0719501826778055E-3</v>
      </c>
      <c r="J166" s="20">
        <f t="shared" si="18"/>
        <v>0</v>
      </c>
      <c r="K166" s="10">
        <f t="shared" si="21"/>
        <v>-7.7390850266523259E-3</v>
      </c>
      <c r="L166" s="10">
        <f t="shared" si="22"/>
        <v>-4.6434510159907294E-3</v>
      </c>
    </row>
    <row r="167" spans="1:12" x14ac:dyDescent="0.2">
      <c r="A167" s="14">
        <v>0.10199999999999999</v>
      </c>
      <c r="B167" s="10">
        <f t="shared" si="12"/>
        <v>-2.1751972550179284</v>
      </c>
      <c r="C167" s="10">
        <f t="shared" si="13"/>
        <v>0.86572850749713559</v>
      </c>
      <c r="D167" s="10">
        <f t="shared" si="14"/>
        <v>1.3898762807837994</v>
      </c>
      <c r="E167" s="10">
        <f t="shared" si="15"/>
        <v>4.0143533696177549</v>
      </c>
      <c r="F167" s="10">
        <f t="shared" si="19"/>
        <v>-3.088254084287545E-2</v>
      </c>
      <c r="G167" s="10">
        <f t="shared" si="16"/>
        <v>-0.57524160473058594</v>
      </c>
      <c r="H167" s="10">
        <f t="shared" si="17"/>
        <v>0.36002823374018578</v>
      </c>
      <c r="I167" s="10">
        <f t="shared" si="20"/>
        <v>-1.060131407749243E-3</v>
      </c>
      <c r="J167" s="20">
        <f t="shared" si="18"/>
        <v>0</v>
      </c>
      <c r="K167" s="10">
        <f t="shared" si="21"/>
        <v>-7.6635895243248875E-3</v>
      </c>
      <c r="L167" s="10">
        <f t="shared" si="22"/>
        <v>-4.5981537145951545E-3</v>
      </c>
    </row>
    <row r="168" spans="1:12" x14ac:dyDescent="0.2">
      <c r="A168" s="14">
        <v>0.10299999999999999</v>
      </c>
      <c r="B168" s="10">
        <f t="shared" si="12"/>
        <v>-2.1643268738291606</v>
      </c>
      <c r="C168" s="10">
        <f t="shared" si="13"/>
        <v>0.85923776891017678</v>
      </c>
      <c r="D168" s="10">
        <f t="shared" si="14"/>
        <v>1.3822871073574099</v>
      </c>
      <c r="E168" s="10">
        <f t="shared" si="15"/>
        <v>3.9840030582592454</v>
      </c>
      <c r="F168" s="10">
        <f t="shared" si="19"/>
        <v>-3.0350311358509519E-2</v>
      </c>
      <c r="G168" s="10">
        <f t="shared" si="16"/>
        <v>-0.57979510878641971</v>
      </c>
      <c r="H168" s="10">
        <f t="shared" si="17"/>
        <v>0.35897974049327963</v>
      </c>
      <c r="I168" s="10">
        <f t="shared" si="20"/>
        <v>-1.0484932469061459E-3</v>
      </c>
      <c r="J168" s="20">
        <f t="shared" si="18"/>
        <v>0</v>
      </c>
      <c r="K168" s="10">
        <f t="shared" si="21"/>
        <v>-7.5891734263895394E-3</v>
      </c>
      <c r="L168" s="10">
        <f t="shared" si="22"/>
        <v>-4.553504055833768E-3</v>
      </c>
    </row>
    <row r="169" spans="1:12" x14ac:dyDescent="0.2">
      <c r="A169" s="14">
        <v>0.104</v>
      </c>
      <c r="B169" s="10">
        <f t="shared" si="12"/>
        <v>-2.1535495138335579</v>
      </c>
      <c r="C169" s="10">
        <f t="shared" si="13"/>
        <v>0.85280560747808898</v>
      </c>
      <c r="D169" s="10">
        <f t="shared" si="14"/>
        <v>1.3747712996507198</v>
      </c>
      <c r="E169" s="10">
        <f t="shared" si="15"/>
        <v>3.9541722989175998</v>
      </c>
      <c r="F169" s="10">
        <f t="shared" si="19"/>
        <v>-2.9830759341645585E-2</v>
      </c>
      <c r="G169" s="10">
        <f t="shared" si="16"/>
        <v>-0.58430459341043428</v>
      </c>
      <c r="H169" s="10">
        <f t="shared" si="17"/>
        <v>0.35794270940163797</v>
      </c>
      <c r="I169" s="10">
        <f t="shared" si="20"/>
        <v>-1.0370310916416603E-3</v>
      </c>
      <c r="J169" s="20">
        <f t="shared" si="18"/>
        <v>0</v>
      </c>
      <c r="K169" s="10">
        <f t="shared" si="21"/>
        <v>-7.5158077066901363E-3</v>
      </c>
      <c r="L169" s="10">
        <f t="shared" si="22"/>
        <v>-4.5094846240145703E-3</v>
      </c>
    </row>
    <row r="170" spans="1:12" x14ac:dyDescent="0.2">
      <c r="A170" s="14">
        <v>0.105</v>
      </c>
      <c r="B170" s="10">
        <f t="shared" si="12"/>
        <v>-2.1428633681173319</v>
      </c>
      <c r="C170" s="10">
        <f t="shared" si="13"/>
        <v>0.84643103040634615</v>
      </c>
      <c r="D170" s="10">
        <f t="shared" si="14"/>
        <v>1.3673278352511526</v>
      </c>
      <c r="E170" s="10">
        <f t="shared" si="15"/>
        <v>3.9248488276771591</v>
      </c>
      <c r="F170" s="10">
        <f t="shared" si="19"/>
        <v>-2.9323471240440657E-2</v>
      </c>
      <c r="G170" s="10">
        <f t="shared" si="16"/>
        <v>-0.58877067205017419</v>
      </c>
      <c r="H170" s="10">
        <f t="shared" si="17"/>
        <v>0.35691696890626462</v>
      </c>
      <c r="I170" s="10">
        <f t="shared" si="20"/>
        <v>-1.0257404953733507E-3</v>
      </c>
      <c r="J170" s="20">
        <f t="shared" si="18"/>
        <v>0</v>
      </c>
      <c r="K170" s="10">
        <f t="shared" si="21"/>
        <v>-7.4434643995671124E-3</v>
      </c>
      <c r="L170" s="10">
        <f t="shared" si="22"/>
        <v>-4.4660786397399121E-3</v>
      </c>
    </row>
    <row r="171" spans="1:12" x14ac:dyDescent="0.2">
      <c r="A171" s="14">
        <v>0.106</v>
      </c>
      <c r="B171" s="10">
        <f t="shared" si="12"/>
        <v>-2.1322666810614468</v>
      </c>
      <c r="C171" s="10">
        <f t="shared" si="13"/>
        <v>0.84011307233821009</v>
      </c>
      <c r="D171" s="10">
        <f t="shared" si="14"/>
        <v>1.3599557187001707</v>
      </c>
      <c r="E171" s="10">
        <f t="shared" si="15"/>
        <v>3.8960207771112616</v>
      </c>
      <c r="F171" s="10">
        <f t="shared" si="19"/>
        <v>-2.8828050565897545E-2</v>
      </c>
      <c r="G171" s="10">
        <f t="shared" si="16"/>
        <v>-0.59319394198076347</v>
      </c>
      <c r="H171" s="10">
        <f t="shared" si="17"/>
        <v>0.35590235174011303</v>
      </c>
      <c r="I171" s="10">
        <f t="shared" si="20"/>
        <v>-1.0146171661515879E-3</v>
      </c>
      <c r="J171" s="20">
        <f t="shared" si="18"/>
        <v>0</v>
      </c>
      <c r="K171" s="10">
        <f t="shared" si="21"/>
        <v>-7.3721165509819109E-3</v>
      </c>
      <c r="L171" s="10">
        <f t="shared" si="22"/>
        <v>-4.4232699305892798E-3</v>
      </c>
    </row>
    <row r="172" spans="1:12" x14ac:dyDescent="0.2">
      <c r="A172" s="14">
        <v>0.107</v>
      </c>
      <c r="B172" s="10">
        <f t="shared" si="12"/>
        <v>-2.1217577464145929</v>
      </c>
      <c r="C172" s="10">
        <f t="shared" si="13"/>
        <v>0.83385079434093501</v>
      </c>
      <c r="D172" s="10">
        <f t="shared" si="14"/>
        <v>1.3526539805278057</v>
      </c>
      <c r="E172" s="10">
        <f t="shared" si="15"/>
        <v>3.8676766600747019</v>
      </c>
      <c r="F172" s="10">
        <f t="shared" si="19"/>
        <v>-2.8344117036559702E-2</v>
      </c>
      <c r="G172" s="10">
        <f t="shared" si="16"/>
        <v>-0.59757498488418248</v>
      </c>
      <c r="H172" s="10">
        <f t="shared" si="17"/>
        <v>0.35489869478034847</v>
      </c>
      <c r="I172" s="10">
        <f t="shared" si="20"/>
        <v>-1.003656959764565E-3</v>
      </c>
      <c r="J172" s="20">
        <f t="shared" si="18"/>
        <v>0</v>
      </c>
      <c r="K172" s="10">
        <f t="shared" si="21"/>
        <v>-7.3017381723650132E-3</v>
      </c>
      <c r="L172" s="10">
        <f t="shared" si="22"/>
        <v>-4.3810429034190079E-3</v>
      </c>
    </row>
    <row r="173" spans="1:12" x14ac:dyDescent="0.2">
      <c r="A173" s="14">
        <v>0.108</v>
      </c>
      <c r="B173" s="10">
        <f t="shared" si="12"/>
        <v>-2.1113349054557897</v>
      </c>
      <c r="C173" s="10">
        <f t="shared" si="13"/>
        <v>0.82764328293866962</v>
      </c>
      <c r="D173" s="10">
        <f t="shared" si="14"/>
        <v>1.3454216763308411</v>
      </c>
      <c r="E173" s="10">
        <f t="shared" si="15"/>
        <v>3.8398053543011925</v>
      </c>
      <c r="F173" s="10">
        <f t="shared" si="19"/>
        <v>-2.7871305773509381E-2</v>
      </c>
      <c r="G173" s="10">
        <f t="shared" si="16"/>
        <v>-0.60191436740236104</v>
      </c>
      <c r="H173" s="10">
        <f t="shared" si="17"/>
        <v>0.35390583890713434</v>
      </c>
      <c r="I173" s="10">
        <f t="shared" si="20"/>
        <v>-9.9285587321412683E-4</v>
      </c>
      <c r="J173" s="20">
        <f t="shared" si="18"/>
        <v>0</v>
      </c>
      <c r="K173" s="10">
        <f t="shared" si="21"/>
        <v>-7.232304196964634E-3</v>
      </c>
      <c r="L173" s="10">
        <f t="shared" si="22"/>
        <v>-4.3393825181785584E-3</v>
      </c>
    </row>
    <row r="174" spans="1:12" x14ac:dyDescent="0.2">
      <c r="A174" s="14">
        <v>0.109</v>
      </c>
      <c r="B174" s="10">
        <f t="shared" si="12"/>
        <v>-2.1009965452416655</v>
      </c>
      <c r="C174" s="10">
        <f t="shared" si="13"/>
        <v>0.82148964918949119</v>
      </c>
      <c r="D174" s="10">
        <f t="shared" si="14"/>
        <v>1.3382578858922569</v>
      </c>
      <c r="E174" s="10">
        <f t="shared" si="15"/>
        <v>3.812396087758771</v>
      </c>
      <c r="F174" s="10">
        <f t="shared" si="19"/>
        <v>-2.7409266542421484E-2</v>
      </c>
      <c r="G174" s="10">
        <f t="shared" si="16"/>
        <v>-0.60621264166551159</v>
      </c>
      <c r="H174" s="10">
        <f t="shared" si="17"/>
        <v>0.35292362886859285</v>
      </c>
      <c r="I174" s="10">
        <f t="shared" si="20"/>
        <v>-9.822100385414867E-4</v>
      </c>
      <c r="J174" s="20">
        <f t="shared" si="18"/>
        <v>0</v>
      </c>
      <c r="K174" s="10">
        <f t="shared" si="21"/>
        <v>-7.1637904385841722E-3</v>
      </c>
      <c r="L174" s="10">
        <f t="shared" si="22"/>
        <v>-4.2982742631505477E-3</v>
      </c>
    </row>
    <row r="175" spans="1:12" x14ac:dyDescent="0.2">
      <c r="A175" s="14">
        <v>0.11</v>
      </c>
      <c r="B175" s="10">
        <f t="shared" si="12"/>
        <v>-2.0907410969337694</v>
      </c>
      <c r="C175" s="10">
        <f t="shared" si="13"/>
        <v>0.81538902780417011</v>
      </c>
      <c r="D175" s="10">
        <f t="shared" si="14"/>
        <v>1.331161712339735</v>
      </c>
      <c r="E175" s="10">
        <f t="shared" si="15"/>
        <v>3.7854384247193522</v>
      </c>
      <c r="F175" s="10">
        <f t="shared" si="19"/>
        <v>-2.6957663039418822E-2</v>
      </c>
      <c r="G175" s="10">
        <f t="shared" si="16"/>
        <v>-0.61047034579702464</v>
      </c>
      <c r="H175" s="10">
        <f t="shared" si="17"/>
        <v>0.35195191315161584</v>
      </c>
      <c r="I175" s="10">
        <f t="shared" si="20"/>
        <v>-9.7171571697701742E-4</v>
      </c>
      <c r="J175" s="20">
        <f t="shared" si="18"/>
        <v>0</v>
      </c>
      <c r="K175" s="10">
        <f t="shared" si="21"/>
        <v>-7.0961735525219005E-3</v>
      </c>
      <c r="L175" s="10">
        <f t="shared" si="22"/>
        <v>-4.2577041315130515E-3</v>
      </c>
    </row>
    <row r="176" spans="1:12" x14ac:dyDescent="0.2">
      <c r="A176" s="14">
        <v>0.111</v>
      </c>
      <c r="B176" s="10">
        <f t="shared" si="12"/>
        <v>-2.0805670342015703</v>
      </c>
      <c r="C176" s="10">
        <f t="shared" si="13"/>
        <v>0.80934057630441092</v>
      </c>
      <c r="D176" s="10">
        <f t="shared" si="14"/>
        <v>1.3241322813411358</v>
      </c>
      <c r="E176" s="10">
        <f t="shared" si="15"/>
        <v>3.7589222525014754</v>
      </c>
      <c r="F176" s="10">
        <f t="shared" si="19"/>
        <v>-2.6516172217876832E-2</v>
      </c>
      <c r="G176" s="10">
        <f t="shared" si="16"/>
        <v>-0.61468800439618421</v>
      </c>
      <c r="H176" s="10">
        <f t="shared" si="17"/>
        <v>0.35099054385821699</v>
      </c>
      <c r="I176" s="10">
        <f t="shared" si="20"/>
        <v>-9.6136929339885047E-4</v>
      </c>
      <c r="J176" s="20">
        <f t="shared" si="18"/>
        <v>0</v>
      </c>
      <c r="K176" s="10">
        <f t="shared" si="21"/>
        <v>-7.0294309985992065E-3</v>
      </c>
      <c r="L176" s="10">
        <f t="shared" si="22"/>
        <v>-4.2176585991595683E-3</v>
      </c>
    </row>
    <row r="177" spans="1:12" x14ac:dyDescent="0.2">
      <c r="A177" s="14">
        <v>0.112</v>
      </c>
      <c r="B177" s="10">
        <f t="shared" si="12"/>
        <v>-2.0704728716970755</v>
      </c>
      <c r="C177" s="10">
        <f t="shared" si="13"/>
        <v>0.8033434742184653</v>
      </c>
      <c r="D177" s="10">
        <f t="shared" si="14"/>
        <v>1.3171687403350054</v>
      </c>
      <c r="E177" s="10">
        <f t="shared" si="15"/>
        <v>3.732837768848027</v>
      </c>
      <c r="F177" s="10">
        <f t="shared" si="19"/>
        <v>-2.6084483653448398E-2</v>
      </c>
      <c r="G177" s="10">
        <f t="shared" si="16"/>
        <v>-0.61886612899986249</v>
      </c>
      <c r="H177" s="10">
        <f t="shared" si="17"/>
        <v>0.35003937658714024</v>
      </c>
      <c r="I177" s="10">
        <f t="shared" si="20"/>
        <v>-9.5116727107674715E-4</v>
      </c>
      <c r="J177" s="20">
        <f t="shared" si="18"/>
        <v>0</v>
      </c>
      <c r="K177" s="10">
        <f t="shared" si="21"/>
        <v>-6.9635410061303915E-3</v>
      </c>
      <c r="L177" s="10">
        <f t="shared" si="22"/>
        <v>-4.1781246036782793E-3</v>
      </c>
    </row>
    <row r="178" spans="1:12" x14ac:dyDescent="0.2">
      <c r="A178" s="14">
        <v>0.113</v>
      </c>
      <c r="B178" s="10">
        <f t="shared" si="12"/>
        <v>-2.0604571635972388</v>
      </c>
      <c r="C178" s="10">
        <f t="shared" si="13"/>
        <v>0.79739692231213144</v>
      </c>
      <c r="D178" s="10">
        <f t="shared" si="14"/>
        <v>1.3102702577942764</v>
      </c>
      <c r="E178" s="10">
        <f t="shared" si="15"/>
        <v>3.7071754699031807</v>
      </c>
      <c r="F178" s="10">
        <f t="shared" si="19"/>
        <v>-2.5662298944846285E-2</v>
      </c>
      <c r="G178" s="10">
        <f t="shared" si="16"/>
        <v>-0.62300521852430002</v>
      </c>
      <c r="H178" s="10">
        <f t="shared" si="17"/>
        <v>0.34909827032045215</v>
      </c>
      <c r="I178" s="10">
        <f t="shared" si="20"/>
        <v>-9.4110626668808539E-4</v>
      </c>
      <c r="J178" s="20">
        <f t="shared" si="18"/>
        <v>0</v>
      </c>
      <c r="K178" s="10">
        <f t="shared" si="21"/>
        <v>-6.8984825407290007E-3</v>
      </c>
      <c r="L178" s="10">
        <f t="shared" si="22"/>
        <v>-4.1390895244375336E-3</v>
      </c>
    </row>
    <row r="179" spans="1:12" x14ac:dyDescent="0.2">
      <c r="A179" s="14">
        <v>0.114</v>
      </c>
      <c r="B179" s="10">
        <f t="shared" si="12"/>
        <v>-2.0505185022105854</v>
      </c>
      <c r="C179" s="10">
        <f t="shared" si="13"/>
        <v>0.79150014185328599</v>
      </c>
      <c r="D179" s="10">
        <f t="shared" si="14"/>
        <v>1.3034360225214454</v>
      </c>
      <c r="E179" s="10">
        <f t="shared" si="15"/>
        <v>3.681926138755121</v>
      </c>
      <c r="F179" s="10">
        <f t="shared" si="19"/>
        <v>-2.5249331148059717E-2</v>
      </c>
      <c r="G179" s="10">
        <f t="shared" si="16"/>
        <v>-0.62710575968799853</v>
      </c>
      <c r="H179" s="10">
        <f t="shared" si="17"/>
        <v>0.34816708731486523</v>
      </c>
      <c r="I179" s="10">
        <f t="shared" si="20"/>
        <v>-9.3118300558692191E-4</v>
      </c>
      <c r="J179" s="20">
        <f t="shared" si="18"/>
        <v>0</v>
      </c>
      <c r="K179" s="10">
        <f t="shared" si="21"/>
        <v>-6.8342352728310019E-3</v>
      </c>
      <c r="L179" s="10">
        <f t="shared" si="22"/>
        <v>-4.1005411636985123E-3</v>
      </c>
    </row>
    <row r="180" spans="1:12" x14ac:dyDescent="0.2">
      <c r="A180" s="14">
        <v>0.115</v>
      </c>
      <c r="B180" s="10">
        <f t="shared" si="12"/>
        <v>-2.0406555166446796</v>
      </c>
      <c r="C180" s="10">
        <f t="shared" si="13"/>
        <v>0.78565237390820164</v>
      </c>
      <c r="D180" s="10">
        <f t="shared" si="14"/>
        <v>1.2966652429736099</v>
      </c>
      <c r="E180" s="10">
        <f t="shared" si="15"/>
        <v>3.6570808345132511</v>
      </c>
      <c r="F180" s="10">
        <f t="shared" si="19"/>
        <v>-2.4845304241869925E-2</v>
      </c>
      <c r="G180" s="10">
        <f t="shared" si="16"/>
        <v>-0.63116822741669987</v>
      </c>
      <c r="H180" s="10">
        <f t="shared" si="17"/>
        <v>0.34724569299755342</v>
      </c>
      <c r="I180" s="10">
        <f t="shared" si="20"/>
        <v>-9.2139431731180776E-4</v>
      </c>
      <c r="J180" s="20">
        <f t="shared" si="18"/>
        <v>0</v>
      </c>
      <c r="K180" s="10">
        <f t="shared" si="21"/>
        <v>-6.7707795478355592E-3</v>
      </c>
      <c r="L180" s="10">
        <f t="shared" si="22"/>
        <v>-4.0624677287013355E-3</v>
      </c>
    </row>
    <row r="181" spans="1:12" x14ac:dyDescent="0.2">
      <c r="A181" s="14">
        <v>0.11600000000000001</v>
      </c>
      <c r="B181" s="10">
        <f t="shared" si="12"/>
        <v>-2.0308668715312788</v>
      </c>
      <c r="C181" s="10">
        <f t="shared" si="13"/>
        <v>0.77985287866801101</v>
      </c>
      <c r="D181" s="10">
        <f t="shared" si="14"/>
        <v>1.2899571466158499</v>
      </c>
      <c r="E181" s="10">
        <f t="shared" si="15"/>
        <v>3.6326308818905999</v>
      </c>
      <c r="F181" s="10">
        <f t="shared" si="19"/>
        <v>-2.444995262265115E-2</v>
      </c>
      <c r="G181" s="10">
        <f t="shared" si="16"/>
        <v>-0.63519308523135565</v>
      </c>
      <c r="H181" s="10">
        <f t="shared" si="17"/>
        <v>0.34633395586623478</v>
      </c>
      <c r="I181" s="10">
        <f t="shared" si="20"/>
        <v>-9.117371313186462E-4</v>
      </c>
      <c r="J181" s="20">
        <f t="shared" si="18"/>
        <v>0</v>
      </c>
      <c r="K181" s="10">
        <f t="shared" si="21"/>
        <v>-6.7080963577599295E-3</v>
      </c>
      <c r="L181" s="10">
        <f t="shared" si="22"/>
        <v>-4.0248578146557801E-3</v>
      </c>
    </row>
    <row r="182" spans="1:12" x14ac:dyDescent="0.2">
      <c r="A182" s="14">
        <v>0.11700000000000001</v>
      </c>
      <c r="B182" s="10">
        <f t="shared" si="12"/>
        <v>-2.0211512658062039</v>
      </c>
      <c r="C182" s="10">
        <f t="shared" si="13"/>
        <v>0.77410093480377606</v>
      </c>
      <c r="D182" s="10">
        <f t="shared" si="14"/>
        <v>1.2833109793015203</v>
      </c>
      <c r="E182" s="10">
        <f t="shared" si="15"/>
        <v>3.608567861263932</v>
      </c>
      <c r="F182" s="10">
        <f t="shared" si="19"/>
        <v>-2.4063020626667875E-2</v>
      </c>
      <c r="G182" s="10">
        <f t="shared" si="16"/>
        <v>-0.63918078561995362</v>
      </c>
      <c r="H182" s="10">
        <f t="shared" si="17"/>
        <v>0.34543174739330923</v>
      </c>
      <c r="I182" s="10">
        <f t="shared" si="20"/>
        <v>-9.0220847292554751E-4</v>
      </c>
      <c r="J182" s="20">
        <f t="shared" si="18"/>
        <v>0</v>
      </c>
      <c r="K182" s="10">
        <f t="shared" si="21"/>
        <v>-6.646167314329654E-3</v>
      </c>
      <c r="L182" s="10">
        <f t="shared" si="22"/>
        <v>-3.98770038859797E-3</v>
      </c>
    </row>
    <row r="183" spans="1:12" x14ac:dyDescent="0.2">
      <c r="A183" s="14">
        <v>0.11799999999999999</v>
      </c>
      <c r="B183" s="10">
        <f t="shared" si="12"/>
        <v>-2.0115074315411263</v>
      </c>
      <c r="C183" s="10">
        <f t="shared" si="13"/>
        <v>0.76839583884871032</v>
      </c>
      <c r="D183" s="10">
        <f t="shared" si="14"/>
        <v>1.2767260046781082</v>
      </c>
      <c r="E183" s="10">
        <f t="shared" si="15"/>
        <v>3.5848835991858312</v>
      </c>
      <c r="F183" s="10">
        <f t="shared" si="19"/>
        <v>-2.3684262078100815E-2</v>
      </c>
      <c r="G183" s="10">
        <f t="shared" si="16"/>
        <v>-0.64313177039400071</v>
      </c>
      <c r="H183" s="10">
        <f t="shared" si="17"/>
        <v>0.34453894193385365</v>
      </c>
      <c r="I183" s="10">
        <f t="shared" si="20"/>
        <v>-8.9280545945558121E-4</v>
      </c>
      <c r="J183" s="20">
        <f t="shared" si="18"/>
        <v>0</v>
      </c>
      <c r="K183" s="10">
        <f t="shared" si="21"/>
        <v>-6.5849746234121209E-3</v>
      </c>
      <c r="L183" s="10">
        <f t="shared" si="22"/>
        <v>-3.9509847740470949E-3</v>
      </c>
    </row>
    <row r="184" spans="1:12" x14ac:dyDescent="0.2">
      <c r="A184" s="14">
        <v>0.11899999999999999</v>
      </c>
      <c r="B184" s="10">
        <f t="shared" si="12"/>
        <v>-2.0019341328246503</v>
      </c>
      <c r="C184" s="10">
        <f t="shared" si="13"/>
        <v>0.76273690460619181</v>
      </c>
      <c r="D184" s="10">
        <f t="shared" si="14"/>
        <v>1.2702015036173935</v>
      </c>
      <c r="E184" s="10">
        <f t="shared" si="15"/>
        <v>3.5615701593246043</v>
      </c>
      <c r="F184" s="10">
        <f t="shared" si="19"/>
        <v>-2.3313439861226914E-2</v>
      </c>
      <c r="G184" s="10">
        <f t="shared" si="16"/>
        <v>-0.64704647103042956</v>
      </c>
      <c r="H184" s="10">
        <f t="shared" si="17"/>
        <v>0.34365541663728316</v>
      </c>
      <c r="I184" s="10">
        <f t="shared" si="20"/>
        <v>-8.8352529657048651E-4</v>
      </c>
      <c r="J184" s="20">
        <f t="shared" si="18"/>
        <v>0</v>
      </c>
      <c r="K184" s="10">
        <f t="shared" si="21"/>
        <v>-6.5245010607146714E-3</v>
      </c>
      <c r="L184" s="10">
        <f t="shared" si="22"/>
        <v>-3.9147006364288472E-3</v>
      </c>
    </row>
    <row r="185" spans="1:12" x14ac:dyDescent="0.2">
      <c r="A185" s="14">
        <v>0.12</v>
      </c>
      <c r="B185" s="10">
        <f t="shared" si="12"/>
        <v>-1.9924301646902063</v>
      </c>
      <c r="C185" s="10">
        <f t="shared" si="13"/>
        <v>0.75712346258227836</v>
      </c>
      <c r="D185" s="10">
        <f t="shared" si="14"/>
        <v>1.2637367736687111</v>
      </c>
      <c r="E185" s="10">
        <f t="shared" si="15"/>
        <v>3.5386198338093111</v>
      </c>
      <c r="F185" s="10">
        <f t="shared" si="19"/>
        <v>-2.2950325515293191E-2</v>
      </c>
      <c r="G185" s="10">
        <f t="shared" si="16"/>
        <v>-0.65092530899963896</v>
      </c>
      <c r="H185" s="10">
        <f t="shared" si="17"/>
        <v>0.34278105136250575</v>
      </c>
      <c r="I185" s="10">
        <f t="shared" si="20"/>
        <v>-8.7436527477741111E-4</v>
      </c>
      <c r="J185" s="20">
        <f t="shared" si="18"/>
        <v>0</v>
      </c>
      <c r="K185" s="10">
        <f t="shared" si="21"/>
        <v>-6.4647299486824128E-3</v>
      </c>
      <c r="L185" s="10">
        <f t="shared" si="22"/>
        <v>-3.8788379692094033E-3</v>
      </c>
    </row>
    <row r="186" spans="1:12" x14ac:dyDescent="0.2">
      <c r="A186" s="14">
        <v>0.121</v>
      </c>
      <c r="B186" s="10">
        <f t="shared" si="12"/>
        <v>-1.9829943520884359</v>
      </c>
      <c r="C186" s="10">
        <f t="shared" si="13"/>
        <v>0.75155485944151723</v>
      </c>
      <c r="D186" s="10">
        <f t="shared" si="14"/>
        <v>1.2573311285341995</v>
      </c>
      <c r="E186" s="10">
        <f t="shared" si="15"/>
        <v>3.5160251349586629</v>
      </c>
      <c r="F186" s="10">
        <f t="shared" si="19"/>
        <v>-2.2594698850648243E-2</v>
      </c>
      <c r="G186" s="10">
        <f t="shared" si="16"/>
        <v>-0.65476869608034627</v>
      </c>
      <c r="H186" s="10">
        <f t="shared" si="17"/>
        <v>0.34191572859639918</v>
      </c>
      <c r="I186" s="10">
        <f t="shared" si="20"/>
        <v>-8.6532276610656877E-4</v>
      </c>
      <c r="J186" s="20">
        <f t="shared" si="18"/>
        <v>0</v>
      </c>
      <c r="K186" s="10">
        <f t="shared" si="21"/>
        <v>-6.4056451345115839E-3</v>
      </c>
      <c r="L186" s="10">
        <f t="shared" si="22"/>
        <v>-3.8433870807073056E-3</v>
      </c>
    </row>
    <row r="187" spans="1:12" x14ac:dyDescent="0.2">
      <c r="A187" s="14">
        <v>0.122</v>
      </c>
      <c r="B187" s="10">
        <f t="shared" si="12"/>
        <v>-1.9736255489018601</v>
      </c>
      <c r="C187" s="10">
        <f t="shared" si="13"/>
        <v>0.74603045748490315</v>
      </c>
      <c r="D187" s="10">
        <f t="shared" si="14"/>
        <v>1.2509838975649574</v>
      </c>
      <c r="E187" s="10">
        <f t="shared" si="15"/>
        <v>3.4937787873737238</v>
      </c>
      <c r="F187" s="10">
        <f t="shared" si="19"/>
        <v>-2.2246347584939041E-2</v>
      </c>
      <c r="G187" s="10">
        <f t="shared" si="16"/>
        <v>-0.65857703466189133</v>
      </c>
      <c r="H187" s="10">
        <f t="shared" si="17"/>
        <v>0.34105933337545463</v>
      </c>
      <c r="I187" s="10">
        <f t="shared" si="20"/>
        <v>-8.5639522094455023E-4</v>
      </c>
      <c r="J187" s="20">
        <f t="shared" si="18"/>
        <v>0</v>
      </c>
      <c r="K187" s="10">
        <f t="shared" si="21"/>
        <v>-6.347230969242057E-3</v>
      </c>
      <c r="L187" s="10">
        <f t="shared" si="22"/>
        <v>-3.8083385815450566E-3</v>
      </c>
    </row>
    <row r="188" spans="1:12" x14ac:dyDescent="0.2">
      <c r="A188" s="14">
        <v>0.123</v>
      </c>
      <c r="B188" s="10">
        <f t="shared" si="12"/>
        <v>-1.9643226369997655</v>
      </c>
      <c r="C188" s="10">
        <f t="shared" si="13"/>
        <v>0.74054963414891162</v>
      </c>
      <c r="D188" s="10">
        <f t="shared" si="14"/>
        <v>1.2446944252771255</v>
      </c>
      <c r="E188" s="10">
        <f t="shared" si="15"/>
        <v>3.4718737203756684</v>
      </c>
      <c r="F188" s="10">
        <f t="shared" si="19"/>
        <v>-2.1905066998055389E-2</v>
      </c>
      <c r="G188" s="10">
        <f t="shared" si="16"/>
        <v>-0.66235071803459045</v>
      </c>
      <c r="H188" s="10">
        <f t="shared" si="17"/>
        <v>0.34021175321043629</v>
      </c>
      <c r="I188" s="10">
        <f t="shared" si="20"/>
        <v>-8.4758016501834677E-4</v>
      </c>
      <c r="J188" s="20">
        <f t="shared" si="18"/>
        <v>0</v>
      </c>
      <c r="K188" s="10">
        <f t="shared" si="21"/>
        <v>-6.2894722878319431E-3</v>
      </c>
      <c r="L188" s="10">
        <f t="shared" si="22"/>
        <v>-3.7736833726991215E-3</v>
      </c>
    </row>
    <row r="189" spans="1:12" x14ac:dyDescent="0.2">
      <c r="A189" s="14">
        <v>0.124</v>
      </c>
      <c r="B189" s="10">
        <f t="shared" si="12"/>
        <v>-1.9550845253313547</v>
      </c>
      <c r="C189" s="10">
        <f t="shared" si="13"/>
        <v>0.73511178152458934</v>
      </c>
      <c r="D189" s="10">
        <f t="shared" si="14"/>
        <v>1.2384620708869332</v>
      </c>
      <c r="E189" s="10">
        <f t="shared" si="15"/>
        <v>3.450303060770854</v>
      </c>
      <c r="F189" s="10">
        <f t="shared" si="19"/>
        <v>-2.1570659604814413E-2</v>
      </c>
      <c r="G189" s="10">
        <f t="shared" si="16"/>
        <v>-0.66609013066870593</v>
      </c>
      <c r="H189" s="10">
        <f t="shared" si="17"/>
        <v>0.3393728780139183</v>
      </c>
      <c r="I189" s="10">
        <f t="shared" si="20"/>
        <v>-8.3887519651798526E-4</v>
      </c>
      <c r="J189" s="20">
        <f t="shared" si="18"/>
        <v>0</v>
      </c>
      <c r="K189" s="10">
        <f t="shared" si="21"/>
        <v>-6.2323543901923184E-3</v>
      </c>
      <c r="L189" s="10">
        <f t="shared" si="22"/>
        <v>-3.7394126341154799E-3</v>
      </c>
    </row>
    <row r="190" spans="1:12" x14ac:dyDescent="0.2">
      <c r="A190" s="14">
        <v>0.125</v>
      </c>
      <c r="B190" s="10">
        <f t="shared" si="12"/>
        <v>-1.9459101490553135</v>
      </c>
      <c r="C190" s="10">
        <f t="shared" si="13"/>
        <v>0.72971630589574255</v>
      </c>
      <c r="D190" s="10">
        <f t="shared" si="14"/>
        <v>1.2322862078638204</v>
      </c>
      <c r="E190" s="10">
        <f t="shared" si="15"/>
        <v>3.4290601259265681</v>
      </c>
      <c r="F190" s="10">
        <f t="shared" si="19"/>
        <v>-2.1242934844285966E-2</v>
      </c>
      <c r="G190" s="10">
        <f t="shared" si="16"/>
        <v>-0.66979564848257334</v>
      </c>
      <c r="H190" s="10">
        <f t="shared" si="17"/>
        <v>0.33854260003056369</v>
      </c>
      <c r="I190" s="10">
        <f t="shared" si="20"/>
        <v>-8.3027798335461034E-4</v>
      </c>
      <c r="J190" s="20">
        <f t="shared" si="18"/>
        <v>0</v>
      </c>
      <c r="K190" s="10">
        <f t="shared" si="21"/>
        <v>-6.1758630231127931E-3</v>
      </c>
      <c r="L190" s="10">
        <f t="shared" si="22"/>
        <v>-3.7055178138674094E-3</v>
      </c>
    </row>
    <row r="191" spans="1:12" x14ac:dyDescent="0.2">
      <c r="A191" s="14">
        <v>0.126</v>
      </c>
      <c r="B191" s="10">
        <f t="shared" si="12"/>
        <v>-1.9367984687040574</v>
      </c>
      <c r="C191" s="10">
        <f t="shared" si="13"/>
        <v>0.72436262729531742</v>
      </c>
      <c r="D191" s="10">
        <f t="shared" si="14"/>
        <v>1.2261662235007911</v>
      </c>
      <c r="E191" s="10">
        <f t="shared" si="15"/>
        <v>3.4081384171417786</v>
      </c>
      <c r="F191" s="10">
        <f t="shared" si="19"/>
        <v>-2.0921708784789494E-2</v>
      </c>
      <c r="G191" s="10">
        <f t="shared" si="16"/>
        <v>-0.67346763910039131</v>
      </c>
      <c r="H191" s="10">
        <f t="shared" si="17"/>
        <v>0.33772081377002006</v>
      </c>
      <c r="I191" s="10">
        <f t="shared" si="20"/>
        <v>-8.2178626054363324E-4</v>
      </c>
      <c r="J191" s="20">
        <f t="shared" si="18"/>
        <v>0</v>
      </c>
      <c r="K191" s="10">
        <f t="shared" si="21"/>
        <v>-6.119984363029296E-3</v>
      </c>
      <c r="L191" s="10">
        <f t="shared" si="22"/>
        <v>-3.6719906178179773E-3</v>
      </c>
    </row>
    <row r="192" spans="1:12" x14ac:dyDescent="0.2">
      <c r="A192" s="14">
        <v>0.127</v>
      </c>
      <c r="B192" s="10">
        <f t="shared" si="12"/>
        <v>-1.927748469381011</v>
      </c>
      <c r="C192" s="10">
        <f t="shared" si="13"/>
        <v>0.71905017907911706</v>
      </c>
      <c r="D192" s="10">
        <f t="shared" si="14"/>
        <v>1.2201015185011983</v>
      </c>
      <c r="E192" s="10">
        <f t="shared" si="15"/>
        <v>3.3875316132981084</v>
      </c>
      <c r="F192" s="10">
        <f t="shared" si="19"/>
        <v>-2.0606803843670196E-2</v>
      </c>
      <c r="G192" s="10">
        <f t="shared" si="16"/>
        <v>-0.6771064621001468</v>
      </c>
      <c r="H192" s="10">
        <f t="shared" si="17"/>
        <v>0.33690741594231399</v>
      </c>
      <c r="I192" s="10">
        <f t="shared" si="20"/>
        <v>-8.1339782770606384E-4</v>
      </c>
      <c r="J192" s="20">
        <f t="shared" si="18"/>
        <v>0</v>
      </c>
      <c r="K192" s="10">
        <f t="shared" si="21"/>
        <v>-6.0647049995927738E-3</v>
      </c>
      <c r="L192" s="10">
        <f t="shared" si="22"/>
        <v>-3.6388229997554866E-3</v>
      </c>
    </row>
    <row r="193" spans="1:12" x14ac:dyDescent="0.2">
      <c r="A193" s="14">
        <v>0.128</v>
      </c>
      <c r="B193" s="10">
        <f t="shared" si="12"/>
        <v>-1.9187591599893623</v>
      </c>
      <c r="C193" s="10">
        <f t="shared" si="13"/>
        <v>0.71377840751604282</v>
      </c>
      <c r="D193" s="10">
        <f t="shared" si="14"/>
        <v>1.2140915065812046</v>
      </c>
      <c r="E193" s="10">
        <f t="shared" si="15"/>
        <v>3.3672335647771141</v>
      </c>
      <c r="F193" s="10">
        <f t="shared" si="19"/>
        <v>-2.0298048520994261E-2</v>
      </c>
      <c r="G193" s="10">
        <f t="shared" si="16"/>
        <v>-0.68071246925214313</v>
      </c>
      <c r="H193" s="10">
        <f t="shared" si="17"/>
        <v>0.33610230539562891</v>
      </c>
      <c r="I193" s="10">
        <f t="shared" si="20"/>
        <v>-8.0511054668508386E-4</v>
      </c>
      <c r="J193" s="20">
        <f t="shared" si="18"/>
        <v>0</v>
      </c>
      <c r="K193" s="10">
        <f t="shared" si="21"/>
        <v>-6.0100119199937296E-3</v>
      </c>
      <c r="L193" s="10">
        <f t="shared" si="22"/>
        <v>-3.6060071519963266E-3</v>
      </c>
    </row>
    <row r="194" spans="1:12" x14ac:dyDescent="0.2">
      <c r="A194" s="14">
        <v>0.129</v>
      </c>
      <c r="B194" s="10">
        <f t="shared" ref="B194:B257" si="23">LN(A194/(1-A194))</f>
        <v>-1.9098295724908305</v>
      </c>
      <c r="C194" s="10">
        <f t="shared" ref="C194:C257" si="24">(A194-0.5)*B194</f>
        <v>0.70854677139409816</v>
      </c>
      <c r="D194" s="10">
        <f t="shared" ref="D194:D257" si="25">$B$45+$B$46*B194+$B$47*C194</f>
        <v>1.2081356140872035</v>
      </c>
      <c r="E194" s="10">
        <f t="shared" ref="E194:E257" si="26">$B$14+EXP(D194)</f>
        <v>3.3472382876307414</v>
      </c>
      <c r="F194" s="10">
        <f t="shared" si="19"/>
        <v>-1.9995277146372725E-2</v>
      </c>
      <c r="G194" s="10">
        <f t="shared" ref="G194:G257" si="27">$C$45+$C$46*B194+$C$47*C194</f>
        <v>-0.68428600474854373</v>
      </c>
      <c r="H194" s="10">
        <f t="shared" ref="H194:H257" si="28">$C$14+($C$15-$C$14)/(1+EXP(-G194))</f>
        <v>0.33530538305636198</v>
      </c>
      <c r="I194" s="10">
        <f t="shared" si="20"/>
        <v>-7.9692233926692557E-4</v>
      </c>
      <c r="J194" s="20">
        <f t="shared" ref="J194:J257" si="29">G194-($B$22+$B$21*D194)</f>
        <v>0</v>
      </c>
      <c r="K194" s="10">
        <f t="shared" si="21"/>
        <v>-5.9558924940010805E-3</v>
      </c>
      <c r="L194" s="10">
        <f t="shared" si="22"/>
        <v>-3.5735354964006039E-3</v>
      </c>
    </row>
    <row r="195" spans="1:12" x14ac:dyDescent="0.2">
      <c r="A195" s="14">
        <v>0.13</v>
      </c>
      <c r="B195" s="10">
        <f t="shared" si="23"/>
        <v>-1.900958761193047</v>
      </c>
      <c r="C195" s="10">
        <f t="shared" si="24"/>
        <v>0.70335474164142742</v>
      </c>
      <c r="D195" s="10">
        <f t="shared" si="25"/>
        <v>1.202233279627525</v>
      </c>
      <c r="E195" s="10">
        <f t="shared" si="26"/>
        <v>3.3275399579925797</v>
      </c>
      <c r="F195" s="10">
        <f t="shared" ref="F195:F258" si="30">E195-E194</f>
        <v>-1.9698329638161649E-2</v>
      </c>
      <c r="G195" s="10">
        <f t="shared" si="27"/>
        <v>-0.68782740542435095</v>
      </c>
      <c r="H195" s="10">
        <f t="shared" si="28"/>
        <v>0.33451655187135759</v>
      </c>
      <c r="I195" s="10">
        <f t="shared" ref="I195:I258" si="31">H195-H194</f>
        <v>-7.8883118500439053E-4</v>
      </c>
      <c r="J195" s="20">
        <f t="shared" si="29"/>
        <v>0</v>
      </c>
      <c r="K195" s="10">
        <f t="shared" ref="K195:K258" si="32">D195-D194</f>
        <v>-5.902334459678471E-3</v>
      </c>
      <c r="L195" s="10">
        <f t="shared" ref="L195:L258" si="33">G195-G194</f>
        <v>-3.5414006758072158E-3</v>
      </c>
    </row>
    <row r="196" spans="1:12" x14ac:dyDescent="0.2">
      <c r="A196" s="14">
        <v>0.13100000000000001</v>
      </c>
      <c r="B196" s="10">
        <f t="shared" si="23"/>
        <v>-1.8921458020642405</v>
      </c>
      <c r="C196" s="10">
        <f t="shared" si="24"/>
        <v>0.6982018009617047</v>
      </c>
      <c r="D196" s="10">
        <f t="shared" si="25"/>
        <v>1.1963839537177796</v>
      </c>
      <c r="E196" s="10">
        <f t="shared" si="26"/>
        <v>3.3081329067182046</v>
      </c>
      <c r="F196" s="10">
        <f t="shared" si="30"/>
        <v>-1.9407051274375142E-2</v>
      </c>
      <c r="G196" s="10">
        <f t="shared" si="27"/>
        <v>-0.69133700097019801</v>
      </c>
      <c r="H196" s="10">
        <f t="shared" si="28"/>
        <v>0.33373571675222113</v>
      </c>
      <c r="I196" s="10">
        <f t="shared" si="31"/>
        <v>-7.808351191364582E-4</v>
      </c>
      <c r="J196" s="20">
        <f t="shared" si="29"/>
        <v>0</v>
      </c>
      <c r="K196" s="10">
        <f t="shared" si="32"/>
        <v>-5.8493259097454064E-3</v>
      </c>
      <c r="L196" s="10">
        <f t="shared" si="33"/>
        <v>-3.5095955458470662E-3</v>
      </c>
    </row>
    <row r="197" spans="1:12" x14ac:dyDescent="0.2">
      <c r="A197" s="14">
        <v>0.13200000000000001</v>
      </c>
      <c r="B197" s="10">
        <f t="shared" si="23"/>
        <v>-1.8833897920739793</v>
      </c>
      <c r="C197" s="10">
        <f t="shared" si="24"/>
        <v>0.69308744348322437</v>
      </c>
      <c r="D197" s="10">
        <f t="shared" si="25"/>
        <v>1.1905870984392426</v>
      </c>
      <c r="E197" s="10">
        <f t="shared" si="26"/>
        <v>3.2890116142436154</v>
      </c>
      <c r="F197" s="10">
        <f t="shared" si="30"/>
        <v>-1.9121292474589158E-2</v>
      </c>
      <c r="G197" s="10">
        <f t="shared" si="27"/>
        <v>-0.69481511413732</v>
      </c>
      <c r="H197" s="10">
        <f t="shared" si="28"/>
        <v>0.33296278452162326</v>
      </c>
      <c r="I197" s="10">
        <f t="shared" si="31"/>
        <v>-7.7293223059787808E-4</v>
      </c>
      <c r="J197" s="20">
        <f t="shared" si="29"/>
        <v>0</v>
      </c>
      <c r="K197" s="10">
        <f t="shared" si="32"/>
        <v>-5.7968552785370164E-3</v>
      </c>
      <c r="L197" s="10">
        <f t="shared" si="33"/>
        <v>-3.4781131671219878E-3</v>
      </c>
    </row>
    <row r="198" spans="1:12" x14ac:dyDescent="0.2">
      <c r="A198" s="14">
        <v>0.13300000000000001</v>
      </c>
      <c r="B198" s="10">
        <f t="shared" si="23"/>
        <v>-1.8746898485587882</v>
      </c>
      <c r="C198" s="10">
        <f t="shared" si="24"/>
        <v>0.68801117442107529</v>
      </c>
      <c r="D198" s="10">
        <f t="shared" si="25"/>
        <v>1.1848421871096879</v>
      </c>
      <c r="E198" s="10">
        <f t="shared" si="26"/>
        <v>3.2701707056512861</v>
      </c>
      <c r="F198" s="10">
        <f t="shared" si="30"/>
        <v>-1.8840908592329342E-2</v>
      </c>
      <c r="G198" s="10">
        <f t="shared" si="27"/>
        <v>-0.69826206093505294</v>
      </c>
      <c r="H198" s="10">
        <f t="shared" si="28"/>
        <v>0.33219766386150618</v>
      </c>
      <c r="I198" s="10">
        <f t="shared" si="31"/>
        <v>-7.6512066011708013E-4</v>
      </c>
      <c r="J198" s="20">
        <f t="shared" si="29"/>
        <v>0</v>
      </c>
      <c r="K198" s="10">
        <f t="shared" si="32"/>
        <v>-5.7449113295546805E-3</v>
      </c>
      <c r="L198" s="10">
        <f t="shared" si="33"/>
        <v>-3.4469467977329415E-3</v>
      </c>
    </row>
    <row r="199" spans="1:12" x14ac:dyDescent="0.2">
      <c r="A199" s="14">
        <v>0.13400000000000001</v>
      </c>
      <c r="B199" s="10">
        <f t="shared" si="23"/>
        <v>-1.8660451086115237</v>
      </c>
      <c r="C199" s="10">
        <f t="shared" si="24"/>
        <v>0.68297250975181767</v>
      </c>
      <c r="D199" s="10">
        <f t="shared" si="25"/>
        <v>1.179148703966139</v>
      </c>
      <c r="E199" s="10">
        <f t="shared" si="26"/>
        <v>3.2516049459340239</v>
      </c>
      <c r="F199" s="10">
        <f t="shared" si="30"/>
        <v>-1.8565759717262154E-2</v>
      </c>
      <c r="G199" s="10">
        <f t="shared" si="27"/>
        <v>-0.70167815082118246</v>
      </c>
      <c r="H199" s="10">
        <f t="shared" si="28"/>
        <v>0.33144026526311332</v>
      </c>
      <c r="I199" s="10">
        <f t="shared" si="31"/>
        <v>-7.573985983928555E-4</v>
      </c>
      <c r="J199" s="20">
        <f t="shared" si="29"/>
        <v>0</v>
      </c>
      <c r="K199" s="10">
        <f t="shared" si="32"/>
        <v>-5.6934831435488942E-3</v>
      </c>
      <c r="L199" s="10">
        <f t="shared" si="33"/>
        <v>-3.4160898861295141E-3</v>
      </c>
    </row>
    <row r="200" spans="1:12" x14ac:dyDescent="0.2">
      <c r="A200" s="14">
        <v>0.13500000000000001</v>
      </c>
      <c r="B200" s="10">
        <f t="shared" si="23"/>
        <v>-1.8574547284934499</v>
      </c>
      <c r="C200" s="10">
        <f t="shared" si="24"/>
        <v>0.67797097590010924</v>
      </c>
      <c r="D200" s="10">
        <f t="shared" si="25"/>
        <v>1.1735061438590091</v>
      </c>
      <c r="E200" s="10">
        <f t="shared" si="26"/>
        <v>3.2333092354472948</v>
      </c>
      <c r="F200" s="10">
        <f t="shared" si="30"/>
        <v>-1.8295710486729178E-2</v>
      </c>
      <c r="G200" s="10">
        <f t="shared" si="27"/>
        <v>-0.70506368688546028</v>
      </c>
      <c r="H200" s="10">
        <f t="shared" si="28"/>
        <v>0.33069050097876063</v>
      </c>
      <c r="I200" s="10">
        <f t="shared" si="31"/>
        <v>-7.4976428435269415E-4</v>
      </c>
      <c r="J200" s="20">
        <f t="shared" si="29"/>
        <v>0</v>
      </c>
      <c r="K200" s="10">
        <f t="shared" si="32"/>
        <v>-5.6425601071299347E-3</v>
      </c>
      <c r="L200" s="10">
        <f t="shared" si="33"/>
        <v>-3.3855360642778276E-3</v>
      </c>
    </row>
    <row r="201" spans="1:12" x14ac:dyDescent="0.2">
      <c r="A201" s="14">
        <v>0.13600000000000001</v>
      </c>
      <c r="B201" s="10">
        <f t="shared" si="23"/>
        <v>-1.8489178830680035</v>
      </c>
      <c r="C201" s="10">
        <f t="shared" si="24"/>
        <v>0.67300610943675332</v>
      </c>
      <c r="D201" s="10">
        <f t="shared" si="25"/>
        <v>1.1679140119571421</v>
      </c>
      <c r="E201" s="10">
        <f t="shared" si="26"/>
        <v>3.2152786055412084</v>
      </c>
      <c r="F201" s="10">
        <f t="shared" si="30"/>
        <v>-1.8030629906086393E-2</v>
      </c>
      <c r="G201" s="10">
        <f t="shared" si="27"/>
        <v>-0.70841896602658072</v>
      </c>
      <c r="H201" s="10">
        <f t="shared" si="28"/>
        <v>0.32994828497527834</v>
      </c>
      <c r="I201" s="10">
        <f t="shared" si="31"/>
        <v>-7.4221600348228778E-4</v>
      </c>
      <c r="J201" s="20">
        <f t="shared" si="29"/>
        <v>0</v>
      </c>
      <c r="K201" s="10">
        <f t="shared" si="32"/>
        <v>-5.5921319018670257E-3</v>
      </c>
      <c r="L201" s="10">
        <f t="shared" si="33"/>
        <v>-3.3552791411204375E-3</v>
      </c>
    </row>
    <row r="202" spans="1:12" x14ac:dyDescent="0.2">
      <c r="A202" s="14">
        <v>0.13700000000000001</v>
      </c>
      <c r="B202" s="10">
        <f t="shared" si="23"/>
        <v>-1.8404337652553029</v>
      </c>
      <c r="C202" s="10">
        <f t="shared" si="24"/>
        <v>0.66807745678767494</v>
      </c>
      <c r="D202" s="10">
        <f t="shared" si="25"/>
        <v>1.1623718234632843</v>
      </c>
      <c r="E202" s="10">
        <f t="shared" si="26"/>
        <v>3.1975082143638258</v>
      </c>
      <c r="F202" s="10">
        <f t="shared" si="30"/>
        <v>-1.777039117738255E-2</v>
      </c>
      <c r="G202" s="10">
        <f t="shared" si="27"/>
        <v>-0.71174427912289517</v>
      </c>
      <c r="H202" s="10">
        <f t="shared" si="28"/>
        <v>0.32921353288905253</v>
      </c>
      <c r="I202" s="10">
        <f t="shared" si="31"/>
        <v>-7.3475208622580945E-4</v>
      </c>
      <c r="J202" s="20">
        <f t="shared" si="29"/>
        <v>0</v>
      </c>
      <c r="K202" s="10">
        <f t="shared" si="32"/>
        <v>-5.5421884938577914E-3</v>
      </c>
      <c r="L202" s="10">
        <f t="shared" si="33"/>
        <v>-3.3253130963144528E-3</v>
      </c>
    </row>
    <row r="203" spans="1:12" x14ac:dyDescent="0.2">
      <c r="A203" s="14">
        <v>0.13800000000000001</v>
      </c>
      <c r="B203" s="10">
        <f t="shared" si="23"/>
        <v>-1.8320015855064884</v>
      </c>
      <c r="C203" s="10">
        <f t="shared" si="24"/>
        <v>0.66318457395334873</v>
      </c>
      <c r="D203" s="10">
        <f t="shared" si="25"/>
        <v>1.1568791033395462</v>
      </c>
      <c r="E203" s="10">
        <f t="shared" si="26"/>
        <v>3.1799933428278937</v>
      </c>
      <c r="F203" s="10">
        <f t="shared" si="30"/>
        <v>-1.7514871535932119E-2</v>
      </c>
      <c r="G203" s="10">
        <f t="shared" si="27"/>
        <v>-0.71503991119713795</v>
      </c>
      <c r="H203" s="10">
        <f t="shared" si="28"/>
        <v>0.32848616198259778</v>
      </c>
      <c r="I203" s="10">
        <f t="shared" si="31"/>
        <v>-7.2737090645474956E-4</v>
      </c>
      <c r="J203" s="20">
        <f t="shared" si="29"/>
        <v>0</v>
      </c>
      <c r="K203" s="10">
        <f t="shared" si="32"/>
        <v>-5.4927201237380263E-3</v>
      </c>
      <c r="L203" s="10">
        <f t="shared" si="33"/>
        <v>-3.2956320742427714E-3</v>
      </c>
    </row>
    <row r="204" spans="1:12" x14ac:dyDescent="0.2">
      <c r="A204" s="14">
        <v>0.13900000000000001</v>
      </c>
      <c r="B204" s="10">
        <f t="shared" si="23"/>
        <v>-1.823620571297039</v>
      </c>
      <c r="C204" s="10">
        <f t="shared" si="24"/>
        <v>0.65832702623823103</v>
      </c>
      <c r="D204" s="10">
        <f t="shared" si="25"/>
        <v>1.1514353860424296</v>
      </c>
      <c r="E204" s="10">
        <f t="shared" si="26"/>
        <v>3.1627293907335337</v>
      </c>
      <c r="F204" s="10">
        <f t="shared" si="30"/>
        <v>-1.7263952094360047E-2</v>
      </c>
      <c r="G204" s="10">
        <f t="shared" si="27"/>
        <v>-0.71830614157540817</v>
      </c>
      <c r="H204" s="10">
        <f t="shared" si="28"/>
        <v>0.32776609110260096</v>
      </c>
      <c r="I204" s="10">
        <f t="shared" si="31"/>
        <v>-7.2007087999681474E-4</v>
      </c>
      <c r="J204" s="20">
        <f t="shared" si="29"/>
        <v>0</v>
      </c>
      <c r="K204" s="10">
        <f t="shared" si="32"/>
        <v>-5.4437172971166792E-3</v>
      </c>
      <c r="L204" s="10">
        <f t="shared" si="33"/>
        <v>-3.2662303782702296E-3</v>
      </c>
    </row>
    <row r="205" spans="1:12" x14ac:dyDescent="0.2">
      <c r="A205" s="14">
        <v>0.14000000000000001</v>
      </c>
      <c r="B205" s="10">
        <f t="shared" si="23"/>
        <v>-1.8152899666382492</v>
      </c>
      <c r="C205" s="10">
        <f t="shared" si="24"/>
        <v>0.65350438798976962</v>
      </c>
      <c r="D205" s="10">
        <f t="shared" si="25"/>
        <v>1.1460402152670155</v>
      </c>
      <c r="E205" s="10">
        <f t="shared" si="26"/>
        <v>3.1457118730397884</v>
      </c>
      <c r="F205" s="10">
        <f t="shared" si="30"/>
        <v>-1.7017517693745265E-2</v>
      </c>
      <c r="G205" s="10">
        <f t="shared" si="27"/>
        <v>-0.7215432440406564</v>
      </c>
      <c r="H205" s="10">
        <f t="shared" si="28"/>
        <v>0.32705324063937147</v>
      </c>
      <c r="I205" s="10">
        <f t="shared" si="31"/>
        <v>-7.1285046322949741E-4</v>
      </c>
      <c r="J205" s="20">
        <f t="shared" si="29"/>
        <v>0</v>
      </c>
      <c r="K205" s="10">
        <f t="shared" si="32"/>
        <v>-5.395170775414071E-3</v>
      </c>
      <c r="L205" s="10">
        <f t="shared" si="33"/>
        <v>-3.2371024652482205E-3</v>
      </c>
    </row>
    <row r="206" spans="1:12" x14ac:dyDescent="0.2">
      <c r="A206" s="14">
        <v>0.14099999999999999</v>
      </c>
      <c r="B206" s="10">
        <f t="shared" si="23"/>
        <v>-1.8070090316060872</v>
      </c>
      <c r="C206" s="10">
        <f t="shared" si="24"/>
        <v>0.64871624234658531</v>
      </c>
      <c r="D206" s="10">
        <f t="shared" si="25"/>
        <v>1.1406931436999421</v>
      </c>
      <c r="E206" s="10">
        <f t="shared" si="26"/>
        <v>3.1289364162783375</v>
      </c>
      <c r="F206" s="10">
        <f t="shared" si="30"/>
        <v>-1.6775456761450869E-2</v>
      </c>
      <c r="G206" s="10">
        <f t="shared" si="27"/>
        <v>-0.72475148698090042</v>
      </c>
      <c r="H206" s="10">
        <f t="shared" si="28"/>
        <v>0.32634753248764398</v>
      </c>
      <c r="I206" s="10">
        <f t="shared" si="31"/>
        <v>-7.0570815172749102E-4</v>
      </c>
      <c r="J206" s="20">
        <f t="shared" si="29"/>
        <v>0</v>
      </c>
      <c r="K206" s="10">
        <f t="shared" si="32"/>
        <v>-5.3470715670733693E-3</v>
      </c>
      <c r="L206" s="10">
        <f t="shared" si="33"/>
        <v>-3.2082429402440216E-3</v>
      </c>
    </row>
    <row r="207" spans="1:12" x14ac:dyDescent="0.2">
      <c r="A207" s="14">
        <v>0.14199999999999999</v>
      </c>
      <c r="B207" s="10">
        <f t="shared" si="23"/>
        <v>-1.7987770418867017</v>
      </c>
      <c r="C207" s="10">
        <f t="shared" si="24"/>
        <v>0.64396218099543923</v>
      </c>
      <c r="D207" s="10">
        <f t="shared" si="25"/>
        <v>1.1353937327807953</v>
      </c>
      <c r="E207" s="10">
        <f t="shared" si="26"/>
        <v>3.1123987551029861</v>
      </c>
      <c r="F207" s="10">
        <f t="shared" si="30"/>
        <v>-1.6537661175351381E-2</v>
      </c>
      <c r="G207" s="10">
        <f t="shared" si="27"/>
        <v>-0.72793113353238859</v>
      </c>
      <c r="H207" s="10">
        <f t="shared" si="28"/>
        <v>0.32564889000867697</v>
      </c>
      <c r="I207" s="10">
        <f t="shared" si="31"/>
        <v>-6.9864247896700427E-4</v>
      </c>
      <c r="J207" s="20">
        <f t="shared" si="29"/>
        <v>0</v>
      </c>
      <c r="K207" s="10">
        <f t="shared" si="32"/>
        <v>-5.2994109191468741E-3</v>
      </c>
      <c r="L207" s="10">
        <f t="shared" si="33"/>
        <v>-3.1796465514881689E-3</v>
      </c>
    </row>
    <row r="208" spans="1:12" x14ac:dyDescent="0.2">
      <c r="A208" s="14">
        <v>0.14299999999999999</v>
      </c>
      <c r="B208" s="10">
        <f t="shared" si="23"/>
        <v>-1.7905932883378726</v>
      </c>
      <c r="C208" s="10">
        <f t="shared" si="24"/>
        <v>0.63924180393662045</v>
      </c>
      <c r="D208" s="10">
        <f t="shared" si="25"/>
        <v>1.1301415524715779</v>
      </c>
      <c r="E208" s="10">
        <f t="shared" si="26"/>
        <v>3.0960947289689167</v>
      </c>
      <c r="F208" s="10">
        <f t="shared" si="30"/>
        <v>-1.6304026134069449E-2</v>
      </c>
      <c r="G208" s="10">
        <f t="shared" si="27"/>
        <v>-0.73108244171791892</v>
      </c>
      <c r="H208" s="10">
        <f t="shared" si="28"/>
        <v>0.32495723799359538</v>
      </c>
      <c r="I208" s="10">
        <f t="shared" si="31"/>
        <v>-6.9165201508158969E-4</v>
      </c>
      <c r="J208" s="20">
        <f t="shared" si="29"/>
        <v>0</v>
      </c>
      <c r="K208" s="10">
        <f t="shared" si="32"/>
        <v>-5.2521803092173691E-3</v>
      </c>
      <c r="L208" s="10">
        <f t="shared" si="33"/>
        <v>-3.1513081855303327E-3</v>
      </c>
    </row>
    <row r="209" spans="1:12" x14ac:dyDescent="0.2">
      <c r="A209" s="14">
        <v>0.14399999999999999</v>
      </c>
      <c r="B209" s="10">
        <f t="shared" si="23"/>
        <v>-1.7824570765657415</v>
      </c>
      <c r="C209" s="10">
        <f t="shared" si="24"/>
        <v>0.63455471925740392</v>
      </c>
      <c r="D209" s="10">
        <f t="shared" si="25"/>
        <v>1.1249361810339238</v>
      </c>
      <c r="E209" s="10">
        <f t="shared" si="26"/>
        <v>3.0800202789359559</v>
      </c>
      <c r="F209" s="10">
        <f t="shared" si="30"/>
        <v>-1.6074450032960819E-2</v>
      </c>
      <c r="G209" s="10">
        <f t="shared" si="27"/>
        <v>-0.73420566458051151</v>
      </c>
      <c r="H209" s="10">
        <f t="shared" si="28"/>
        <v>0.32427250262792834</v>
      </c>
      <c r="I209" s="10">
        <f t="shared" si="31"/>
        <v>-6.8473536566704407E-4</v>
      </c>
      <c r="J209" s="20">
        <f t="shared" si="29"/>
        <v>0</v>
      </c>
      <c r="K209" s="10">
        <f t="shared" si="32"/>
        <v>-5.2053714376540938E-3</v>
      </c>
      <c r="L209" s="10">
        <f t="shared" si="33"/>
        <v>-3.1232228625925895E-3</v>
      </c>
    </row>
    <row r="210" spans="1:12" x14ac:dyDescent="0.2">
      <c r="A210" s="14">
        <v>0.14499999999999999</v>
      </c>
      <c r="B210" s="10">
        <f t="shared" si="23"/>
        <v>-1.7743677265161859</v>
      </c>
      <c r="C210" s="10">
        <f t="shared" si="24"/>
        <v>0.62990054291324593</v>
      </c>
      <c r="D210" s="10">
        <f t="shared" si="25"/>
        <v>1.1197772048137387</v>
      </c>
      <c r="E210" s="10">
        <f t="shared" si="26"/>
        <v>3.064171444590416</v>
      </c>
      <c r="F210" s="10">
        <f t="shared" si="30"/>
        <v>-1.5848834345539853E-2</v>
      </c>
      <c r="G210" s="10">
        <f t="shared" si="27"/>
        <v>-0.7373010503126225</v>
      </c>
      <c r="H210" s="10">
        <f t="shared" si="28"/>
        <v>0.32359461145729274</v>
      </c>
      <c r="I210" s="10">
        <f t="shared" si="31"/>
        <v>-6.7789117063560278E-4</v>
      </c>
      <c r="J210" s="20">
        <f t="shared" si="29"/>
        <v>0</v>
      </c>
      <c r="K210" s="10">
        <f t="shared" si="32"/>
        <v>-5.1589762201851297E-3</v>
      </c>
      <c r="L210" s="10">
        <f t="shared" si="33"/>
        <v>-3.095385732110989E-3</v>
      </c>
    </row>
    <row r="211" spans="1:12" x14ac:dyDescent="0.2">
      <c r="A211" s="14">
        <v>0.14599999999999999</v>
      </c>
      <c r="B211" s="10">
        <f t="shared" si="23"/>
        <v>-1.7663245720802334</v>
      </c>
      <c r="C211" s="10">
        <f t="shared" si="24"/>
        <v>0.62527889851640261</v>
      </c>
      <c r="D211" s="10">
        <f t="shared" si="25"/>
        <v>1.1146642180329802</v>
      </c>
      <c r="E211" s="10">
        <f t="shared" si="26"/>
        <v>3.048544361080364</v>
      </c>
      <c r="F211" s="10">
        <f t="shared" si="30"/>
        <v>-1.5627083510052042E-2</v>
      </c>
      <c r="G211" s="10">
        <f t="shared" si="27"/>
        <v>-0.7403688423810777</v>
      </c>
      <c r="H211" s="10">
        <f t="shared" si="28"/>
        <v>0.32292349335418002</v>
      </c>
      <c r="I211" s="10">
        <f t="shared" si="31"/>
        <v>-6.7111810311271114E-4</v>
      </c>
      <c r="J211" s="20">
        <f t="shared" si="29"/>
        <v>0</v>
      </c>
      <c r="K211" s="10">
        <f t="shared" si="32"/>
        <v>-5.1129867807584439E-3</v>
      </c>
      <c r="L211" s="10">
        <f t="shared" si="33"/>
        <v>-3.0677920684551996E-3</v>
      </c>
    </row>
    <row r="212" spans="1:12" x14ac:dyDescent="0.2">
      <c r="A212" s="14">
        <v>0.14699999999999999</v>
      </c>
      <c r="B212" s="10">
        <f t="shared" si="23"/>
        <v>-1.7583269607129428</v>
      </c>
      <c r="C212" s="10">
        <f t="shared" si="24"/>
        <v>0.62068941713166881</v>
      </c>
      <c r="D212" s="10">
        <f t="shared" si="25"/>
        <v>1.1095968225882822</v>
      </c>
      <c r="E212" s="10">
        <f t="shared" si="26"/>
        <v>3.0331352562593934</v>
      </c>
      <c r="F212" s="10">
        <f t="shared" si="30"/>
        <v>-1.5409104820970576E-2</v>
      </c>
      <c r="G212" s="10">
        <f t="shared" si="27"/>
        <v>-0.74340927964789638</v>
      </c>
      <c r="H212" s="10">
        <f t="shared" si="28"/>
        <v>0.32225907848580132</v>
      </c>
      <c r="I212" s="10">
        <f t="shared" si="31"/>
        <v>-6.6441486837870434E-4</v>
      </c>
      <c r="J212" s="20">
        <f t="shared" si="29"/>
        <v>0</v>
      </c>
      <c r="K212" s="10">
        <f t="shared" si="32"/>
        <v>-5.0673954446980307E-3</v>
      </c>
      <c r="L212" s="10">
        <f t="shared" si="33"/>
        <v>-3.0404372668186852E-3</v>
      </c>
    </row>
    <row r="213" spans="1:12" x14ac:dyDescent="0.2">
      <c r="A213" s="14">
        <v>0.14799999999999999</v>
      </c>
      <c r="B213" s="10">
        <f t="shared" si="23"/>
        <v>-1.7503742530652007</v>
      </c>
      <c r="C213" s="10">
        <f t="shared" si="24"/>
        <v>0.61613173707895064</v>
      </c>
      <c r="D213" s="10">
        <f t="shared" si="25"/>
        <v>1.1045746278561583</v>
      </c>
      <c r="E213" s="10">
        <f t="shared" si="26"/>
        <v>3.01794044793425</v>
      </c>
      <c r="F213" s="10">
        <f t="shared" si="30"/>
        <v>-1.5194808325143416E-2</v>
      </c>
      <c r="G213" s="10">
        <f t="shared" si="27"/>
        <v>-0.74642259648717069</v>
      </c>
      <c r="H213" s="10">
        <f t="shared" si="28"/>
        <v>0.32160129828295025</v>
      </c>
      <c r="I213" s="10">
        <f t="shared" si="31"/>
        <v>-6.5778020285106598E-4</v>
      </c>
      <c r="J213" s="20">
        <f t="shared" si="29"/>
        <v>0</v>
      </c>
      <c r="K213" s="10">
        <f t="shared" si="32"/>
        <v>-5.0221947321238414E-3</v>
      </c>
      <c r="L213" s="10">
        <f t="shared" si="33"/>
        <v>-3.0133168392743048E-3</v>
      </c>
    </row>
    <row r="214" spans="1:12" x14ac:dyDescent="0.2">
      <c r="A214" s="14">
        <v>0.14899999999999999</v>
      </c>
      <c r="B214" s="10">
        <f t="shared" si="23"/>
        <v>-1.7424658226279151</v>
      </c>
      <c r="C214" s="10">
        <f t="shared" si="24"/>
        <v>0.61160550374239819</v>
      </c>
      <c r="D214" s="10">
        <f t="shared" si="25"/>
        <v>1.0995972505045215</v>
      </c>
      <c r="E214" s="10">
        <f t="shared" si="26"/>
        <v>3.0029563412118621</v>
      </c>
      <c r="F214" s="10">
        <f t="shared" si="30"/>
        <v>-1.4984106722387924E-2</v>
      </c>
      <c r="G214" s="10">
        <f t="shared" si="27"/>
        <v>-0.74940902289815292</v>
      </c>
      <c r="H214" s="10">
        <f t="shared" si="28"/>
        <v>0.32095008540984438</v>
      </c>
      <c r="I214" s="10">
        <f t="shared" si="31"/>
        <v>-6.512128731058775E-4</v>
      </c>
      <c r="J214" s="20">
        <f t="shared" si="29"/>
        <v>0</v>
      </c>
      <c r="K214" s="10">
        <f t="shared" si="32"/>
        <v>-4.9773773516368358E-3</v>
      </c>
      <c r="L214" s="10">
        <f t="shared" si="33"/>
        <v>-2.9864264109822347E-3</v>
      </c>
    </row>
    <row r="215" spans="1:12" x14ac:dyDescent="0.2">
      <c r="A215" s="14">
        <v>0.15</v>
      </c>
      <c r="B215" s="10">
        <f t="shared" si="23"/>
        <v>-1.7346010553881064</v>
      </c>
      <c r="C215" s="10">
        <f t="shared" si="24"/>
        <v>0.60711036938583718</v>
      </c>
      <c r="D215" s="10">
        <f t="shared" si="25"/>
        <v>1.0946643143102772</v>
      </c>
      <c r="E215" s="10">
        <f t="shared" si="26"/>
        <v>2.988179425941587</v>
      </c>
      <c r="F215" s="10">
        <f t="shared" si="30"/>
        <v>-1.4776915270275026E-2</v>
      </c>
      <c r="G215" s="10">
        <f t="shared" si="27"/>
        <v>-0.75236878461469958</v>
      </c>
      <c r="H215" s="10">
        <f t="shared" si="28"/>
        <v>0.32030537373490803</v>
      </c>
      <c r="I215" s="10">
        <f t="shared" si="31"/>
        <v>-6.4471167493634907E-4</v>
      </c>
      <c r="J215" s="20">
        <f t="shared" si="29"/>
        <v>0</v>
      </c>
      <c r="K215" s="10">
        <f t="shared" si="32"/>
        <v>-4.9329361942442862E-3</v>
      </c>
      <c r="L215" s="10">
        <f t="shared" si="33"/>
        <v>-2.9597617165466605E-3</v>
      </c>
    </row>
    <row r="216" spans="1:12" x14ac:dyDescent="0.2">
      <c r="A216" s="14">
        <v>0.151</v>
      </c>
      <c r="B216" s="10">
        <f t="shared" si="23"/>
        <v>-1.726779349496423</v>
      </c>
      <c r="C216" s="10">
        <f t="shared" si="24"/>
        <v>0.60264599297425159</v>
      </c>
      <c r="D216" s="10">
        <f t="shared" si="25"/>
        <v>1.0897754499827492</v>
      </c>
      <c r="E216" s="10">
        <f t="shared" si="26"/>
        <v>2.9736062742486302</v>
      </c>
      <c r="F216" s="10">
        <f t="shared" si="30"/>
        <v>-1.4573151692956809E-2</v>
      </c>
      <c r="G216" s="10">
        <f t="shared" si="27"/>
        <v>-0.75530210321121616</v>
      </c>
      <c r="H216" s="10">
        <f t="shared" si="28"/>
        <v>0.31966709830246026</v>
      </c>
      <c r="I216" s="10">
        <f t="shared" si="31"/>
        <v>-6.3827543244776574E-4</v>
      </c>
      <c r="J216" s="20">
        <f t="shared" si="29"/>
        <v>0</v>
      </c>
      <c r="K216" s="10">
        <f t="shared" si="32"/>
        <v>-4.8888643275279975E-3</v>
      </c>
      <c r="L216" s="10">
        <f t="shared" si="33"/>
        <v>-2.9333185965165764E-3</v>
      </c>
    </row>
    <row r="217" spans="1:12" x14ac:dyDescent="0.2">
      <c r="A217" s="14">
        <v>0.152</v>
      </c>
      <c r="B217" s="10">
        <f t="shared" si="23"/>
        <v>-1.7190001149456267</v>
      </c>
      <c r="C217" s="10">
        <f t="shared" si="24"/>
        <v>0.59821204000107808</v>
      </c>
      <c r="D217" s="10">
        <f t="shared" si="25"/>
        <v>1.0849302949927198</v>
      </c>
      <c r="E217" s="10">
        <f t="shared" si="26"/>
        <v>2.9592335381548591</v>
      </c>
      <c r="F217" s="10">
        <f t="shared" si="30"/>
        <v>-1.4372736093771099E-2</v>
      </c>
      <c r="G217" s="10">
        <f t="shared" si="27"/>
        <v>-0.75820919620523397</v>
      </c>
      <c r="H217" s="10">
        <f t="shared" si="28"/>
        <v>0.31903519530527358</v>
      </c>
      <c r="I217" s="10">
        <f t="shared" si="31"/>
        <v>-6.3190299718668408E-4</v>
      </c>
      <c r="J217" s="20">
        <f t="shared" si="29"/>
        <v>0</v>
      </c>
      <c r="K217" s="10">
        <f t="shared" si="32"/>
        <v>-4.8451549900294655E-3</v>
      </c>
      <c r="L217" s="10">
        <f t="shared" si="33"/>
        <v>-2.9070929940178125E-3</v>
      </c>
    </row>
    <row r="218" spans="1:12" x14ac:dyDescent="0.2">
      <c r="A218" s="14">
        <v>0.153</v>
      </c>
      <c r="B218" s="10">
        <f t="shared" si="23"/>
        <v>-1.7112627732596188</v>
      </c>
      <c r="C218" s="10">
        <f t="shared" si="24"/>
        <v>0.59380818232108767</v>
      </c>
      <c r="D218" s="10">
        <f t="shared" si="25"/>
        <v>1.0801284934068607</v>
      </c>
      <c r="E218" s="10">
        <f t="shared" si="26"/>
        <v>2.9450579472833422</v>
      </c>
      <c r="F218" s="10">
        <f t="shared" si="30"/>
        <v>-1.4175590871516874E-2</v>
      </c>
      <c r="G218" s="10">
        <f t="shared" si="27"/>
        <v>-0.76109027715674937</v>
      </c>
      <c r="H218" s="10">
        <f t="shared" si="28"/>
        <v>0.31840960205797247</v>
      </c>
      <c r="I218" s="10">
        <f t="shared" si="31"/>
        <v>-6.2559324730110388E-4</v>
      </c>
      <c r="J218" s="20">
        <f t="shared" si="29"/>
        <v>0</v>
      </c>
      <c r="K218" s="10">
        <f t="shared" si="32"/>
        <v>-4.8018015858590779E-3</v>
      </c>
      <c r="L218" s="10">
        <f t="shared" si="33"/>
        <v>-2.8810809515154023E-3</v>
      </c>
    </row>
    <row r="219" spans="1:12" x14ac:dyDescent="0.2">
      <c r="A219" s="14">
        <v>0.154</v>
      </c>
      <c r="B219" s="10">
        <f t="shared" si="23"/>
        <v>-1.7035667571925941</v>
      </c>
      <c r="C219" s="10">
        <f t="shared" si="24"/>
        <v>0.58943409798863755</v>
      </c>
      <c r="D219" s="10">
        <f t="shared" si="25"/>
        <v>1.0753696957273604</v>
      </c>
      <c r="E219" s="10">
        <f t="shared" si="26"/>
        <v>2.9310763066431904</v>
      </c>
      <c r="F219" s="10">
        <f t="shared" si="30"/>
        <v>-1.3981640640151838E-2</v>
      </c>
      <c r="G219" s="10">
        <f t="shared" si="27"/>
        <v>-0.76394555576444956</v>
      </c>
      <c r="H219" s="10">
        <f t="shared" si="28"/>
        <v>0.31779025697123769</v>
      </c>
      <c r="I219" s="10">
        <f t="shared" si="31"/>
        <v>-6.1934508673477939E-4</v>
      </c>
      <c r="J219" s="20">
        <f t="shared" si="29"/>
        <v>0</v>
      </c>
      <c r="K219" s="10">
        <f t="shared" si="32"/>
        <v>-4.7587976795002707E-3</v>
      </c>
      <c r="L219" s="10">
        <f t="shared" si="33"/>
        <v>-2.8552786077001846E-3</v>
      </c>
    </row>
    <row r="220" spans="1:12" x14ac:dyDescent="0.2">
      <c r="A220" s="14">
        <v>0.155</v>
      </c>
      <c r="B220" s="10">
        <f t="shared" si="23"/>
        <v>-1.6959115104379272</v>
      </c>
      <c r="C220" s="10">
        <f t="shared" si="24"/>
        <v>0.58508947110108489</v>
      </c>
      <c r="D220" s="10">
        <f t="shared" si="25"/>
        <v>1.07065355873654</v>
      </c>
      <c r="E220" s="10">
        <f t="shared" si="26"/>
        <v>2.917285494491376</v>
      </c>
      <c r="F220" s="10">
        <f t="shared" si="30"/>
        <v>-1.3790812151814436E-2</v>
      </c>
      <c r="G220" s="10">
        <f t="shared" si="27"/>
        <v>-0.76677523795894165</v>
      </c>
      <c r="H220" s="10">
        <f t="shared" si="28"/>
        <v>0.31717709952678935</v>
      </c>
      <c r="I220" s="10">
        <f t="shared" si="31"/>
        <v>-6.131574444483423E-4</v>
      </c>
      <c r="J220" s="20">
        <f t="shared" si="29"/>
        <v>0</v>
      </c>
      <c r="K220" s="10">
        <f t="shared" si="32"/>
        <v>-4.7161369908204076E-3</v>
      </c>
      <c r="L220" s="10">
        <f t="shared" si="33"/>
        <v>-2.8296821944920891E-3</v>
      </c>
    </row>
    <row r="221" spans="1:12" x14ac:dyDescent="0.2">
      <c r="A221" s="14">
        <v>0.156</v>
      </c>
      <c r="B221" s="10">
        <f t="shared" si="23"/>
        <v>-1.6882964873464201</v>
      </c>
      <c r="C221" s="10">
        <f t="shared" si="24"/>
        <v>0.58077399164716847</v>
      </c>
      <c r="D221" s="10">
        <f t="shared" si="25"/>
        <v>1.0659797453462798</v>
      </c>
      <c r="E221" s="10">
        <f t="shared" si="26"/>
        <v>2.9036824602684104</v>
      </c>
      <c r="F221" s="10">
        <f t="shared" si="30"/>
        <v>-1.3603034222965604E-2</v>
      </c>
      <c r="G221" s="10">
        <f t="shared" si="27"/>
        <v>-0.76957952599309787</v>
      </c>
      <c r="H221" s="10">
        <f t="shared" si="28"/>
        <v>0.3165700702531179</v>
      </c>
      <c r="I221" s="10">
        <f t="shared" si="31"/>
        <v>-6.0702927367145554E-4</v>
      </c>
      <c r="J221" s="20">
        <f t="shared" si="29"/>
        <v>0</v>
      </c>
      <c r="K221" s="10">
        <f t="shared" si="32"/>
        <v>-4.6738133902601842E-3</v>
      </c>
      <c r="L221" s="10">
        <f t="shared" si="33"/>
        <v>-2.8042880341562215E-3</v>
      </c>
    </row>
    <row r="222" spans="1:12" x14ac:dyDescent="0.2">
      <c r="A222" s="14">
        <v>0.157</v>
      </c>
      <c r="B222" s="10">
        <f t="shared" si="23"/>
        <v>-1.6807211526535473</v>
      </c>
      <c r="C222" s="10">
        <f t="shared" si="24"/>
        <v>0.57648735536016671</v>
      </c>
      <c r="D222" s="10">
        <f t="shared" si="25"/>
        <v>1.0613479244520729</v>
      </c>
      <c r="E222" s="10">
        <f t="shared" si="26"/>
        <v>2.8902642226048845</v>
      </c>
      <c r="F222" s="10">
        <f t="shared" si="30"/>
        <v>-1.34182376635259E-2</v>
      </c>
      <c r="G222" s="10">
        <f t="shared" si="27"/>
        <v>-0.77235861852962184</v>
      </c>
      <c r="H222" s="10">
        <f t="shared" si="28"/>
        <v>0.31596911070193823</v>
      </c>
      <c r="I222" s="10">
        <f t="shared" si="31"/>
        <v>-6.0095955117966948E-4</v>
      </c>
      <c r="J222" s="20">
        <f t="shared" si="29"/>
        <v>0</v>
      </c>
      <c r="K222" s="10">
        <f t="shared" si="32"/>
        <v>-4.6318208942068839E-3</v>
      </c>
      <c r="L222" s="10">
        <f t="shared" si="33"/>
        <v>-2.7790925365239749E-3</v>
      </c>
    </row>
    <row r="223" spans="1:12" x14ac:dyDescent="0.2">
      <c r="A223" s="14">
        <v>0.158</v>
      </c>
      <c r="B223" s="10">
        <f t="shared" si="23"/>
        <v>-1.6731849812153599</v>
      </c>
      <c r="C223" s="10">
        <f t="shared" si="24"/>
        <v>0.57222926357565307</v>
      </c>
      <c r="D223" s="10">
        <f t="shared" si="25"/>
        <v>1.056757770791533</v>
      </c>
      <c r="E223" s="10">
        <f t="shared" si="26"/>
        <v>2.8770278673960101</v>
      </c>
      <c r="F223" s="10">
        <f t="shared" si="30"/>
        <v>-1.323635520887434E-2</v>
      </c>
      <c r="G223" s="10">
        <f t="shared" si="27"/>
        <v>-0.77511271072594579</v>
      </c>
      <c r="H223" s="10">
        <f t="shared" si="28"/>
        <v>0.31537416342533714</v>
      </c>
      <c r="I223" s="10">
        <f t="shared" si="31"/>
        <v>-5.949472766010877E-4</v>
      </c>
      <c r="J223" s="20">
        <f t="shared" si="29"/>
        <v>0</v>
      </c>
      <c r="K223" s="10">
        <f t="shared" si="32"/>
        <v>-4.5901536605399418E-3</v>
      </c>
      <c r="L223" s="10">
        <f t="shared" si="33"/>
        <v>-2.7540921963239429E-3</v>
      </c>
    </row>
    <row r="224" spans="1:12" x14ac:dyDescent="0.2">
      <c r="A224" s="14">
        <v>0.159</v>
      </c>
      <c r="B224" s="10">
        <f t="shared" si="23"/>
        <v>-1.6656874577527165</v>
      </c>
      <c r="C224" s="10">
        <f t="shared" si="24"/>
        <v>0.56799942309367624</v>
      </c>
      <c r="D224" s="10">
        <f t="shared" si="25"/>
        <v>1.0522089648071964</v>
      </c>
      <c r="E224" s="10">
        <f t="shared" si="26"/>
        <v>2.8639705459414526</v>
      </c>
      <c r="F224" s="10">
        <f t="shared" si="30"/>
        <v>-1.3057321454557513E-2</v>
      </c>
      <c r="G224" s="10">
        <f t="shared" si="27"/>
        <v>-0.77784199431654799</v>
      </c>
      <c r="H224" s="10">
        <f t="shared" si="28"/>
        <v>0.31478517195359335</v>
      </c>
      <c r="I224" s="10">
        <f t="shared" si="31"/>
        <v>-5.8899147174379385E-4</v>
      </c>
      <c r="J224" s="20">
        <f t="shared" si="29"/>
        <v>0</v>
      </c>
      <c r="K224" s="10">
        <f t="shared" si="32"/>
        <v>-4.5488059843366013E-3</v>
      </c>
      <c r="L224" s="10">
        <f t="shared" si="33"/>
        <v>-2.729283590602205E-3</v>
      </c>
    </row>
    <row r="225" spans="1:12" x14ac:dyDescent="0.2">
      <c r="A225" s="14">
        <v>0.16</v>
      </c>
      <c r="B225" s="10">
        <f t="shared" si="23"/>
        <v>-1.6582280766035322</v>
      </c>
      <c r="C225" s="10">
        <f t="shared" si="24"/>
        <v>0.56379754604520094</v>
      </c>
      <c r="D225" s="10">
        <f t="shared" si="25"/>
        <v>1.0477011925134585</v>
      </c>
      <c r="E225" s="10">
        <f t="shared" si="26"/>
        <v>2.8510894731478569</v>
      </c>
      <c r="F225" s="10">
        <f t="shared" si="30"/>
        <v>-1.2881072793595738E-2</v>
      </c>
      <c r="G225" s="10">
        <f t="shared" si="27"/>
        <v>-0.78054665769279075</v>
      </c>
      <c r="H225" s="10">
        <f t="shared" si="28"/>
        <v>0.31420208077364287</v>
      </c>
      <c r="I225" s="10">
        <f t="shared" si="31"/>
        <v>-5.8309117995047899E-4</v>
      </c>
      <c r="J225" s="20">
        <f t="shared" si="29"/>
        <v>0</v>
      </c>
      <c r="K225" s="10">
        <f t="shared" si="32"/>
        <v>-4.5077722937378883E-3</v>
      </c>
      <c r="L225" s="10">
        <f t="shared" si="33"/>
        <v>-2.7046633762427552E-3</v>
      </c>
    </row>
    <row r="226" spans="1:12" x14ac:dyDescent="0.2">
      <c r="A226" s="14">
        <v>0.161</v>
      </c>
      <c r="B226" s="10">
        <f t="shared" si="23"/>
        <v>-1.6508063414827432</v>
      </c>
      <c r="C226" s="10">
        <f t="shared" si="24"/>
        <v>0.55962334976264994</v>
      </c>
      <c r="D226" s="10">
        <f t="shared" si="25"/>
        <v>1.0432341453674949</v>
      </c>
      <c r="E226" s="10">
        <f t="shared" si="26"/>
        <v>2.8383819257915865</v>
      </c>
      <c r="F226" s="10">
        <f t="shared" si="30"/>
        <v>-1.2707547356270332E-2</v>
      </c>
      <c r="G226" s="10">
        <f t="shared" si="27"/>
        <v>-0.78322688598036871</v>
      </c>
      <c r="H226" s="10">
        <f t="shared" si="28"/>
        <v>0.31362483530816815</v>
      </c>
      <c r="I226" s="10">
        <f t="shared" si="31"/>
        <v>-5.7724546547471833E-4</v>
      </c>
      <c r="J226" s="20">
        <f t="shared" si="29"/>
        <v>0</v>
      </c>
      <c r="K226" s="10">
        <f t="shared" si="32"/>
        <v>-4.4670471459635763E-3</v>
      </c>
      <c r="L226" s="10">
        <f t="shared" si="33"/>
        <v>-2.6802282875779682E-3</v>
      </c>
    </row>
    <row r="227" spans="1:12" x14ac:dyDescent="0.2">
      <c r="A227" s="14">
        <v>0.16200000000000001</v>
      </c>
      <c r="B227" s="10">
        <f t="shared" si="23"/>
        <v>-1.643421765249699</v>
      </c>
      <c r="C227" s="10">
        <f t="shared" si="24"/>
        <v>0.55547655665439821</v>
      </c>
      <c r="D227" s="10">
        <f t="shared" si="25"/>
        <v>1.0388075201440237</v>
      </c>
      <c r="E227" s="10">
        <f t="shared" si="26"/>
        <v>2.8258452408393135</v>
      </c>
      <c r="F227" s="10">
        <f t="shared" si="30"/>
        <v>-1.2536684952273003E-2</v>
      </c>
      <c r="G227" s="10">
        <f t="shared" si="27"/>
        <v>-0.78588286111445138</v>
      </c>
      <c r="H227" s="10">
        <f t="shared" si="28"/>
        <v>0.31305338189528881</v>
      </c>
      <c r="I227" s="10">
        <f t="shared" si="31"/>
        <v>-5.7145341287934137E-4</v>
      </c>
      <c r="J227" s="20">
        <f t="shared" si="29"/>
        <v>0</v>
      </c>
      <c r="K227" s="10">
        <f t="shared" si="32"/>
        <v>-4.4266252234712589E-3</v>
      </c>
      <c r="L227" s="10">
        <f t="shared" si="33"/>
        <v>-2.6559751340826665E-3</v>
      </c>
    </row>
    <row r="228" spans="1:12" x14ac:dyDescent="0.2">
      <c r="A228" s="14">
        <v>0.16300000000000001</v>
      </c>
      <c r="B228" s="10">
        <f t="shared" si="23"/>
        <v>-1.6360738696827128</v>
      </c>
      <c r="C228" s="10">
        <f t="shared" si="24"/>
        <v>0.5513568940830742</v>
      </c>
      <c r="D228" s="10">
        <f t="shared" si="25"/>
        <v>1.0344210188137719</v>
      </c>
      <c r="E228" s="10">
        <f t="shared" si="26"/>
        <v>2.8134768138242054</v>
      </c>
      <c r="F228" s="10">
        <f t="shared" si="30"/>
        <v>-1.2368427015108097E-2</v>
      </c>
      <c r="G228" s="10">
        <f t="shared" si="27"/>
        <v>-0.78851476191260261</v>
      </c>
      <c r="H228" s="10">
        <f t="shared" si="28"/>
        <v>0.31248766776883302</v>
      </c>
      <c r="I228" s="10">
        <f t="shared" si="31"/>
        <v>-5.6571412645578523E-4</v>
      </c>
      <c r="J228" s="20">
        <f t="shared" si="29"/>
        <v>0</v>
      </c>
      <c r="K228" s="10">
        <f t="shared" si="32"/>
        <v>-4.3865013302517575E-3</v>
      </c>
      <c r="L228" s="10">
        <f t="shared" si="33"/>
        <v>-2.6319007981512321E-3</v>
      </c>
    </row>
    <row r="229" spans="1:12" x14ac:dyDescent="0.2">
      <c r="A229" s="14">
        <v>0.16400000000000001</v>
      </c>
      <c r="B229" s="10">
        <f t="shared" si="23"/>
        <v>-1.628762185260503</v>
      </c>
      <c r="C229" s="10">
        <f t="shared" si="24"/>
        <v>0.54726409424752898</v>
      </c>
      <c r="D229" s="10">
        <f t="shared" si="25"/>
        <v>1.030074348425511</v>
      </c>
      <c r="E229" s="10">
        <f t="shared" si="26"/>
        <v>2.801274097275543</v>
      </c>
      <c r="F229" s="10">
        <f t="shared" si="30"/>
        <v>-1.2202716548662451E-2</v>
      </c>
      <c r="G229" s="10">
        <f t="shared" si="27"/>
        <v>-0.79112276414555915</v>
      </c>
      <c r="H229" s="10">
        <f t="shared" si="28"/>
        <v>0.31192764103916909</v>
      </c>
      <c r="I229" s="10">
        <f t="shared" si="31"/>
        <v>-5.6002672966393163E-4</v>
      </c>
      <c r="J229" s="20">
        <f t="shared" si="29"/>
        <v>0</v>
      </c>
      <c r="K229" s="10">
        <f t="shared" si="32"/>
        <v>-4.3466703882608648E-3</v>
      </c>
      <c r="L229" s="10">
        <f t="shared" si="33"/>
        <v>-2.6080022329565411E-3</v>
      </c>
    </row>
    <row r="230" spans="1:12" x14ac:dyDescent="0.2">
      <c r="A230" s="14">
        <v>0.16500000000000001</v>
      </c>
      <c r="B230" s="10">
        <f t="shared" si="23"/>
        <v>-1.6214862509502748</v>
      </c>
      <c r="C230" s="10">
        <f t="shared" si="24"/>
        <v>0.54319789406834196</v>
      </c>
      <c r="D230" s="10">
        <f t="shared" si="25"/>
        <v>1.0257672209915385</v>
      </c>
      <c r="E230" s="10">
        <f t="shared" si="26"/>
        <v>2.7892345991997205</v>
      </c>
      <c r="F230" s="10">
        <f t="shared" si="30"/>
        <v>-1.2039498075822497E-2</v>
      </c>
      <c r="G230" s="10">
        <f t="shared" si="27"/>
        <v>-0.79370704060594266</v>
      </c>
      <c r="H230" s="10">
        <f t="shared" si="28"/>
        <v>0.31137325067457744</v>
      </c>
      <c r="I230" s="10">
        <f t="shared" si="31"/>
        <v>-5.5439036459165036E-4</v>
      </c>
      <c r="J230" s="20">
        <f t="shared" si="29"/>
        <v>0</v>
      </c>
      <c r="K230" s="10">
        <f t="shared" si="32"/>
        <v>-4.3071274339725463E-3</v>
      </c>
      <c r="L230" s="10">
        <f t="shared" si="33"/>
        <v>-2.5842764603835056E-3</v>
      </c>
    </row>
    <row r="231" spans="1:12" x14ac:dyDescent="0.2">
      <c r="A231" s="14">
        <v>0.16600000000000001</v>
      </c>
      <c r="B231" s="10">
        <f t="shared" si="23"/>
        <v>-1.6142456140022035</v>
      </c>
      <c r="C231" s="10">
        <f t="shared" si="24"/>
        <v>0.53915803507673588</v>
      </c>
      <c r="D231" s="10">
        <f t="shared" si="25"/>
        <v>1.0214993533764847</v>
      </c>
      <c r="E231" s="10">
        <f t="shared" si="26"/>
        <v>2.7773558816106569</v>
      </c>
      <c r="F231" s="10">
        <f t="shared" si="30"/>
        <v>-1.1878717589063559E-2</v>
      </c>
      <c r="G231" s="10">
        <f t="shared" si="27"/>
        <v>-0.79626776117497489</v>
      </c>
      <c r="H231" s="10">
        <f t="shared" si="28"/>
        <v>0.31082444648314561</v>
      </c>
      <c r="I231" s="10">
        <f t="shared" si="31"/>
        <v>-5.4880419143182868E-4</v>
      </c>
      <c r="J231" s="20">
        <f t="shared" si="29"/>
        <v>0</v>
      </c>
      <c r="K231" s="10">
        <f t="shared" si="32"/>
        <v>-4.267867615053822E-3</v>
      </c>
      <c r="L231" s="10">
        <f t="shared" si="33"/>
        <v>-2.5607205690322266E-3</v>
      </c>
    </row>
    <row r="232" spans="1:12" x14ac:dyDescent="0.2">
      <c r="A232" s="14">
        <v>0.16700000000000001</v>
      </c>
      <c r="B232" s="10">
        <f t="shared" si="23"/>
        <v>-1.6070398297500874</v>
      </c>
      <c r="C232" s="10">
        <f t="shared" si="24"/>
        <v>0.535144263306779</v>
      </c>
      <c r="D232" s="10">
        <f t="shared" si="25"/>
        <v>1.0172704671893218</v>
      </c>
      <c r="E232" s="10">
        <f t="shared" si="26"/>
        <v>2.7656355591077215</v>
      </c>
      <c r="F232" s="10">
        <f t="shared" si="30"/>
        <v>-1.1720322502935421E-2</v>
      </c>
      <c r="G232" s="10">
        <f t="shared" si="27"/>
        <v>-0.79880509288727275</v>
      </c>
      <c r="H232" s="10">
        <f t="shared" si="28"/>
        <v>0.31028117909516739</v>
      </c>
      <c r="I232" s="10">
        <f t="shared" si="31"/>
        <v>-5.4326738797821905E-4</v>
      </c>
      <c r="J232" s="20">
        <f t="shared" si="29"/>
        <v>0</v>
      </c>
      <c r="K232" s="10">
        <f t="shared" si="32"/>
        <v>-4.2288861871628836E-3</v>
      </c>
      <c r="L232" s="10">
        <f t="shared" si="33"/>
        <v>-2.5373317122978634E-3</v>
      </c>
    </row>
    <row r="233" spans="1:12" x14ac:dyDescent="0.2">
      <c r="A233" s="14">
        <v>0.16800000000000001</v>
      </c>
      <c r="B233" s="10">
        <f t="shared" si="23"/>
        <v>-1.5998684614179495</v>
      </c>
      <c r="C233" s="10">
        <f t="shared" si="24"/>
        <v>0.53115632919075917</v>
      </c>
      <c r="D233" s="10">
        <f t="shared" si="25"/>
        <v>1.0130802886784729</v>
      </c>
      <c r="E233" s="10">
        <f t="shared" si="26"/>
        <v>2.7540712974993991</v>
      </c>
      <c r="F233" s="10">
        <f t="shared" si="30"/>
        <v>-1.1564261608322468E-2</v>
      </c>
      <c r="G233" s="10">
        <f t="shared" si="27"/>
        <v>-0.80131919999378209</v>
      </c>
      <c r="H233" s="10">
        <f t="shared" si="28"/>
        <v>0.30974339994602901</v>
      </c>
      <c r="I233" s="10">
        <f t="shared" si="31"/>
        <v>-5.3777914913838432E-4</v>
      </c>
      <c r="J233" s="20">
        <f t="shared" si="29"/>
        <v>0</v>
      </c>
      <c r="K233" s="10">
        <f t="shared" si="32"/>
        <v>-4.1901785108489076E-3</v>
      </c>
      <c r="L233" s="10">
        <f t="shared" si="33"/>
        <v>-2.5141071065093445E-3</v>
      </c>
    </row>
    <row r="234" spans="1:12" x14ac:dyDescent="0.2">
      <c r="A234" s="14">
        <v>0.16900000000000001</v>
      </c>
      <c r="B234" s="10">
        <f t="shared" si="23"/>
        <v>-1.5927310799323746</v>
      </c>
      <c r="C234" s="10">
        <f t="shared" si="24"/>
        <v>0.52719398745761592</v>
      </c>
      <c r="D234" s="10">
        <f t="shared" si="25"/>
        <v>1.0089285486299067</v>
      </c>
      <c r="E234" s="10">
        <f t="shared" si="26"/>
        <v>2.7426608124709513</v>
      </c>
      <c r="F234" s="10">
        <f t="shared" si="30"/>
        <v>-1.141048502844777E-2</v>
      </c>
      <c r="G234" s="10">
        <f t="shared" si="27"/>
        <v>-0.80381024402292167</v>
      </c>
      <c r="H234" s="10">
        <f t="shared" si="28"/>
        <v>0.30921106125956654</v>
      </c>
      <c r="I234" s="10">
        <f t="shared" si="31"/>
        <v>-5.3233868646246352E-4</v>
      </c>
      <c r="J234" s="20">
        <f t="shared" si="29"/>
        <v>0</v>
      </c>
      <c r="K234" s="10">
        <f t="shared" si="32"/>
        <v>-4.1517400485662215E-3</v>
      </c>
      <c r="L234" s="10">
        <f t="shared" si="33"/>
        <v>-2.4910440291395775E-3</v>
      </c>
    </row>
    <row r="235" spans="1:12" x14ac:dyDescent="0.2">
      <c r="A235" s="14">
        <v>0.17</v>
      </c>
      <c r="B235" s="10">
        <f t="shared" si="23"/>
        <v>-1.5856272637403817</v>
      </c>
      <c r="C235" s="10">
        <f t="shared" si="24"/>
        <v>0.52325699703432593</v>
      </c>
      <c r="D235" s="10">
        <f t="shared" si="25"/>
        <v>1.004814982268122</v>
      </c>
      <c r="E235" s="10">
        <f t="shared" si="26"/>
        <v>2.7314018682944496</v>
      </c>
      <c r="F235" s="10">
        <f t="shared" si="30"/>
        <v>-1.125894417650164E-2</v>
      </c>
      <c r="G235" s="10">
        <f t="shared" si="27"/>
        <v>-0.80627838383999251</v>
      </c>
      <c r="H235" s="10">
        <f t="shared" si="28"/>
        <v>0.30868411603187856</v>
      </c>
      <c r="I235" s="10">
        <f t="shared" si="31"/>
        <v>-5.2694522768798047E-4</v>
      </c>
      <c r="J235" s="20">
        <f t="shared" si="29"/>
        <v>0</v>
      </c>
      <c r="K235" s="10">
        <f t="shared" si="32"/>
        <v>-4.1135663617846152E-3</v>
      </c>
      <c r="L235" s="10">
        <f t="shared" si="33"/>
        <v>-2.4681398170708357E-3</v>
      </c>
    </row>
    <row r="236" spans="1:12" x14ac:dyDescent="0.2">
      <c r="A236" s="14">
        <v>0.17100000000000001</v>
      </c>
      <c r="B236" s="10">
        <f t="shared" si="23"/>
        <v>-1.5785565986326349</v>
      </c>
      <c r="C236" s="10">
        <f t="shared" si="24"/>
        <v>0.51934512095013685</v>
      </c>
      <c r="D236" s="10">
        <f t="shared" si="25"/>
        <v>1.0007393291599129</v>
      </c>
      <c r="E236" s="10">
        <f t="shared" si="26"/>
        <v>2.7202922765795692</v>
      </c>
      <c r="F236" s="10">
        <f t="shared" si="30"/>
        <v>-1.1109591714880462E-2</v>
      </c>
      <c r="G236" s="10">
        <f t="shared" si="27"/>
        <v>-0.80872377570491805</v>
      </c>
      <c r="H236" s="10">
        <f t="shared" si="28"/>
        <v>0.30816251801557809</v>
      </c>
      <c r="I236" s="10">
        <f t="shared" si="31"/>
        <v>-5.2159801630047298E-4</v>
      </c>
      <c r="J236" s="20">
        <f t="shared" si="29"/>
        <v>0</v>
      </c>
      <c r="K236" s="10">
        <f t="shared" si="32"/>
        <v>-4.0756531082091207E-3</v>
      </c>
      <c r="L236" s="10">
        <f t="shared" si="33"/>
        <v>-2.4453918649255391E-3</v>
      </c>
    </row>
    <row r="237" spans="1:12" x14ac:dyDescent="0.2">
      <c r="A237" s="14">
        <v>0.17199999999999999</v>
      </c>
      <c r="B237" s="10">
        <f t="shared" si="23"/>
        <v>-1.5715186775718069</v>
      </c>
      <c r="C237" s="10">
        <f t="shared" si="24"/>
        <v>0.51545812624355269</v>
      </c>
      <c r="D237" s="10">
        <f t="shared" si="25"/>
        <v>0.99670133312083387</v>
      </c>
      <c r="E237" s="10">
        <f t="shared" si="26"/>
        <v>2.7093298950636817</v>
      </c>
      <c r="F237" s="10">
        <f t="shared" si="30"/>
        <v>-1.0962381515887465E-2</v>
      </c>
      <c r="G237" s="10">
        <f t="shared" si="27"/>
        <v>-0.81114657332836571</v>
      </c>
      <c r="H237" s="10">
        <f t="shared" si="28"/>
        <v>0.30764622170447081</v>
      </c>
      <c r="I237" s="10">
        <f t="shared" si="31"/>
        <v>-5.1629631110727825E-4</v>
      </c>
      <c r="J237" s="20">
        <f t="shared" si="29"/>
        <v>0</v>
      </c>
      <c r="K237" s="10">
        <f t="shared" si="32"/>
        <v>-4.0379960390790615E-3</v>
      </c>
      <c r="L237" s="10">
        <f t="shared" si="33"/>
        <v>-2.4227976234476589E-3</v>
      </c>
    </row>
    <row r="238" spans="1:12" x14ac:dyDescent="0.2">
      <c r="A238" s="14">
        <v>0.17299999999999999</v>
      </c>
      <c r="B238" s="10">
        <f t="shared" si="23"/>
        <v>-1.5645131005259123</v>
      </c>
      <c r="C238" s="10">
        <f t="shared" si="24"/>
        <v>0.51159578387197335</v>
      </c>
      <c r="D238" s="10">
        <f t="shared" si="25"/>
        <v>0.99270074212426107</v>
      </c>
      <c r="E238" s="10">
        <f t="shared" si="26"/>
        <v>2.6985126264397601</v>
      </c>
      <c r="F238" s="10">
        <f t="shared" si="30"/>
        <v>-1.0817268623921628E-2</v>
      </c>
      <c r="G238" s="10">
        <f t="shared" si="27"/>
        <v>-0.81354692792630923</v>
      </c>
      <c r="H238" s="10">
        <f t="shared" si="28"/>
        <v>0.3071351823186439</v>
      </c>
      <c r="I238" s="10">
        <f t="shared" si="31"/>
        <v>-5.1103938582691688E-4</v>
      </c>
      <c r="J238" s="20">
        <f t="shared" si="29"/>
        <v>0</v>
      </c>
      <c r="K238" s="10">
        <f t="shared" si="32"/>
        <v>-4.0005909965727948E-3</v>
      </c>
      <c r="L238" s="10">
        <f t="shared" si="33"/>
        <v>-2.4003545979435215E-3</v>
      </c>
    </row>
    <row r="239" spans="1:12" x14ac:dyDescent="0.2">
      <c r="A239" s="14">
        <v>0.17399999999999999</v>
      </c>
      <c r="B239" s="10">
        <f t="shared" si="23"/>
        <v>-1.5575394743064492</v>
      </c>
      <c r="C239" s="10">
        <f t="shared" si="24"/>
        <v>0.50775786862390249</v>
      </c>
      <c r="D239" s="10">
        <f t="shared" si="25"/>
        <v>0.98873730821297245</v>
      </c>
      <c r="E239" s="10">
        <f t="shared" si="26"/>
        <v>2.6878384172207408</v>
      </c>
      <c r="F239" s="10">
        <f t="shared" si="30"/>
        <v>-1.0674209219019293E-2</v>
      </c>
      <c r="G239" s="10">
        <f t="shared" si="27"/>
        <v>-0.81592498827308213</v>
      </c>
      <c r="H239" s="10">
        <f t="shared" si="28"/>
        <v>0.30662935578995321</v>
      </c>
      <c r="I239" s="10">
        <f t="shared" si="31"/>
        <v>-5.0582652869068934E-4</v>
      </c>
      <c r="J239" s="20">
        <f t="shared" si="29"/>
        <v>0</v>
      </c>
      <c r="K239" s="10">
        <f t="shared" si="32"/>
        <v>-3.9634339112886163E-3</v>
      </c>
      <c r="L239" s="10">
        <f t="shared" si="33"/>
        <v>-2.3780603467729033E-3</v>
      </c>
    </row>
    <row r="240" spans="1:12" x14ac:dyDescent="0.2">
      <c r="A240" s="14">
        <v>0.17499999999999999</v>
      </c>
      <c r="B240" s="10">
        <f t="shared" si="23"/>
        <v>-1.550597412411167</v>
      </c>
      <c r="C240" s="10">
        <f t="shared" si="24"/>
        <v>0.50394415903362932</v>
      </c>
      <c r="D240" s="10">
        <f t="shared" si="25"/>
        <v>0.98481078741315575</v>
      </c>
      <c r="E240" s="10">
        <f t="shared" si="26"/>
        <v>2.6773052566390043</v>
      </c>
      <c r="F240" s="10">
        <f t="shared" si="30"/>
        <v>-1.0533160581736478E-2</v>
      </c>
      <c r="G240" s="10">
        <f t="shared" si="27"/>
        <v>-0.81828090075297222</v>
      </c>
      <c r="H240" s="10">
        <f t="shared" si="28"/>
        <v>0.30612869874789544</v>
      </c>
      <c r="I240" s="10">
        <f t="shared" si="31"/>
        <v>-5.0065704205776163E-4</v>
      </c>
      <c r="J240" s="20">
        <f t="shared" si="29"/>
        <v>0</v>
      </c>
      <c r="K240" s="10">
        <f t="shared" si="32"/>
        <v>-3.9265207998167018E-3</v>
      </c>
      <c r="L240" s="10">
        <f t="shared" si="33"/>
        <v>-2.3559124798900877E-3</v>
      </c>
    </row>
    <row r="241" spans="1:12" x14ac:dyDescent="0.2">
      <c r="A241" s="14">
        <v>0.17599999999999999</v>
      </c>
      <c r="B241" s="10">
        <f t="shared" si="23"/>
        <v>-1.54368653487132</v>
      </c>
      <c r="C241" s="10">
        <f t="shared" si="24"/>
        <v>0.50015443729830766</v>
      </c>
      <c r="D241" s="10">
        <f t="shared" si="25"/>
        <v>0.98092093965076632</v>
      </c>
      <c r="E241" s="10">
        <f t="shared" si="26"/>
        <v>2.6669111755797026</v>
      </c>
      <c r="F241" s="10">
        <f t="shared" si="30"/>
        <v>-1.039408105930173E-2</v>
      </c>
      <c r="G241" s="10">
        <f t="shared" si="27"/>
        <v>-0.82061480941040599</v>
      </c>
      <c r="H241" s="10">
        <f t="shared" si="28"/>
        <v>0.30563316850585248</v>
      </c>
      <c r="I241" s="10">
        <f t="shared" si="31"/>
        <v>-4.9553024204296303E-4</v>
      </c>
      <c r="J241" s="20">
        <f t="shared" si="29"/>
        <v>0</v>
      </c>
      <c r="K241" s="10">
        <f t="shared" si="32"/>
        <v>-3.8898477623894312E-3</v>
      </c>
      <c r="L241" s="10">
        <f t="shared" si="33"/>
        <v>-2.3339086574337697E-3</v>
      </c>
    </row>
    <row r="242" spans="1:12" x14ac:dyDescent="0.2">
      <c r="A242" s="14">
        <v>0.17699999999999999</v>
      </c>
      <c r="B242" s="10">
        <f t="shared" si="23"/>
        <v>-1.5368064681032407</v>
      </c>
      <c r="C242" s="10">
        <f t="shared" si="24"/>
        <v>0.49638848919734679</v>
      </c>
      <c r="D242" s="10">
        <f t="shared" si="25"/>
        <v>0.97706752867016222</v>
      </c>
      <c r="E242" s="10">
        <f t="shared" si="26"/>
        <v>2.6566542455467377</v>
      </c>
      <c r="F242" s="10">
        <f t="shared" si="30"/>
        <v>-1.0256930032964906E-2</v>
      </c>
      <c r="G242" s="10">
        <f t="shared" si="27"/>
        <v>-0.82292685599876847</v>
      </c>
      <c r="H242" s="10">
        <f t="shared" si="28"/>
        <v>0.30514272304769741</v>
      </c>
      <c r="I242" s="10">
        <f t="shared" si="31"/>
        <v>-4.9044545815507545E-4</v>
      </c>
      <c r="J242" s="20">
        <f t="shared" si="29"/>
        <v>0</v>
      </c>
      <c r="K242" s="10">
        <f t="shared" si="32"/>
        <v>-3.8534109806040995E-3</v>
      </c>
      <c r="L242" s="10">
        <f t="shared" si="33"/>
        <v>-2.3120465883624819E-3</v>
      </c>
    </row>
    <row r="243" spans="1:12" x14ac:dyDescent="0.2">
      <c r="A243" s="14">
        <v>0.17799999999999999</v>
      </c>
      <c r="B243" s="10">
        <f t="shared" si="23"/>
        <v>-1.5299568447640948</v>
      </c>
      <c r="C243" s="10">
        <f t="shared" si="24"/>
        <v>0.49264610401403852</v>
      </c>
      <c r="D243" s="10">
        <f t="shared" si="25"/>
        <v>0.97325032195493</v>
      </c>
      <c r="E243" s="10">
        <f t="shared" si="26"/>
        <v>2.6465325776601882</v>
      </c>
      <c r="F243" s="10">
        <f t="shared" si="30"/>
        <v>-1.0121667886549446E-2</v>
      </c>
      <c r="G243" s="10">
        <f t="shared" si="27"/>
        <v>-0.82521718002790778</v>
      </c>
      <c r="H243" s="10">
        <f t="shared" si="28"/>
        <v>0.30465732101474802</v>
      </c>
      <c r="I243" s="10">
        <f t="shared" si="31"/>
        <v>-4.8540203294938911E-4</v>
      </c>
      <c r="J243" s="20">
        <f t="shared" si="29"/>
        <v>0</v>
      </c>
      <c r="K243" s="10">
        <f t="shared" si="32"/>
        <v>-3.8172067152322242E-3</v>
      </c>
      <c r="L243" s="10">
        <f t="shared" si="33"/>
        <v>-2.2903240291393123E-3</v>
      </c>
    </row>
    <row r="244" spans="1:12" x14ac:dyDescent="0.2">
      <c r="A244" s="14">
        <v>0.17899999999999999</v>
      </c>
      <c r="B244" s="10">
        <f t="shared" si="23"/>
        <v>-1.5231373036116731</v>
      </c>
      <c r="C244" s="10">
        <f t="shared" si="24"/>
        <v>0.48892707445934708</v>
      </c>
      <c r="D244" s="10">
        <f t="shared" si="25"/>
        <v>0.96946909065084474</v>
      </c>
      <c r="E244" s="10">
        <f t="shared" si="26"/>
        <v>2.6365443216841062</v>
      </c>
      <c r="F244" s="10">
        <f t="shared" si="30"/>
        <v>-9.9882559760819944E-3</v>
      </c>
      <c r="G244" s="10">
        <f t="shared" si="27"/>
        <v>-0.82748591881035893</v>
      </c>
      <c r="H244" s="10">
        <f t="shared" si="28"/>
        <v>0.30417692169305977</v>
      </c>
      <c r="I244" s="10">
        <f t="shared" si="31"/>
        <v>-4.8039932168825183E-4</v>
      </c>
      <c r="J244" s="20">
        <f t="shared" si="29"/>
        <v>0</v>
      </c>
      <c r="K244" s="10">
        <f t="shared" si="32"/>
        <v>-3.781231304085253E-3</v>
      </c>
      <c r="L244" s="10">
        <f t="shared" si="33"/>
        <v>-2.2687387824511518E-3</v>
      </c>
    </row>
    <row r="245" spans="1:12" x14ac:dyDescent="0.2">
      <c r="A245" s="14">
        <v>0.18</v>
      </c>
      <c r="B245" s="10">
        <f t="shared" si="23"/>
        <v>-1.5163474893680886</v>
      </c>
      <c r="C245" s="10">
        <f t="shared" si="24"/>
        <v>0.48523119659778835</v>
      </c>
      <c r="D245" s="10">
        <f t="shared" si="25"/>
        <v>0.96572360949088298</v>
      </c>
      <c r="E245" s="10">
        <f t="shared" si="26"/>
        <v>2.6266876650835784</v>
      </c>
      <c r="F245" s="10">
        <f t="shared" si="30"/>
        <v>-9.8566566005278133E-3</v>
      </c>
      <c r="G245" s="10">
        <f t="shared" si="27"/>
        <v>-0.82973320750633595</v>
      </c>
      <c r="H245" s="10">
        <f t="shared" si="28"/>
        <v>0.30370148500104543</v>
      </c>
      <c r="I245" s="10">
        <f t="shared" si="31"/>
        <v>-4.7543669201433048E-4</v>
      </c>
      <c r="J245" s="20">
        <f t="shared" si="29"/>
        <v>0</v>
      </c>
      <c r="K245" s="10">
        <f t="shared" si="32"/>
        <v>-3.745481159961761E-3</v>
      </c>
      <c r="L245" s="10">
        <f t="shared" si="33"/>
        <v>-2.2472886959770122E-3</v>
      </c>
    </row>
    <row r="246" spans="1:12" x14ac:dyDescent="0.2">
      <c r="A246" s="14">
        <v>0.18099999999999999</v>
      </c>
      <c r="B246" s="10">
        <f t="shared" si="23"/>
        <v>-1.5095870525872437</v>
      </c>
      <c r="C246" s="10">
        <f t="shared" si="24"/>
        <v>0.48155826977533073</v>
      </c>
      <c r="D246" s="10">
        <f t="shared" si="25"/>
        <v>0.96201365672222883</v>
      </c>
      <c r="E246" s="10">
        <f t="shared" si="26"/>
        <v>2.6169608321100442</v>
      </c>
      <c r="F246" s="10">
        <f t="shared" si="30"/>
        <v>-9.7268329735342718E-3</v>
      </c>
      <c r="G246" s="10">
        <f t="shared" si="27"/>
        <v>-0.83195917916752848</v>
      </c>
      <c r="H246" s="10">
        <f t="shared" si="28"/>
        <v>0.3032309714774119</v>
      </c>
      <c r="I246" s="10">
        <f t="shared" si="31"/>
        <v>-4.7051352363353116E-4</v>
      </c>
      <c r="J246" s="20">
        <f t="shared" si="29"/>
        <v>0</v>
      </c>
      <c r="K246" s="10">
        <f t="shared" si="32"/>
        <v>-3.7099527686541567E-3</v>
      </c>
      <c r="L246" s="10">
        <f t="shared" si="33"/>
        <v>-2.2259716611925384E-3</v>
      </c>
    </row>
    <row r="247" spans="1:12" x14ac:dyDescent="0.2">
      <c r="A247" s="14">
        <v>0.182</v>
      </c>
      <c r="B247" s="10">
        <f t="shared" si="23"/>
        <v>-1.5028556495259517</v>
      </c>
      <c r="C247" s="10">
        <f t="shared" si="24"/>
        <v>0.47790809654925265</v>
      </c>
      <c r="D247" s="10">
        <f t="shared" si="25"/>
        <v>0.95833901403520749</v>
      </c>
      <c r="E247" s="10">
        <f t="shared" si="26"/>
        <v>2.607362082913868</v>
      </c>
      <c r="F247" s="10">
        <f t="shared" si="30"/>
        <v>-9.5987491961762039E-3</v>
      </c>
      <c r="G247" s="10">
        <f t="shared" si="27"/>
        <v>-0.83416396477974131</v>
      </c>
      <c r="H247" s="10">
        <f t="shared" si="28"/>
        <v>0.30276534226940444</v>
      </c>
      <c r="I247" s="10">
        <f t="shared" si="31"/>
        <v>-4.6562920800746754E-4</v>
      </c>
      <c r="J247" s="20">
        <f t="shared" si="29"/>
        <v>0</v>
      </c>
      <c r="K247" s="10">
        <f t="shared" si="32"/>
        <v>-3.6746426870213345E-3</v>
      </c>
      <c r="L247" s="10">
        <f t="shared" si="33"/>
        <v>-2.2047856122128229E-3</v>
      </c>
    </row>
    <row r="248" spans="1:12" x14ac:dyDescent="0.2">
      <c r="A248" s="14">
        <v>0.183</v>
      </c>
      <c r="B248" s="10">
        <f t="shared" si="23"/>
        <v>-1.496152942018582</v>
      </c>
      <c r="C248" s="10">
        <f t="shared" si="24"/>
        <v>0.47428048261989048</v>
      </c>
      <c r="D248" s="10">
        <f t="shared" si="25"/>
        <v>0.95469946649408488</v>
      </c>
      <c r="E248" s="10">
        <f t="shared" si="26"/>
        <v>2.5978897126832305</v>
      </c>
      <c r="F248" s="10">
        <f t="shared" si="30"/>
        <v>-9.4723702306374058E-3</v>
      </c>
      <c r="G248" s="10">
        <f t="shared" si="27"/>
        <v>-0.83634769330441483</v>
      </c>
      <c r="H248" s="10">
        <f t="shared" si="28"/>
        <v>0.30230455912134846</v>
      </c>
      <c r="I248" s="10">
        <f t="shared" si="31"/>
        <v>-4.6078314805597653E-4</v>
      </c>
      <c r="J248" s="20">
        <f t="shared" si="29"/>
        <v>0</v>
      </c>
      <c r="K248" s="10">
        <f t="shared" si="32"/>
        <v>-3.6395475411226119E-3</v>
      </c>
      <c r="L248" s="10">
        <f t="shared" si="33"/>
        <v>-2.1837285246735227E-3</v>
      </c>
    </row>
    <row r="249" spans="1:12" x14ac:dyDescent="0.2">
      <c r="A249" s="14">
        <v>0.184</v>
      </c>
      <c r="B249" s="10">
        <f t="shared" si="23"/>
        <v>-1.4894785973551214</v>
      </c>
      <c r="C249" s="10">
        <f t="shared" si="24"/>
        <v>0.47067523676421841</v>
      </c>
      <c r="D249" s="10">
        <f t="shared" si="25"/>
        <v>0.95109480246967637</v>
      </c>
      <c r="E249" s="10">
        <f t="shared" si="26"/>
        <v>2.5885420508084249</v>
      </c>
      <c r="F249" s="10">
        <f t="shared" si="30"/>
        <v>-9.3476618748056239E-3</v>
      </c>
      <c r="G249" s="10">
        <f t="shared" si="27"/>
        <v>-0.83851049171906</v>
      </c>
      <c r="H249" s="10">
        <f t="shared" si="28"/>
        <v>0.30184858436347978</v>
      </c>
      <c r="I249" s="10">
        <f t="shared" si="31"/>
        <v>-4.5597475786868236E-4</v>
      </c>
      <c r="J249" s="20">
        <f t="shared" si="29"/>
        <v>0</v>
      </c>
      <c r="K249" s="10">
        <f t="shared" si="32"/>
        <v>-3.6046640244085104E-3</v>
      </c>
      <c r="L249" s="10">
        <f t="shared" si="33"/>
        <v>-2.1627984146451729E-3</v>
      </c>
    </row>
    <row r="250" spans="1:12" x14ac:dyDescent="0.2">
      <c r="A250" s="14">
        <v>0.185</v>
      </c>
      <c r="B250" s="10">
        <f t="shared" si="23"/>
        <v>-1.4828322881625378</v>
      </c>
      <c r="C250" s="10">
        <f t="shared" si="24"/>
        <v>0.46709217077119941</v>
      </c>
      <c r="D250" s="10">
        <f t="shared" si="25"/>
        <v>0.94752481357370222</v>
      </c>
      <c r="E250" s="10">
        <f t="shared" si="26"/>
        <v>2.5793174600706728</v>
      </c>
      <c r="F250" s="10">
        <f t="shared" si="30"/>
        <v>-9.2245907377521696E-3</v>
      </c>
      <c r="G250" s="10">
        <f t="shared" si="27"/>
        <v>-0.84065248505664436</v>
      </c>
      <c r="H250" s="10">
        <f t="shared" si="28"/>
        <v>0.301397380901055</v>
      </c>
      <c r="I250" s="10">
        <f t="shared" si="31"/>
        <v>-4.5120346242477627E-4</v>
      </c>
      <c r="J250" s="20">
        <f t="shared" si="29"/>
        <v>0</v>
      </c>
      <c r="K250" s="10">
        <f t="shared" si="32"/>
        <v>-3.5699888959741521E-3</v>
      </c>
      <c r="L250" s="10">
        <f t="shared" si="33"/>
        <v>-2.1419933375843581E-3</v>
      </c>
    </row>
    <row r="251" spans="1:12" x14ac:dyDescent="0.2">
      <c r="A251" s="14">
        <v>0.186</v>
      </c>
      <c r="B251" s="10">
        <f t="shared" si="23"/>
        <v>-1.4762136922893392</v>
      </c>
      <c r="C251" s="10">
        <f t="shared" si="24"/>
        <v>0.46353109937885251</v>
      </c>
      <c r="D251" s="10">
        <f t="shared" si="25"/>
        <v>0.94398929459484249</v>
      </c>
      <c r="E251" s="10">
        <f t="shared" si="26"/>
        <v>2.5702143358546441</v>
      </c>
      <c r="F251" s="10">
        <f t="shared" si="30"/>
        <v>-9.1031242160286574E-3</v>
      </c>
      <c r="G251" s="10">
        <f t="shared" si="27"/>
        <v>-0.84277379644396022</v>
      </c>
      <c r="H251" s="10">
        <f t="shared" si="28"/>
        <v>0.30095091220373221</v>
      </c>
      <c r="I251" s="10">
        <f t="shared" si="31"/>
        <v>-4.4646869732278827E-4</v>
      </c>
      <c r="J251" s="20">
        <f t="shared" si="29"/>
        <v>0</v>
      </c>
      <c r="K251" s="10">
        <f t="shared" si="32"/>
        <v>-3.5355189788597308E-3</v>
      </c>
      <c r="L251" s="10">
        <f t="shared" si="33"/>
        <v>-2.1213113873158607E-3</v>
      </c>
    </row>
    <row r="252" spans="1:12" x14ac:dyDescent="0.2">
      <c r="A252" s="14">
        <v>0.187</v>
      </c>
      <c r="B252" s="10">
        <f t="shared" si="23"/>
        <v>-1.469622492693224</v>
      </c>
      <c r="C252" s="10">
        <f t="shared" si="24"/>
        <v>0.45999184021297912</v>
      </c>
      <c r="D252" s="10">
        <f t="shared" si="25"/>
        <v>0.94048804343643289</v>
      </c>
      <c r="E252" s="10">
        <f t="shared" si="26"/>
        <v>2.5612311053838548</v>
      </c>
      <c r="F252" s="10">
        <f t="shared" si="30"/>
        <v>-8.9832304707893051E-3</v>
      </c>
      <c r="G252" s="10">
        <f t="shared" si="27"/>
        <v>-0.84487454713900612</v>
      </c>
      <c r="H252" s="10">
        <f t="shared" si="28"/>
        <v>0.30050914229521608</v>
      </c>
      <c r="I252" s="10">
        <f t="shared" si="31"/>
        <v>-4.4176990851613196E-4</v>
      </c>
      <c r="J252" s="20">
        <f t="shared" si="29"/>
        <v>0</v>
      </c>
      <c r="K252" s="10">
        <f t="shared" si="32"/>
        <v>-3.5012511584096018E-3</v>
      </c>
      <c r="L252" s="10">
        <f t="shared" si="33"/>
        <v>-2.1007506950458943E-3</v>
      </c>
    </row>
    <row r="253" spans="1:12" x14ac:dyDescent="0.2">
      <c r="A253" s="14">
        <v>0.188</v>
      </c>
      <c r="B253" s="10">
        <f t="shared" si="23"/>
        <v>-1.4630583773317287</v>
      </c>
      <c r="C253" s="10">
        <f t="shared" si="24"/>
        <v>0.45647421372749936</v>
      </c>
      <c r="D253" s="10">
        <f t="shared" si="25"/>
        <v>0.93702086105575111</v>
      </c>
      <c r="E253" s="10">
        <f t="shared" si="26"/>
        <v>2.5523662269781728</v>
      </c>
      <c r="F253" s="10">
        <f t="shared" si="30"/>
        <v>-8.864878405681953E-3</v>
      </c>
      <c r="G253" s="10">
        <f t="shared" si="27"/>
        <v>-0.8469548565674152</v>
      </c>
      <c r="H253" s="10">
        <f t="shared" si="28"/>
        <v>0.30007203574315627</v>
      </c>
      <c r="I253" s="10">
        <f t="shared" si="31"/>
        <v>-4.371065520598072E-4</v>
      </c>
      <c r="J253" s="20">
        <f t="shared" si="29"/>
        <v>0</v>
      </c>
      <c r="K253" s="10">
        <f t="shared" si="32"/>
        <v>-3.467182380681777E-3</v>
      </c>
      <c r="L253" s="10">
        <f t="shared" si="33"/>
        <v>-2.0803094284090884E-3</v>
      </c>
    </row>
    <row r="254" spans="1:12" x14ac:dyDescent="0.2">
      <c r="A254" s="14">
        <v>0.189</v>
      </c>
      <c r="B254" s="10">
        <f t="shared" si="23"/>
        <v>-1.4565210390557706</v>
      </c>
      <c r="C254" s="10">
        <f t="shared" si="24"/>
        <v>0.45297804314634466</v>
      </c>
      <c r="D254" s="10">
        <f t="shared" si="25"/>
        <v>0.93358755140485017</v>
      </c>
      <c r="E254" s="10">
        <f t="shared" si="26"/>
        <v>2.5436181893326988</v>
      </c>
      <c r="F254" s="10">
        <f t="shared" si="30"/>
        <v>-8.7480376454740494E-3</v>
      </c>
      <c r="G254" s="10">
        <f t="shared" si="27"/>
        <v>-0.84901484235795566</v>
      </c>
      <c r="H254" s="10">
        <f t="shared" si="28"/>
        <v>0.29963955764929512</v>
      </c>
      <c r="I254" s="10">
        <f t="shared" si="31"/>
        <v>-4.3247809386115499E-4</v>
      </c>
      <c r="J254" s="20">
        <f t="shared" si="29"/>
        <v>0</v>
      </c>
      <c r="K254" s="10">
        <f t="shared" si="32"/>
        <v>-3.4333096509009398E-3</v>
      </c>
      <c r="L254" s="10">
        <f t="shared" si="33"/>
        <v>-2.0599857905404528E-3</v>
      </c>
    </row>
    <row r="255" spans="1:12" x14ac:dyDescent="0.2">
      <c r="A255" s="14">
        <v>0.19</v>
      </c>
      <c r="B255" s="10">
        <f t="shared" si="23"/>
        <v>-1.4500101755059984</v>
      </c>
      <c r="C255" s="10">
        <f t="shared" si="24"/>
        <v>0.44950315440685951</v>
      </c>
      <c r="D255" s="10">
        <f t="shared" si="25"/>
        <v>0.93018792137288231</v>
      </c>
      <c r="E255" s="10">
        <f t="shared" si="26"/>
        <v>2.5349855108172878</v>
      </c>
      <c r="F255" s="10">
        <f t="shared" si="30"/>
        <v>-8.6326785154109409E-3</v>
      </c>
      <c r="G255" s="10">
        <f t="shared" si="27"/>
        <v>-0.85105462037713653</v>
      </c>
      <c r="H255" s="10">
        <f t="shared" si="28"/>
        <v>0.29921167363985329</v>
      </c>
      <c r="I255" s="10">
        <f t="shared" si="31"/>
        <v>-4.278840094418257E-4</v>
      </c>
      <c r="J255" s="20">
        <f t="shared" si="29"/>
        <v>0</v>
      </c>
      <c r="K255" s="10">
        <f t="shared" si="32"/>
        <v>-3.3996300319678596E-3</v>
      </c>
      <c r="L255" s="10">
        <f t="shared" si="33"/>
        <v>-2.0397780191808712E-3</v>
      </c>
    </row>
    <row r="256" spans="1:12" x14ac:dyDescent="0.2">
      <c r="A256" s="14">
        <v>0.191</v>
      </c>
      <c r="B256" s="10">
        <f t="shared" si="23"/>
        <v>-1.4435254890118618</v>
      </c>
      <c r="C256" s="10">
        <f t="shared" si="24"/>
        <v>0.44604937610466533</v>
      </c>
      <c r="D256" s="10">
        <f t="shared" si="25"/>
        <v>0.92682178072987798</v>
      </c>
      <c r="E256" s="10">
        <f t="shared" si="26"/>
        <v>2.5264667387960436</v>
      </c>
      <c r="F256" s="10">
        <f t="shared" si="30"/>
        <v>-8.5187720212442919E-3</v>
      </c>
      <c r="G256" s="10">
        <f t="shared" si="27"/>
        <v>-0.85307430476293888</v>
      </c>
      <c r="H256" s="10">
        <f t="shared" si="28"/>
        <v>0.29878834985615094</v>
      </c>
      <c r="I256" s="10">
        <f t="shared" si="31"/>
        <v>-4.2332378370235624E-4</v>
      </c>
      <c r="J256" s="20">
        <f t="shared" si="29"/>
        <v>0</v>
      </c>
      <c r="K256" s="10">
        <f t="shared" si="32"/>
        <v>-3.3661406430043339E-3</v>
      </c>
      <c r="L256" s="10">
        <f t="shared" si="33"/>
        <v>-2.0196843858023561E-3</v>
      </c>
    </row>
    <row r="257" spans="1:12" x14ac:dyDescent="0.2">
      <c r="A257" s="14">
        <v>0.192</v>
      </c>
      <c r="B257" s="10">
        <f t="shared" si="23"/>
        <v>-1.4370666864933139</v>
      </c>
      <c r="C257" s="10">
        <f t="shared" si="24"/>
        <v>0.44261653943994067</v>
      </c>
      <c r="D257" s="10">
        <f t="shared" si="25"/>
        <v>0.92348894207192589</v>
      </c>
      <c r="E257" s="10">
        <f t="shared" si="26"/>
        <v>2.5180604489661018</v>
      </c>
      <c r="F257" s="10">
        <f t="shared" si="30"/>
        <v>-8.4062898299417377E-3</v>
      </c>
      <c r="G257" s="10">
        <f t="shared" si="27"/>
        <v>-0.85507400795771038</v>
      </c>
      <c r="H257" s="10">
        <f t="shared" si="28"/>
        <v>0.29836955294545242</v>
      </c>
      <c r="I257" s="10">
        <f t="shared" si="31"/>
        <v>-4.1879691069851566E-4</v>
      </c>
      <c r="J257" s="20">
        <f t="shared" si="29"/>
        <v>0</v>
      </c>
      <c r="K257" s="10">
        <f t="shared" si="32"/>
        <v>-3.3328386579520863E-3</v>
      </c>
      <c r="L257" s="10">
        <f t="shared" si="33"/>
        <v>-1.9997031947714961E-3</v>
      </c>
    </row>
    <row r="258" spans="1:12" x14ac:dyDescent="0.2">
      <c r="A258" s="14">
        <v>0.193</v>
      </c>
      <c r="B258" s="10">
        <f t="shared" ref="B258:B321" si="34">LN(A258/(1-A258))</f>
        <v>-1.430633479365063</v>
      </c>
      <c r="C258" s="10">
        <f t="shared" ref="C258:C321" si="35">(A258-0.5)*B258</f>
        <v>0.43920447816507435</v>
      </c>
      <c r="D258" s="10">
        <f t="shared" ref="D258:D321" si="36">$B$45+$B$46*B258+$B$47*C258</f>
        <v>0.92018922076772247</v>
      </c>
      <c r="E258" s="10">
        <f t="shared" ref="E258:E321" si="37">$B$14+EXP(D258)</f>
        <v>2.509765244715096</v>
      </c>
      <c r="F258" s="10">
        <f t="shared" si="30"/>
        <v>-8.2952042510058277E-3</v>
      </c>
      <c r="G258" s="10">
        <f t="shared" ref="G258:G321" si="38">$C$45+$C$46*B258+$C$47*C258</f>
        <v>-0.85705384074023228</v>
      </c>
      <c r="H258" s="10">
        <f t="shared" ref="H258:H321" si="39">$C$14+($C$15-$C$14)/(1+EXP(-G258))</f>
        <v>0.29795525005203272</v>
      </c>
      <c r="I258" s="10">
        <f t="shared" si="31"/>
        <v>-4.1430289341970461E-4</v>
      </c>
      <c r="J258" s="20">
        <f t="shared" ref="J258:J321" si="40">G258-($B$22+$B$21*D258)</f>
        <v>0</v>
      </c>
      <c r="K258" s="10">
        <f t="shared" si="32"/>
        <v>-3.2997213042034179E-3</v>
      </c>
      <c r="L258" s="10">
        <f t="shared" si="33"/>
        <v>-1.9798327825218953E-3</v>
      </c>
    </row>
    <row r="259" spans="1:12" x14ac:dyDescent="0.2">
      <c r="A259" s="14">
        <v>0.19400000000000001</v>
      </c>
      <c r="B259" s="10">
        <f t="shared" si="34"/>
        <v>-1.4242255834433002</v>
      </c>
      <c r="C259" s="10">
        <f t="shared" si="35"/>
        <v>0.43581302853364984</v>
      </c>
      <c r="D259" s="10">
        <f t="shared" si="36"/>
        <v>0.9169224349064391</v>
      </c>
      <c r="E259" s="10">
        <f t="shared" si="37"/>
        <v>2.5015797564966613</v>
      </c>
      <c r="F259" s="10">
        <f t="shared" ref="F259:F322" si="41">E259-E258</f>
        <v>-8.1854882184346778E-3</v>
      </c>
      <c r="G259" s="10">
        <f t="shared" si="38"/>
        <v>-0.85901391225700219</v>
      </c>
      <c r="H259" s="10">
        <f t="shared" si="39"/>
        <v>0.29754540880845515</v>
      </c>
      <c r="I259" s="10">
        <f t="shared" ref="I259:I322" si="42">H259-H258</f>
        <v>-4.098412435775689E-4</v>
      </c>
      <c r="J259" s="20">
        <f t="shared" si="40"/>
        <v>0</v>
      </c>
      <c r="K259" s="10">
        <f t="shared" ref="K259:K322" si="43">D259-D258</f>
        <v>-3.2667858612833722E-3</v>
      </c>
      <c r="L259" s="10">
        <f t="shared" ref="L259:L322" si="44">G259-G258</f>
        <v>-1.9600715167699123E-3</v>
      </c>
    </row>
    <row r="260" spans="1:12" x14ac:dyDescent="0.2">
      <c r="A260" s="14">
        <v>0.19500000000000001</v>
      </c>
      <c r="B260" s="10">
        <f t="shared" si="34"/>
        <v>-1.4178427188548164</v>
      </c>
      <c r="C260" s="10">
        <f t="shared" si="35"/>
        <v>0.43244202925071901</v>
      </c>
      <c r="D260" s="10">
        <f t="shared" si="36"/>
        <v>0.91368840524687678</v>
      </c>
      <c r="E260" s="10">
        <f t="shared" si="37"/>
        <v>2.493502641223412</v>
      </c>
      <c r="F260" s="10">
        <f t="shared" si="41"/>
        <v>-8.0771152732492801E-3</v>
      </c>
      <c r="G260" s="10">
        <f t="shared" si="38"/>
        <v>-0.86095433005273991</v>
      </c>
      <c r="H260" s="10">
        <f t="shared" si="39"/>
        <v>0.29713999732705737</v>
      </c>
      <c r="I260" s="10">
        <f t="shared" si="42"/>
        <v>-4.0541148139777716E-4</v>
      </c>
      <c r="J260" s="20">
        <f t="shared" si="40"/>
        <v>0</v>
      </c>
      <c r="K260" s="10">
        <f t="shared" si="43"/>
        <v>-3.2340296595623208E-3</v>
      </c>
      <c r="L260" s="10">
        <f t="shared" si="44"/>
        <v>-1.9404177957377255E-3</v>
      </c>
    </row>
    <row r="261" spans="1:12" x14ac:dyDescent="0.2">
      <c r="A261" s="14">
        <v>0.19600000000000001</v>
      </c>
      <c r="B261" s="10">
        <f t="shared" si="34"/>
        <v>-1.411484609948449</v>
      </c>
      <c r="C261" s="10">
        <f t="shared" si="35"/>
        <v>0.42909132142432849</v>
      </c>
      <c r="D261" s="10">
        <f t="shared" si="36"/>
        <v>0.91048695516786293</v>
      </c>
      <c r="E261" s="10">
        <f t="shared" si="37"/>
        <v>2.4855325816768103</v>
      </c>
      <c r="F261" s="10">
        <f t="shared" si="41"/>
        <v>-7.9700595466016821E-3</v>
      </c>
      <c r="G261" s="10">
        <f t="shared" si="38"/>
        <v>-0.86287520010014807</v>
      </c>
      <c r="H261" s="10">
        <f t="shared" si="39"/>
        <v>0.29673898419163791</v>
      </c>
      <c r="I261" s="10">
        <f t="shared" si="42"/>
        <v>-4.0101313541945904E-4</v>
      </c>
      <c r="J261" s="20">
        <f t="shared" si="40"/>
        <v>0</v>
      </c>
      <c r="K261" s="10">
        <f t="shared" si="43"/>
        <v>-3.2014500790138456E-3</v>
      </c>
      <c r="L261" s="10">
        <f t="shared" si="44"/>
        <v>-1.9208700474081519E-3</v>
      </c>
    </row>
    <row r="262" spans="1:12" x14ac:dyDescent="0.2">
      <c r="A262" s="14">
        <v>0.19700000000000001</v>
      </c>
      <c r="B262" s="10">
        <f t="shared" si="34"/>
        <v>-1.4051509852087729</v>
      </c>
      <c r="C262" s="10">
        <f t="shared" si="35"/>
        <v>0.42576074851825818</v>
      </c>
      <c r="D262" s="10">
        <f t="shared" si="36"/>
        <v>0.90731791061986011</v>
      </c>
      <c r="E262" s="10">
        <f t="shared" si="37"/>
        <v>2.4776682859333952</v>
      </c>
      <c r="F262" s="10">
        <f t="shared" si="41"/>
        <v>-7.8642957434151839E-3</v>
      </c>
      <c r="G262" s="10">
        <f t="shared" si="38"/>
        <v>-0.86477662682894973</v>
      </c>
      <c r="H262" s="10">
        <f t="shared" si="39"/>
        <v>0.29634233844933744</v>
      </c>
      <c r="I262" s="10">
        <f t="shared" si="42"/>
        <v>-3.9664574230047212E-4</v>
      </c>
      <c r="J262" s="20">
        <f t="shared" si="40"/>
        <v>0</v>
      </c>
      <c r="K262" s="10">
        <f t="shared" si="43"/>
        <v>-3.1690445480028195E-3</v>
      </c>
      <c r="L262" s="10">
        <f t="shared" si="44"/>
        <v>-1.9014267288016695E-3</v>
      </c>
    </row>
    <row r="263" spans="1:12" x14ac:dyDescent="0.2">
      <c r="A263" s="14">
        <v>0.19800000000000001</v>
      </c>
      <c r="B263" s="10">
        <f t="shared" si="34"/>
        <v>-1.3988415771719793</v>
      </c>
      <c r="C263" s="10">
        <f t="shared" si="35"/>
        <v>0.42245015630593774</v>
      </c>
      <c r="D263" s="10">
        <f t="shared" si="36"/>
        <v>0.90418110007774555</v>
      </c>
      <c r="E263" s="10">
        <f t="shared" si="37"/>
        <v>2.4699084868068315</v>
      </c>
      <c r="F263" s="10">
        <f t="shared" si="41"/>
        <v>-7.7597991265636601E-3</v>
      </c>
      <c r="G263" s="10">
        <f t="shared" si="38"/>
        <v>-0.8666587131542185</v>
      </c>
      <c r="H263" s="10">
        <f t="shared" si="39"/>
        <v>0.29595002960271055</v>
      </c>
      <c r="I263" s="10">
        <f t="shared" si="42"/>
        <v>-3.9230884662688759E-4</v>
      </c>
      <c r="J263" s="20">
        <f t="shared" si="40"/>
        <v>0</v>
      </c>
      <c r="K263" s="10">
        <f t="shared" si="43"/>
        <v>-3.1368105421145653E-3</v>
      </c>
      <c r="L263" s="10">
        <f t="shared" si="44"/>
        <v>-1.8820863252687614E-3</v>
      </c>
    </row>
    <row r="264" spans="1:12" x14ac:dyDescent="0.2">
      <c r="A264" s="14">
        <v>0.19900000000000001</v>
      </c>
      <c r="B264" s="10">
        <f t="shared" si="34"/>
        <v>-1.3925561223438667</v>
      </c>
      <c r="C264" s="10">
        <f t="shared" si="35"/>
        <v>0.41915939282550385</v>
      </c>
      <c r="D264" s="10">
        <f t="shared" si="36"/>
        <v>0.90107635449473089</v>
      </c>
      <c r="E264" s="10">
        <f t="shared" si="37"/>
        <v>2.4622519413052846</v>
      </c>
      <c r="F264" s="10">
        <f t="shared" si="41"/>
        <v>-7.6565455015469297E-3</v>
      </c>
      <c r="G264" s="10">
        <f t="shared" si="38"/>
        <v>-0.86852156050402751</v>
      </c>
      <c r="H264" s="10">
        <f t="shared" si="39"/>
        <v>0.29556202760198175</v>
      </c>
      <c r="I264" s="10">
        <f t="shared" si="42"/>
        <v>-3.8800200072880431E-4</v>
      </c>
      <c r="J264" s="20">
        <f t="shared" si="40"/>
        <v>0</v>
      </c>
      <c r="K264" s="10">
        <f t="shared" si="43"/>
        <v>-3.1047455830146564E-3</v>
      </c>
      <c r="L264" s="10">
        <f t="shared" si="44"/>
        <v>-1.8628473498090159E-3</v>
      </c>
    </row>
    <row r="265" spans="1:12" x14ac:dyDescent="0.2">
      <c r="A265" s="14">
        <v>0.2</v>
      </c>
      <c r="B265" s="10">
        <f t="shared" si="34"/>
        <v>-1.3862943611198906</v>
      </c>
      <c r="C265" s="10">
        <f t="shared" si="35"/>
        <v>0.41588830833596718</v>
      </c>
      <c r="D265" s="10">
        <f t="shared" si="36"/>
        <v>0.89800350725738731</v>
      </c>
      <c r="E265" s="10">
        <f t="shared" si="37"/>
        <v>2.4546974301036242</v>
      </c>
      <c r="F265" s="10">
        <f t="shared" si="41"/>
        <v>-7.5545112016603966E-3</v>
      </c>
      <c r="G265" s="10">
        <f t="shared" si="38"/>
        <v>-0.87036526884643328</v>
      </c>
      <c r="H265" s="10">
        <f t="shared" si="39"/>
        <v>0.29517830283747981</v>
      </c>
      <c r="I265" s="10">
        <f t="shared" si="42"/>
        <v>-3.8372476450193593E-4</v>
      </c>
      <c r="J265" s="20">
        <f t="shared" si="40"/>
        <v>0</v>
      </c>
      <c r="K265" s="10">
        <f t="shared" si="43"/>
        <v>-3.0728472373435789E-3</v>
      </c>
      <c r="L265" s="10">
        <f t="shared" si="44"/>
        <v>-1.8437083424057699E-3</v>
      </c>
    </row>
    <row r="266" spans="1:12" x14ac:dyDescent="0.2">
      <c r="A266" s="14">
        <v>0.20100000000000001</v>
      </c>
      <c r="B266" s="10">
        <f t="shared" si="34"/>
        <v>-1.3800560377071986</v>
      </c>
      <c r="C266" s="10">
        <f t="shared" si="35"/>
        <v>0.41263675527445237</v>
      </c>
      <c r="D266" s="10">
        <f t="shared" si="36"/>
        <v>0.89496239414174528</v>
      </c>
      <c r="E266" s="10">
        <f t="shared" si="37"/>
        <v>2.4472437570300012</v>
      </c>
      <c r="F266" s="10">
        <f t="shared" si="41"/>
        <v>-7.4536730736229906E-3</v>
      </c>
      <c r="G266" s="10">
        <f t="shared" si="38"/>
        <v>-0.87218993671581857</v>
      </c>
      <c r="H266" s="10">
        <f t="shared" si="39"/>
        <v>0.294798826132247</v>
      </c>
      <c r="I266" s="10">
        <f t="shared" si="42"/>
        <v>-3.794767052328063E-4</v>
      </c>
      <c r="J266" s="20">
        <f t="shared" si="40"/>
        <v>0</v>
      </c>
      <c r="K266" s="10">
        <f t="shared" si="43"/>
        <v>-3.0411131156420357E-3</v>
      </c>
      <c r="L266" s="10">
        <f t="shared" si="44"/>
        <v>-1.824667869385288E-3</v>
      </c>
    </row>
    <row r="267" spans="1:12" x14ac:dyDescent="0.2">
      <c r="A267" s="14">
        <v>0.20200000000000001</v>
      </c>
      <c r="B267" s="10">
        <f t="shared" si="34"/>
        <v>-1.373840900048604</v>
      </c>
      <c r="C267" s="10">
        <f t="shared" si="35"/>
        <v>0.409404588214484</v>
      </c>
      <c r="D267" s="10">
        <f t="shared" si="36"/>
        <v>0.89195285327043683</v>
      </c>
      <c r="E267" s="10">
        <f t="shared" si="37"/>
        <v>2.4398897485663276</v>
      </c>
      <c r="F267" s="10">
        <f t="shared" si="41"/>
        <v>-7.3540084636736225E-3</v>
      </c>
      <c r="G267" s="10">
        <f t="shared" si="38"/>
        <v>-0.87399566123860362</v>
      </c>
      <c r="H267" s="10">
        <f t="shared" si="39"/>
        <v>0.29442356873481762</v>
      </c>
      <c r="I267" s="10">
        <f t="shared" si="42"/>
        <v>-3.7525739742938491E-4</v>
      </c>
      <c r="J267" s="20">
        <f t="shared" si="40"/>
        <v>0</v>
      </c>
      <c r="K267" s="10">
        <f t="shared" si="43"/>
        <v>-3.0095408713084471E-3</v>
      </c>
      <c r="L267" s="10">
        <f t="shared" si="44"/>
        <v>-1.805724522785046E-3</v>
      </c>
    </row>
    <row r="268" spans="1:12" x14ac:dyDescent="0.2">
      <c r="A268" s="14">
        <v>0.20300000000000001</v>
      </c>
      <c r="B268" s="10">
        <f t="shared" si="34"/>
        <v>-1.3676486997484274</v>
      </c>
      <c r="C268" s="10">
        <f t="shared" si="35"/>
        <v>0.40619166382528293</v>
      </c>
      <c r="D268" s="10">
        <f t="shared" si="36"/>
        <v>0.88897472507085129</v>
      </c>
      <c r="E268" s="10">
        <f t="shared" si="37"/>
        <v>2.4326342533622416</v>
      </c>
      <c r="F268" s="10">
        <f t="shared" si="41"/>
        <v>-7.255495204085971E-3</v>
      </c>
      <c r="G268" s="10">
        <f t="shared" si="38"/>
        <v>-0.87578253815835494</v>
      </c>
      <c r="H268" s="10">
        <f t="shared" si="39"/>
        <v>0.29405250231216051</v>
      </c>
      <c r="I268" s="10">
        <f t="shared" si="42"/>
        <v>-3.7106642265710699E-4</v>
      </c>
      <c r="J268" s="20">
        <f t="shared" si="40"/>
        <v>0</v>
      </c>
      <c r="K268" s="10">
        <f t="shared" si="43"/>
        <v>-2.9781281995855391E-3</v>
      </c>
      <c r="L268" s="10">
        <f t="shared" si="44"/>
        <v>-1.7868769197513235E-3</v>
      </c>
    </row>
    <row r="269" spans="1:12" x14ac:dyDescent="0.2">
      <c r="A269" s="14">
        <v>0.20399999999999999</v>
      </c>
      <c r="B269" s="10">
        <f t="shared" si="34"/>
        <v>-1.3614791920001668</v>
      </c>
      <c r="C269" s="10">
        <f t="shared" si="35"/>
        <v>0.40299784083204943</v>
      </c>
      <c r="D269" s="10">
        <f t="shared" si="36"/>
        <v>0.88602785223427594</v>
      </c>
      <c r="E269" s="10">
        <f t="shared" si="37"/>
        <v>2.4254761417621249</v>
      </c>
      <c r="F269" s="10">
        <f t="shared" si="41"/>
        <v>-7.1581116001167011E-3</v>
      </c>
      <c r="G269" s="10">
        <f t="shared" si="38"/>
        <v>-0.87755066186030017</v>
      </c>
      <c r="H269" s="10">
        <f t="shared" si="39"/>
        <v>0.29368559894278223</v>
      </c>
      <c r="I269" s="10">
        <f t="shared" si="42"/>
        <v>-3.6690336937827972E-4</v>
      </c>
      <c r="J269" s="20">
        <f t="shared" si="40"/>
        <v>0</v>
      </c>
      <c r="K269" s="10">
        <f t="shared" si="43"/>
        <v>-2.9468728365753538E-3</v>
      </c>
      <c r="L269" s="10">
        <f t="shared" si="44"/>
        <v>-1.7681237019452345E-3</v>
      </c>
    </row>
    <row r="270" spans="1:12" x14ac:dyDescent="0.2">
      <c r="A270" s="14">
        <v>0.20499999999999999</v>
      </c>
      <c r="B270" s="10">
        <f t="shared" si="34"/>
        <v>-1.3553321355159238</v>
      </c>
      <c r="C270" s="10">
        <f t="shared" si="35"/>
        <v>0.39982297997719757</v>
      </c>
      <c r="D270" s="10">
        <f t="shared" si="36"/>
        <v>0.8831120796759917</v>
      </c>
      <c r="E270" s="10">
        <f t="shared" si="37"/>
        <v>2.4184143053447715</v>
      </c>
      <c r="F270" s="10">
        <f t="shared" si="41"/>
        <v>-7.0618364173533621E-3</v>
      </c>
      <c r="G270" s="10">
        <f t="shared" si="38"/>
        <v>-0.8793001253952708</v>
      </c>
      <c r="H270" s="10">
        <f t="shared" si="39"/>
        <v>0.29332283110998536</v>
      </c>
      <c r="I270" s="10">
        <f t="shared" si="42"/>
        <v>-3.6276783279687308E-4</v>
      </c>
      <c r="J270" s="20">
        <f t="shared" si="40"/>
        <v>0</v>
      </c>
      <c r="K270" s="10">
        <f t="shared" si="43"/>
        <v>-2.9157725582842353E-3</v>
      </c>
      <c r="L270" s="10">
        <f t="shared" si="44"/>
        <v>-1.74946353497063E-3</v>
      </c>
    </row>
    <row r="271" spans="1:12" x14ac:dyDescent="0.2">
      <c r="A271" s="14">
        <v>0.20599999999999999</v>
      </c>
      <c r="B271" s="10">
        <f t="shared" si="34"/>
        <v>-1.3492072924575549</v>
      </c>
      <c r="C271" s="10">
        <f t="shared" si="35"/>
        <v>0.39666694398252117</v>
      </c>
      <c r="D271" s="10">
        <f t="shared" si="36"/>
        <v>0.88022725449630257</v>
      </c>
      <c r="E271" s="10">
        <f t="shared" si="37"/>
        <v>2.4114476564753269</v>
      </c>
      <c r="F271" s="10">
        <f t="shared" si="41"/>
        <v>-6.9666488694446471E-3</v>
      </c>
      <c r="G271" s="10">
        <f t="shared" si="38"/>
        <v>-0.88103102050308435</v>
      </c>
      <c r="H271" s="10">
        <f t="shared" si="39"/>
        <v>0.292964171695279</v>
      </c>
      <c r="I271" s="10">
        <f t="shared" si="42"/>
        <v>-3.5865941470636375E-4</v>
      </c>
      <c r="J271" s="20">
        <f t="shared" si="40"/>
        <v>0</v>
      </c>
      <c r="K271" s="10">
        <f t="shared" si="43"/>
        <v>-2.8848251796891322E-3</v>
      </c>
      <c r="L271" s="10">
        <f t="shared" si="44"/>
        <v>-1.7308951078135459E-3</v>
      </c>
    </row>
    <row r="272" spans="1:12" x14ac:dyDescent="0.2">
      <c r="A272" s="14">
        <v>0.20699999999999999</v>
      </c>
      <c r="B272" s="10">
        <f t="shared" si="34"/>
        <v>-1.3431044283694791</v>
      </c>
      <c r="C272" s="10">
        <f t="shared" si="35"/>
        <v>0.39352959751225741</v>
      </c>
      <c r="D272" s="10">
        <f t="shared" si="36"/>
        <v>0.87737322594246292</v>
      </c>
      <c r="E272" s="10">
        <f t="shared" si="37"/>
        <v>2.4045751278690983</v>
      </c>
      <c r="F272" s="10">
        <f t="shared" si="41"/>
        <v>-6.8725286062285562E-3</v>
      </c>
      <c r="G272" s="10">
        <f t="shared" si="38"/>
        <v>-0.88274343763538798</v>
      </c>
      <c r="H272" s="10">
        <f t="shared" si="39"/>
        <v>0.29260959397193548</v>
      </c>
      <c r="I272" s="10">
        <f t="shared" si="42"/>
        <v>-3.5457772334351878E-4</v>
      </c>
      <c r="J272" s="20">
        <f t="shared" si="40"/>
        <v>0</v>
      </c>
      <c r="K272" s="10">
        <f t="shared" si="43"/>
        <v>-2.8540285538396493E-3</v>
      </c>
      <c r="L272" s="10">
        <f t="shared" si="44"/>
        <v>-1.7124171323036341E-3</v>
      </c>
    </row>
    <row r="273" spans="1:12" x14ac:dyDescent="0.2">
      <c r="A273" s="14">
        <v>0.20799999999999999</v>
      </c>
      <c r="B273" s="10">
        <f t="shared" si="34"/>
        <v>-1.3370233121131081</v>
      </c>
      <c r="C273" s="10">
        <f t="shared" si="35"/>
        <v>0.39041080713702764</v>
      </c>
      <c r="D273" s="10">
        <f t="shared" si="36"/>
        <v>0.87454984537148817</v>
      </c>
      <c r="E273" s="10">
        <f t="shared" si="37"/>
        <v>2.3977956721669025</v>
      </c>
      <c r="F273" s="10">
        <f t="shared" si="41"/>
        <v>-6.7794557021958468E-3</v>
      </c>
      <c r="G273" s="10">
        <f t="shared" si="38"/>
        <v>-0.8844374659779729</v>
      </c>
      <c r="H273" s="10">
        <f t="shared" si="39"/>
        <v>0.29225907159869141</v>
      </c>
      <c r="I273" s="10">
        <f t="shared" si="42"/>
        <v>-3.5052237324406654E-4</v>
      </c>
      <c r="J273" s="20">
        <f t="shared" si="40"/>
        <v>0</v>
      </c>
      <c r="K273" s="10">
        <f t="shared" si="43"/>
        <v>-2.8233805709747539E-3</v>
      </c>
      <c r="L273" s="10">
        <f t="shared" si="44"/>
        <v>-1.694028342584919E-3</v>
      </c>
    </row>
    <row r="274" spans="1:12" x14ac:dyDescent="0.2">
      <c r="A274" s="14">
        <v>0.20899999999999999</v>
      </c>
      <c r="B274" s="10">
        <f t="shared" si="34"/>
        <v>-1.3309637158028429</v>
      </c>
      <c r="C274" s="10">
        <f t="shared" si="35"/>
        <v>0.38731044129862735</v>
      </c>
      <c r="D274" s="10">
        <f t="shared" si="36"/>
        <v>0.87175696621381671</v>
      </c>
      <c r="E274" s="10">
        <f t="shared" si="37"/>
        <v>2.3911082615215711</v>
      </c>
      <c r="F274" s="10">
        <f t="shared" si="41"/>
        <v>-6.6874106453314042E-3</v>
      </c>
      <c r="G274" s="10">
        <f t="shared" si="38"/>
        <v>-0.88611319347257589</v>
      </c>
      <c r="H274" s="10">
        <f t="shared" si="39"/>
        <v>0.29191257861358794</v>
      </c>
      <c r="I274" s="10">
        <f t="shared" si="42"/>
        <v>-3.4649298510347482E-4</v>
      </c>
      <c r="J274" s="20">
        <f t="shared" si="40"/>
        <v>0</v>
      </c>
      <c r="K274" s="10">
        <f t="shared" si="43"/>
        <v>-2.7928791576714573E-3</v>
      </c>
      <c r="L274" s="10">
        <f t="shared" si="44"/>
        <v>-1.6757274946029854E-3</v>
      </c>
    </row>
    <row r="275" spans="1:12" x14ac:dyDescent="0.2">
      <c r="A275" s="14">
        <v>0.21</v>
      </c>
      <c r="B275" s="10">
        <f t="shared" si="34"/>
        <v>-1.3249254147435987</v>
      </c>
      <c r="C275" s="10">
        <f t="shared" si="35"/>
        <v>0.38422837027564366</v>
      </c>
      <c r="D275" s="10">
        <f t="shared" si="36"/>
        <v>0.8689944439378039</v>
      </c>
      <c r="E275" s="10">
        <f t="shared" si="37"/>
        <v>2.3845118871953028</v>
      </c>
      <c r="F275" s="10">
        <f t="shared" si="41"/>
        <v>-6.5963743262682506E-3</v>
      </c>
      <c r="G275" s="10">
        <f t="shared" si="38"/>
        <v>-0.8877707068381836</v>
      </c>
      <c r="H275" s="10">
        <f t="shared" si="39"/>
        <v>0.29157008942794632</v>
      </c>
      <c r="I275" s="10">
        <f t="shared" si="42"/>
        <v>-3.4248918564161457E-4</v>
      </c>
      <c r="J275" s="20">
        <f t="shared" si="40"/>
        <v>0</v>
      </c>
      <c r="K275" s="10">
        <f t="shared" si="43"/>
        <v>-2.7625222760128132E-3</v>
      </c>
      <c r="L275" s="10">
        <f t="shared" si="44"/>
        <v>-1.6575133656077101E-3</v>
      </c>
    </row>
    <row r="276" spans="1:12" x14ac:dyDescent="0.2">
      <c r="A276" s="14">
        <v>0.21099999999999999</v>
      </c>
      <c r="B276" s="10">
        <f t="shared" si="34"/>
        <v>-1.3189081873698079</v>
      </c>
      <c r="C276" s="10">
        <f t="shared" si="35"/>
        <v>0.38116446614987454</v>
      </c>
      <c r="D276" s="10">
        <f t="shared" si="36"/>
        <v>0.866262136015024</v>
      </c>
      <c r="E276" s="10">
        <f t="shared" si="37"/>
        <v>2.378005559167518</v>
      </c>
      <c r="F276" s="10">
        <f t="shared" si="41"/>
        <v>-6.5063280277848357E-3</v>
      </c>
      <c r="G276" s="10">
        <f t="shared" si="38"/>
        <v>-0.88941009159185147</v>
      </c>
      <c r="H276" s="10">
        <f t="shared" si="39"/>
        <v>0.2912315788204764</v>
      </c>
      <c r="I276" s="10">
        <f t="shared" si="42"/>
        <v>-3.3851060746992179E-4</v>
      </c>
      <c r="J276" s="20">
        <f t="shared" si="40"/>
        <v>0</v>
      </c>
      <c r="K276" s="10">
        <f t="shared" si="43"/>
        <v>-2.7323079227798974E-3</v>
      </c>
      <c r="L276" s="10">
        <f t="shared" si="44"/>
        <v>-1.6393847536678718E-3</v>
      </c>
    </row>
    <row r="277" spans="1:12" x14ac:dyDescent="0.2">
      <c r="A277" s="14">
        <v>0.21199999999999999</v>
      </c>
      <c r="B277" s="10">
        <f t="shared" si="34"/>
        <v>-1.3129118151858667</v>
      </c>
      <c r="C277" s="10">
        <f t="shared" si="35"/>
        <v>0.37811860277352966</v>
      </c>
      <c r="D277" s="10">
        <f t="shared" si="36"/>
        <v>0.8635599018863549</v>
      </c>
      <c r="E277" s="10">
        <f t="shared" si="37"/>
        <v>2.3715883057529004</v>
      </c>
      <c r="F277" s="10">
        <f t="shared" si="41"/>
        <v>-6.4172534146176297E-3</v>
      </c>
      <c r="G277" s="10">
        <f t="shared" si="38"/>
        <v>-0.89103143206905289</v>
      </c>
      <c r="H277" s="10">
        <f t="shared" si="39"/>
        <v>0.29089702193151307</v>
      </c>
      <c r="I277" s="10">
        <f t="shared" si="42"/>
        <v>-3.3455688896333324E-4</v>
      </c>
      <c r="J277" s="20">
        <f t="shared" si="40"/>
        <v>0</v>
      </c>
      <c r="K277" s="10">
        <f t="shared" si="43"/>
        <v>-2.702234128669101E-3</v>
      </c>
      <c r="L277" s="10">
        <f t="shared" si="44"/>
        <v>-1.6213404772014162E-3</v>
      </c>
    </row>
    <row r="278" spans="1:12" x14ac:dyDescent="0.2">
      <c r="A278" s="14">
        <v>0.21299999999999999</v>
      </c>
      <c r="B278" s="10">
        <f t="shared" si="34"/>
        <v>-1.3069360827079783</v>
      </c>
      <c r="C278" s="10">
        <f t="shared" si="35"/>
        <v>0.3750906557371898</v>
      </c>
      <c r="D278" s="10">
        <f t="shared" si="36"/>
        <v>0.8608876029288326</v>
      </c>
      <c r="E278" s="10">
        <f t="shared" si="37"/>
        <v>2.3652591732293438</v>
      </c>
      <c r="F278" s="10">
        <f t="shared" si="41"/>
        <v>-6.3291325235566021E-3</v>
      </c>
      <c r="G278" s="10">
        <f t="shared" si="38"/>
        <v>-0.89263481144356627</v>
      </c>
      <c r="H278" s="10">
        <f t="shared" si="39"/>
        <v>0.29056639425737874</v>
      </c>
      <c r="I278" s="10">
        <f t="shared" si="42"/>
        <v>-3.3062767413433169E-4</v>
      </c>
      <c r="J278" s="20">
        <f t="shared" si="40"/>
        <v>0</v>
      </c>
      <c r="K278" s="10">
        <f t="shared" si="43"/>
        <v>-2.6722989575223011E-3</v>
      </c>
      <c r="L278" s="10">
        <f t="shared" si="44"/>
        <v>-1.6033793745133806E-3</v>
      </c>
    </row>
    <row r="279" spans="1:12" x14ac:dyDescent="0.2">
      <c r="A279" s="14">
        <v>0.214</v>
      </c>
      <c r="B279" s="10">
        <f t="shared" si="34"/>
        <v>-1.3009807774073552</v>
      </c>
      <c r="C279" s="10">
        <f t="shared" si="35"/>
        <v>0.37208050233850365</v>
      </c>
      <c r="D279" s="10">
        <f t="shared" si="36"/>
        <v>0.85824510242324292</v>
      </c>
      <c r="E279" s="10">
        <f t="shared" si="37"/>
        <v>2.3590172254754762</v>
      </c>
      <c r="F279" s="10">
        <f t="shared" si="41"/>
        <v>-6.2419477538675494E-3</v>
      </c>
      <c r="G279" s="10">
        <f t="shared" si="38"/>
        <v>-0.89422031174692018</v>
      </c>
      <c r="H279" s="10">
        <f t="shared" si="39"/>
        <v>0.29023967164486708</v>
      </c>
      <c r="I279" s="10">
        <f t="shared" si="42"/>
        <v>-3.2672261251165402E-4</v>
      </c>
      <c r="J279" s="20">
        <f t="shared" si="40"/>
        <v>0</v>
      </c>
      <c r="K279" s="10">
        <f t="shared" si="43"/>
        <v>-2.6425005055896733E-3</v>
      </c>
      <c r="L279" s="10">
        <f t="shared" si="44"/>
        <v>-1.585500303353915E-3</v>
      </c>
    </row>
    <row r="280" spans="1:12" x14ac:dyDescent="0.2">
      <c r="A280" s="14">
        <v>0.215</v>
      </c>
      <c r="B280" s="10">
        <f t="shared" si="34"/>
        <v>-1.2950456896547458</v>
      </c>
      <c r="C280" s="10">
        <f t="shared" si="35"/>
        <v>0.36908802155160259</v>
      </c>
      <c r="D280" s="10">
        <f t="shared" si="36"/>
        <v>0.85563226552244154</v>
      </c>
      <c r="E280" s="10">
        <f t="shared" si="37"/>
        <v>2.3528615436175087</v>
      </c>
      <c r="F280" s="10">
        <f t="shared" si="41"/>
        <v>-6.1556818579675543E-3</v>
      </c>
      <c r="G280" s="10">
        <f t="shared" si="38"/>
        <v>-0.8957880138874007</v>
      </c>
      <c r="H280" s="10">
        <f t="shared" si="39"/>
        <v>0.28991683028584636</v>
      </c>
      <c r="I280" s="10">
        <f t="shared" si="42"/>
        <v>-3.228413590207202E-4</v>
      </c>
      <c r="J280" s="20">
        <f t="shared" si="40"/>
        <v>0</v>
      </c>
      <c r="K280" s="10">
        <f t="shared" si="43"/>
        <v>-2.6128369008013852E-3</v>
      </c>
      <c r="L280" s="10">
        <f t="shared" si="44"/>
        <v>-1.5677021404805203E-3</v>
      </c>
    </row>
    <row r="281" spans="1:12" x14ac:dyDescent="0.2">
      <c r="A281" s="14">
        <v>0.216</v>
      </c>
      <c r="B281" s="10">
        <f t="shared" si="34"/>
        <v>-1.289130612666243</v>
      </c>
      <c r="C281" s="10">
        <f t="shared" si="35"/>
        <v>0.36611309399721303</v>
      </c>
      <c r="D281" s="10">
        <f t="shared" si="36"/>
        <v>0.85304895922037738</v>
      </c>
      <c r="E281" s="10">
        <f t="shared" si="37"/>
        <v>2.3467912256851231</v>
      </c>
      <c r="F281" s="10">
        <f t="shared" si="41"/>
        <v>-6.0703179323855494E-3</v>
      </c>
      <c r="G281" s="10">
        <f t="shared" si="38"/>
        <v>-0.89733799766863931</v>
      </c>
      <c r="H281" s="10">
        <f t="shared" si="39"/>
        <v>0.28959784671197764</v>
      </c>
      <c r="I281" s="10">
        <f t="shared" si="42"/>
        <v>-3.1898357386872522E-4</v>
      </c>
      <c r="J281" s="20">
        <f t="shared" si="40"/>
        <v>0</v>
      </c>
      <c r="K281" s="10">
        <f t="shared" si="43"/>
        <v>-2.5833063020641589E-3</v>
      </c>
      <c r="L281" s="10">
        <f t="shared" si="44"/>
        <v>-1.5499837812386064E-3</v>
      </c>
    </row>
    <row r="282" spans="1:12" x14ac:dyDescent="0.2">
      <c r="A282" s="14">
        <v>0.217</v>
      </c>
      <c r="B282" s="10">
        <f t="shared" si="34"/>
        <v>-1.2832353424503435</v>
      </c>
      <c r="C282" s="10">
        <f t="shared" si="35"/>
        <v>0.36315560191344726</v>
      </c>
      <c r="D282" s="10">
        <f t="shared" si="36"/>
        <v>0.85049505232179978</v>
      </c>
      <c r="E282" s="10">
        <f t="shared" si="37"/>
        <v>2.3408053862761276</v>
      </c>
      <c r="F282" s="10">
        <f t="shared" si="41"/>
        <v>-5.9858394089955524E-3</v>
      </c>
      <c r="G282" s="10">
        <f t="shared" si="38"/>
        <v>-0.89887034180778591</v>
      </c>
      <c r="H282" s="10">
        <f t="shared" si="39"/>
        <v>0.28928269778954702</v>
      </c>
      <c r="I282" s="10">
        <f t="shared" si="42"/>
        <v>-3.151489224306192E-4</v>
      </c>
      <c r="J282" s="20">
        <f t="shared" si="40"/>
        <v>0</v>
      </c>
      <c r="K282" s="10">
        <f t="shared" si="43"/>
        <v>-2.5539068985775959E-3</v>
      </c>
      <c r="L282" s="10">
        <f t="shared" si="44"/>
        <v>-1.5323441391466019E-3</v>
      </c>
    </row>
    <row r="283" spans="1:12" x14ac:dyDescent="0.2">
      <c r="A283" s="14">
        <v>0.218</v>
      </c>
      <c r="B283" s="10">
        <f t="shared" si="34"/>
        <v>-1.2773596777562222</v>
      </c>
      <c r="C283" s="10">
        <f t="shared" si="35"/>
        <v>0.36021542912725468</v>
      </c>
      <c r="D283" s="10">
        <f t="shared" si="36"/>
        <v>0.84797041541263418</v>
      </c>
      <c r="E283" s="10">
        <f t="shared" si="37"/>
        <v>2.334903156229637</v>
      </c>
      <c r="F283" s="10">
        <f t="shared" si="41"/>
        <v>-5.9022300464905975E-3</v>
      </c>
      <c r="G283" s="10">
        <f t="shared" si="38"/>
        <v>-0.90038512395328529</v>
      </c>
      <c r="H283" s="10">
        <f t="shared" si="39"/>
        <v>0.28897136071440654</v>
      </c>
      <c r="I283" s="10">
        <f t="shared" si="42"/>
        <v>-3.1133707514047204E-4</v>
      </c>
      <c r="J283" s="20">
        <f t="shared" si="40"/>
        <v>0</v>
      </c>
      <c r="K283" s="10">
        <f t="shared" si="43"/>
        <v>-2.5246369091656007E-3</v>
      </c>
      <c r="L283" s="10">
        <f t="shared" si="44"/>
        <v>-1.5147821454993826E-3</v>
      </c>
    </row>
    <row r="284" spans="1:12" x14ac:dyDescent="0.2">
      <c r="A284" s="14">
        <v>0.219</v>
      </c>
      <c r="B284" s="10">
        <f t="shared" si="34"/>
        <v>-1.2715034200231852</v>
      </c>
      <c r="C284" s="10">
        <f t="shared" si="35"/>
        <v>0.35729246102651507</v>
      </c>
      <c r="D284" s="10">
        <f t="shared" si="36"/>
        <v>0.84547492083100795</v>
      </c>
      <c r="E284" s="10">
        <f t="shared" si="37"/>
        <v>2.3290836823075254</v>
      </c>
      <c r="F284" s="10">
        <f t="shared" si="41"/>
        <v>-5.8194739221115732E-3</v>
      </c>
      <c r="G284" s="10">
        <f t="shared" si="38"/>
        <v>-0.9018824207022611</v>
      </c>
      <c r="H284" s="10">
        <f t="shared" si="39"/>
        <v>0.28866381300702287</v>
      </c>
      <c r="I284" s="10">
        <f t="shared" si="42"/>
        <v>-3.0754770738367077E-4</v>
      </c>
      <c r="J284" s="20">
        <f t="shared" si="40"/>
        <v>0</v>
      </c>
      <c r="K284" s="10">
        <f t="shared" si="43"/>
        <v>-2.4954945816262342E-3</v>
      </c>
      <c r="L284" s="10">
        <f t="shared" si="44"/>
        <v>-1.4972967489758071E-3</v>
      </c>
    </row>
    <row r="285" spans="1:12" x14ac:dyDescent="0.2">
      <c r="A285" s="14">
        <v>0.22</v>
      </c>
      <c r="B285" s="10">
        <f t="shared" si="34"/>
        <v>-1.2656663733312759</v>
      </c>
      <c r="C285" s="10">
        <f t="shared" si="35"/>
        <v>0.35438658453275729</v>
      </c>
      <c r="D285" s="10">
        <f t="shared" si="36"/>
        <v>0.8430084426389074</v>
      </c>
      <c r="E285" s="10">
        <f t="shared" si="37"/>
        <v>2.3233461268839091</v>
      </c>
      <c r="F285" s="10">
        <f t="shared" si="41"/>
        <v>-5.737555423616314E-3</v>
      </c>
      <c r="G285" s="10">
        <f t="shared" si="38"/>
        <v>-0.90336230761752134</v>
      </c>
      <c r="H285" s="10">
        <f t="shared" si="39"/>
        <v>0.28836003250763026</v>
      </c>
      <c r="I285" s="10">
        <f t="shared" si="42"/>
        <v>-3.0378049939261409E-4</v>
      </c>
      <c r="J285" s="20">
        <f t="shared" si="40"/>
        <v>0</v>
      </c>
      <c r="K285" s="10">
        <f t="shared" si="43"/>
        <v>-2.4664781921005519E-3</v>
      </c>
      <c r="L285" s="10">
        <f t="shared" si="44"/>
        <v>-1.4798869152602423E-3</v>
      </c>
    </row>
    <row r="286" spans="1:12" x14ac:dyDescent="0.2">
      <c r="A286" s="14">
        <v>0.221</v>
      </c>
      <c r="B286" s="10">
        <f t="shared" si="34"/>
        <v>-1.2598483443529955</v>
      </c>
      <c r="C286" s="10">
        <f t="shared" si="35"/>
        <v>0.35149768807448578</v>
      </c>
      <c r="D286" s="10">
        <f t="shared" si="36"/>
        <v>0.84057085659445219</v>
      </c>
      <c r="E286" s="10">
        <f t="shared" si="37"/>
        <v>2.3176896676424392</v>
      </c>
      <c r="F286" s="10">
        <f t="shared" si="41"/>
        <v>-5.6564592414698467E-3</v>
      </c>
      <c r="G286" s="10">
        <f t="shared" si="38"/>
        <v>-0.90482485924419442</v>
      </c>
      <c r="H286" s="10">
        <f t="shared" si="39"/>
        <v>0.28805999737148524</v>
      </c>
      <c r="I286" s="10">
        <f t="shared" si="42"/>
        <v>-3.0003513614501598E-4</v>
      </c>
      <c r="J286" s="20">
        <f t="shared" si="40"/>
        <v>0</v>
      </c>
      <c r="K286" s="10">
        <f t="shared" si="43"/>
        <v>-2.4375860444552089E-3</v>
      </c>
      <c r="L286" s="10">
        <f t="shared" si="44"/>
        <v>-1.4625516266730809E-3</v>
      </c>
    </row>
    <row r="287" spans="1:12" x14ac:dyDescent="0.2">
      <c r="A287" s="14">
        <v>0.222</v>
      </c>
      <c r="B287" s="10">
        <f t="shared" si="34"/>
        <v>-1.2540491423061122</v>
      </c>
      <c r="C287" s="10">
        <f t="shared" si="35"/>
        <v>0.3486256615610992</v>
      </c>
      <c r="D287" s="10">
        <f t="shared" si="36"/>
        <v>0.83816204012476969</v>
      </c>
      <c r="E287" s="10">
        <f t="shared" si="37"/>
        <v>2.3121134972811737</v>
      </c>
      <c r="F287" s="10">
        <f t="shared" si="41"/>
        <v>-5.5761703612655644E-3</v>
      </c>
      <c r="G287" s="10">
        <f t="shared" si="38"/>
        <v>-0.90627014912600401</v>
      </c>
      <c r="H287" s="10">
        <f t="shared" si="39"/>
        <v>0.28776368606422059</v>
      </c>
      <c r="I287" s="10">
        <f t="shared" si="42"/>
        <v>-2.9631130726465171E-4</v>
      </c>
      <c r="J287" s="20">
        <f t="shared" si="40"/>
        <v>0</v>
      </c>
      <c r="K287" s="10">
        <f t="shared" si="43"/>
        <v>-2.4088164696824954E-3</v>
      </c>
      <c r="L287" s="10">
        <f t="shared" si="44"/>
        <v>-1.4452898818095861E-3</v>
      </c>
    </row>
    <row r="288" spans="1:12" x14ac:dyDescent="0.2">
      <c r="A288" s="14">
        <v>0.223</v>
      </c>
      <c r="B288" s="10">
        <f t="shared" si="34"/>
        <v>-1.2482685789075285</v>
      </c>
      <c r="C288" s="10">
        <f t="shared" si="35"/>
        <v>0.34577039635738543</v>
      </c>
      <c r="D288" s="10">
        <f t="shared" si="36"/>
        <v>0.83578187229945167</v>
      </c>
      <c r="E288" s="10">
        <f t="shared" si="37"/>
        <v>2.3066168232248083</v>
      </c>
      <c r="F288" s="10">
        <f t="shared" si="41"/>
        <v>-5.496674056365336E-3</v>
      </c>
      <c r="G288" s="10">
        <f t="shared" si="38"/>
        <v>-0.90769824982119485</v>
      </c>
      <c r="H288" s="10">
        <f t="shared" si="39"/>
        <v>0.2874710773572956</v>
      </c>
      <c r="I288" s="10">
        <f t="shared" si="42"/>
        <v>-2.9260870692499052E-4</v>
      </c>
      <c r="J288" s="20">
        <f t="shared" si="40"/>
        <v>0</v>
      </c>
      <c r="K288" s="10">
        <f t="shared" si="43"/>
        <v>-2.3801678253180247E-3</v>
      </c>
      <c r="L288" s="10">
        <f t="shared" si="44"/>
        <v>-1.428100695190837E-3</v>
      </c>
    </row>
    <row r="289" spans="1:12" x14ac:dyDescent="0.2">
      <c r="A289" s="14">
        <v>0.224</v>
      </c>
      <c r="B289" s="10">
        <f t="shared" si="34"/>
        <v>-1.242506468328179</v>
      </c>
      <c r="C289" s="10">
        <f t="shared" si="35"/>
        <v>0.34293178525857743</v>
      </c>
      <c r="D289" s="10">
        <f t="shared" si="36"/>
        <v>0.83343023380458381</v>
      </c>
      <c r="E289" s="10">
        <f t="shared" si="37"/>
        <v>2.3011988673440755</v>
      </c>
      <c r="F289" s="10">
        <f t="shared" si="41"/>
        <v>-5.4179558807327943E-3</v>
      </c>
      <c r="G289" s="10">
        <f t="shared" si="38"/>
        <v>-0.90910923291811552</v>
      </c>
      <c r="H289" s="10">
        <f t="shared" si="39"/>
        <v>0.2871821503235415</v>
      </c>
      <c r="I289" s="10">
        <f t="shared" si="42"/>
        <v>-2.88927033754105E-4</v>
      </c>
      <c r="J289" s="20">
        <f t="shared" si="40"/>
        <v>0</v>
      </c>
      <c r="K289" s="10">
        <f t="shared" si="43"/>
        <v>-2.3516384948678581E-3</v>
      </c>
      <c r="L289" s="10">
        <f t="shared" si="44"/>
        <v>-1.4109830969206705E-3</v>
      </c>
    </row>
    <row r="290" spans="1:12" x14ac:dyDescent="0.2">
      <c r="A290" s="14">
        <v>0.22500000000000001</v>
      </c>
      <c r="B290" s="10">
        <f t="shared" si="34"/>
        <v>-1.2367626271489267</v>
      </c>
      <c r="C290" s="10">
        <f t="shared" si="35"/>
        <v>0.34010972246595489</v>
      </c>
      <c r="D290" s="10">
        <f t="shared" si="36"/>
        <v>0.83110700691732786</v>
      </c>
      <c r="E290" s="10">
        <f t="shared" si="37"/>
        <v>2.2958588656820944</v>
      </c>
      <c r="F290" s="10">
        <f t="shared" si="41"/>
        <v>-5.3400016619811197E-3</v>
      </c>
      <c r="G290" s="10">
        <f t="shared" si="38"/>
        <v>-0.91050316905046902</v>
      </c>
      <c r="H290" s="10">
        <f t="shared" si="39"/>
        <v>0.28689688433279775</v>
      </c>
      <c r="I290" s="10">
        <f t="shared" si="42"/>
        <v>-2.8526599074374381E-4</v>
      </c>
      <c r="J290" s="20">
        <f t="shared" si="40"/>
        <v>0</v>
      </c>
      <c r="K290" s="10">
        <f t="shared" si="43"/>
        <v>-2.3232268872559469E-3</v>
      </c>
      <c r="L290" s="10">
        <f t="shared" si="44"/>
        <v>-1.3939361323535016E-3</v>
      </c>
    </row>
    <row r="291" spans="1:12" x14ac:dyDescent="0.2">
      <c r="A291" s="14">
        <v>0.22600000000000001</v>
      </c>
      <c r="B291" s="10">
        <f t="shared" si="34"/>
        <v>-1.2310368743174411</v>
      </c>
      <c r="C291" s="10">
        <f t="shared" si="35"/>
        <v>0.33730410356297891</v>
      </c>
      <c r="D291" s="10">
        <f t="shared" si="36"/>
        <v>0.82881207548104385</v>
      </c>
      <c r="E291" s="10">
        <f t="shared" si="37"/>
        <v>2.2905960681874782</v>
      </c>
      <c r="F291" s="10">
        <f t="shared" si="41"/>
        <v>-5.2627974946162226E-3</v>
      </c>
      <c r="G291" s="10">
        <f t="shared" si="38"/>
        <v>-0.91188012791223949</v>
      </c>
      <c r="H291" s="10">
        <f t="shared" si="39"/>
        <v>0.2866152590476394</v>
      </c>
      <c r="I291" s="10">
        <f t="shared" si="42"/>
        <v>-2.8162528515834895E-4</v>
      </c>
      <c r="J291" s="20">
        <f t="shared" si="40"/>
        <v>0</v>
      </c>
      <c r="K291" s="10">
        <f t="shared" si="43"/>
        <v>-2.294931436284009E-3</v>
      </c>
      <c r="L291" s="10">
        <f t="shared" si="44"/>
        <v>-1.376958861770472E-3</v>
      </c>
    </row>
    <row r="292" spans="1:12" x14ac:dyDescent="0.2">
      <c r="A292" s="14">
        <v>0.22700000000000001</v>
      </c>
      <c r="B292" s="10">
        <f t="shared" si="34"/>
        <v>-1.2253290311060192</v>
      </c>
      <c r="C292" s="10">
        <f t="shared" si="35"/>
        <v>0.33451482549194328</v>
      </c>
      <c r="D292" s="10">
        <f t="shared" si="36"/>
        <v>0.82654532488094179</v>
      </c>
      <c r="E292" s="10">
        <f t="shared" si="37"/>
        <v>2.2854097384540224</v>
      </c>
      <c r="F292" s="10">
        <f t="shared" si="41"/>
        <v>-5.1863297334557856E-3</v>
      </c>
      <c r="G292" s="10">
        <f t="shared" si="38"/>
        <v>-0.91324017827230086</v>
      </c>
      <c r="H292" s="10">
        <f t="shared" si="39"/>
        <v>0.28633725441919056</v>
      </c>
      <c r="I292" s="10">
        <f t="shared" si="42"/>
        <v>-2.7800462844884688E-4</v>
      </c>
      <c r="J292" s="20">
        <f t="shared" si="40"/>
        <v>0</v>
      </c>
      <c r="K292" s="10">
        <f t="shared" si="43"/>
        <v>-2.2667506001020632E-3</v>
      </c>
      <c r="L292" s="10">
        <f t="shared" si="44"/>
        <v>-1.3600503600613711E-3</v>
      </c>
    </row>
    <row r="293" spans="1:12" x14ac:dyDescent="0.2">
      <c r="A293" s="14">
        <v>0.22800000000000001</v>
      </c>
      <c r="B293" s="10">
        <f t="shared" si="34"/>
        <v>-1.2196389210703353</v>
      </c>
      <c r="C293" s="10">
        <f t="shared" si="35"/>
        <v>0.33174178653113123</v>
      </c>
      <c r="D293" s="10">
        <f t="shared" si="36"/>
        <v>0.82430664202024373</v>
      </c>
      <c r="E293" s="10">
        <f t="shared" si="37"/>
        <v>2.280299153466776</v>
      </c>
      <c r="F293" s="10">
        <f t="shared" si="41"/>
        <v>-5.1105849872463693E-3</v>
      </c>
      <c r="G293" s="10">
        <f t="shared" si="38"/>
        <v>-0.91458338798871963</v>
      </c>
      <c r="H293" s="10">
        <f t="shared" si="39"/>
        <v>0.28606285068302445</v>
      </c>
      <c r="I293" s="10">
        <f t="shared" si="42"/>
        <v>-2.7440373616610669E-4</v>
      </c>
      <c r="J293" s="20">
        <f t="shared" si="40"/>
        <v>0</v>
      </c>
      <c r="K293" s="10">
        <f t="shared" si="43"/>
        <v>-2.2386828606980602E-3</v>
      </c>
      <c r="L293" s="10">
        <f t="shared" si="44"/>
        <v>-1.3432097164187695E-3</v>
      </c>
    </row>
    <row r="294" spans="1:12" x14ac:dyDescent="0.2">
      <c r="A294" s="14">
        <v>0.22900000000000001</v>
      </c>
      <c r="B294" s="10">
        <f t="shared" si="34"/>
        <v>-1.2139663700090899</v>
      </c>
      <c r="C294" s="10">
        <f t="shared" si="35"/>
        <v>0.32898488627246336</v>
      </c>
      <c r="D294" s="10">
        <f t="shared" si="36"/>
        <v>0.82209591529685011</v>
      </c>
      <c r="E294" s="10">
        <f t="shared" si="37"/>
        <v>2.2752636033543343</v>
      </c>
      <c r="F294" s="10">
        <f t="shared" si="41"/>
        <v>-5.0355501124417223E-3</v>
      </c>
      <c r="G294" s="10">
        <f t="shared" si="38"/>
        <v>-0.91590982402275567</v>
      </c>
      <c r="H294" s="10">
        <f t="shared" si="39"/>
        <v>0.28579202835514589</v>
      </c>
      <c r="I294" s="10">
        <f t="shared" si="42"/>
        <v>-2.7082232787856153E-4</v>
      </c>
      <c r="J294" s="20">
        <f t="shared" si="40"/>
        <v>0</v>
      </c>
      <c r="K294" s="10">
        <f t="shared" si="43"/>
        <v>-2.210726723393619E-3</v>
      </c>
      <c r="L294" s="10">
        <f t="shared" si="44"/>
        <v>-1.3264360340360382E-3</v>
      </c>
    </row>
    <row r="295" spans="1:12" x14ac:dyDescent="0.2">
      <c r="A295" s="14">
        <v>0.23</v>
      </c>
      <c r="B295" s="10">
        <f t="shared" si="34"/>
        <v>-1.2083112059245342</v>
      </c>
      <c r="C295" s="10">
        <f t="shared" si="35"/>
        <v>0.32624402559962429</v>
      </c>
      <c r="D295" s="10">
        <f t="shared" si="36"/>
        <v>0.8199130345804897</v>
      </c>
      <c r="E295" s="10">
        <f t="shared" si="37"/>
        <v>2.2703023911471649</v>
      </c>
      <c r="F295" s="10">
        <f t="shared" si="41"/>
        <v>-4.9612122071693854E-3</v>
      </c>
      <c r="G295" s="10">
        <f t="shared" si="38"/>
        <v>-0.91721955245257214</v>
      </c>
      <c r="H295" s="10">
        <f t="shared" si="39"/>
        <v>0.28552476822805567</v>
      </c>
      <c r="I295" s="10">
        <f t="shared" si="42"/>
        <v>-2.6726012709021862E-4</v>
      </c>
      <c r="J295" s="20">
        <f t="shared" si="40"/>
        <v>0</v>
      </c>
      <c r="K295" s="10">
        <f t="shared" si="43"/>
        <v>-2.1828807163604136E-3</v>
      </c>
      <c r="L295" s="10">
        <f t="shared" si="44"/>
        <v>-1.3097284298164702E-3</v>
      </c>
    </row>
    <row r="296" spans="1:12" x14ac:dyDescent="0.2">
      <c r="A296" s="14">
        <v>0.23100000000000001</v>
      </c>
      <c r="B296" s="10">
        <f t="shared" si="34"/>
        <v>-1.2026732589838505</v>
      </c>
      <c r="C296" s="10">
        <f t="shared" si="35"/>
        <v>0.32351910666665579</v>
      </c>
      <c r="D296" s="10">
        <f t="shared" si="36"/>
        <v>0.81775789119034958</v>
      </c>
      <c r="E296" s="10">
        <f t="shared" si="37"/>
        <v>2.2654148325418229</v>
      </c>
      <c r="F296" s="10">
        <f t="shared" si="41"/>
        <v>-4.8875586053420683E-3</v>
      </c>
      <c r="G296" s="10">
        <f t="shared" si="38"/>
        <v>-0.91851263848665621</v>
      </c>
      <c r="H296" s="10">
        <f t="shared" si="39"/>
        <v>0.28526105136689422</v>
      </c>
      <c r="I296" s="10">
        <f t="shared" si="42"/>
        <v>-2.6371686116144488E-4</v>
      </c>
      <c r="J296" s="20">
        <f t="shared" si="40"/>
        <v>0</v>
      </c>
      <c r="K296" s="10">
        <f t="shared" si="43"/>
        <v>-2.1551433901401129E-3</v>
      </c>
      <c r="L296" s="10">
        <f t="shared" si="44"/>
        <v>-1.2930860340840677E-3</v>
      </c>
    </row>
    <row r="297" spans="1:12" x14ac:dyDescent="0.2">
      <c r="A297" s="14">
        <v>0.23200000000000001</v>
      </c>
      <c r="B297" s="10">
        <f t="shared" si="34"/>
        <v>-1.1970523614813622</v>
      </c>
      <c r="C297" s="10">
        <f t="shared" si="35"/>
        <v>0.3208100328770051</v>
      </c>
      <c r="D297" s="10">
        <f t="shared" si="36"/>
        <v>0.81563037787316728</v>
      </c>
      <c r="E297" s="10">
        <f t="shared" si="37"/>
        <v>2.2606002556708762</v>
      </c>
      <c r="F297" s="10">
        <f t="shared" si="41"/>
        <v>-4.814576870946663E-3</v>
      </c>
      <c r="G297" s="10">
        <f t="shared" si="38"/>
        <v>-0.91978914647696541</v>
      </c>
      <c r="H297" s="10">
        <f t="shared" si="39"/>
        <v>0.28500085910566225</v>
      </c>
      <c r="I297" s="10">
        <f t="shared" si="42"/>
        <v>-2.6019226123197292E-4</v>
      </c>
      <c r="J297" s="20">
        <f t="shared" si="40"/>
        <v>0</v>
      </c>
      <c r="K297" s="10">
        <f t="shared" si="43"/>
        <v>-2.1275133171823057E-3</v>
      </c>
      <c r="L297" s="10">
        <f t="shared" si="44"/>
        <v>-1.2765079903092058E-3</v>
      </c>
    </row>
    <row r="298" spans="1:12" x14ac:dyDescent="0.2">
      <c r="A298" s="14">
        <v>0.23300000000000001</v>
      </c>
      <c r="B298" s="10">
        <f t="shared" si="34"/>
        <v>-1.1914483478015556</v>
      </c>
      <c r="C298" s="10">
        <f t="shared" si="35"/>
        <v>0.31811670886301535</v>
      </c>
      <c r="D298" s="10">
        <f t="shared" si="36"/>
        <v>0.81353038878177497</v>
      </c>
      <c r="E298" s="10">
        <f t="shared" si="37"/>
        <v>2.2558580008783955</v>
      </c>
      <c r="F298" s="10">
        <f t="shared" si="41"/>
        <v>-4.7422547924806935E-3</v>
      </c>
      <c r="G298" s="10">
        <f t="shared" si="38"/>
        <v>-0.92104913993180082</v>
      </c>
      <c r="H298" s="10">
        <f t="shared" si="39"/>
        <v>0.28474417304351746</v>
      </c>
      <c r="I298" s="10">
        <f t="shared" si="42"/>
        <v>-2.5668606214479528E-4</v>
      </c>
      <c r="J298" s="20">
        <f t="shared" si="40"/>
        <v>0</v>
      </c>
      <c r="K298" s="10">
        <f t="shared" si="43"/>
        <v>-2.0999890913923069E-3</v>
      </c>
      <c r="L298" s="10">
        <f t="shared" si="44"/>
        <v>-1.2599934548354064E-3</v>
      </c>
    </row>
    <row r="299" spans="1:12" x14ac:dyDescent="0.2">
      <c r="A299" s="14">
        <v>0.23400000000000001</v>
      </c>
      <c r="B299" s="10">
        <f t="shared" si="34"/>
        <v>-1.1858610543828898</v>
      </c>
      <c r="C299" s="10">
        <f t="shared" si="35"/>
        <v>0.3154390404658487</v>
      </c>
      <c r="D299" s="10">
        <f t="shared" si="36"/>
        <v>0.8114578194540869</v>
      </c>
      <c r="E299" s="10">
        <f t="shared" si="37"/>
        <v>2.2511874205008615</v>
      </c>
      <c r="F299" s="10">
        <f t="shared" si="41"/>
        <v>-4.6705803775339838E-3</v>
      </c>
      <c r="G299" s="10">
        <f t="shared" si="38"/>
        <v>-0.9222926815284137</v>
      </c>
      <c r="H299" s="10">
        <f t="shared" si="39"/>
        <v>0.28449097504114518</v>
      </c>
      <c r="I299" s="10">
        <f t="shared" si="42"/>
        <v>-2.5319800237227907E-4</v>
      </c>
      <c r="J299" s="20">
        <f t="shared" si="40"/>
        <v>0</v>
      </c>
      <c r="K299" s="10">
        <f t="shared" si="43"/>
        <v>-2.0725693276880675E-3</v>
      </c>
      <c r="L299" s="10">
        <f t="shared" si="44"/>
        <v>-1.2435415966128849E-3</v>
      </c>
    </row>
    <row r="300" spans="1:12" x14ac:dyDescent="0.2">
      <c r="A300" s="14">
        <v>0.23499999999999999</v>
      </c>
      <c r="B300" s="10">
        <f t="shared" si="34"/>
        <v>-1.1802903196823771</v>
      </c>
      <c r="C300" s="10">
        <f t="shared" si="35"/>
        <v>0.31277693471582996</v>
      </c>
      <c r="D300" s="10">
        <f t="shared" si="36"/>
        <v>0.80941256679251561</v>
      </c>
      <c r="E300" s="10">
        <f t="shared" si="37"/>
        <v>2.2465878786533349</v>
      </c>
      <c r="F300" s="10">
        <f t="shared" si="41"/>
        <v>-4.5995418475266447E-3</v>
      </c>
      <c r="G300" s="10">
        <f t="shared" si="38"/>
        <v>-0.92351983312535657</v>
      </c>
      <c r="H300" s="10">
        <f t="shared" si="39"/>
        <v>0.28424124721720068</v>
      </c>
      <c r="I300" s="10">
        <f t="shared" si="42"/>
        <v>-2.497278239445011E-4</v>
      </c>
      <c r="J300" s="20">
        <f t="shared" si="40"/>
        <v>0</v>
      </c>
      <c r="K300" s="10">
        <f t="shared" si="43"/>
        <v>-2.0452526615712951E-3</v>
      </c>
      <c r="L300" s="10">
        <f t="shared" si="44"/>
        <v>-1.2271515969428659E-3</v>
      </c>
    </row>
    <row r="301" spans="1:12" x14ac:dyDescent="0.2">
      <c r="A301" s="14">
        <v>0.23599999999999999</v>
      </c>
      <c r="B301" s="10">
        <f t="shared" si="34"/>
        <v>-1.1747359841409104</v>
      </c>
      <c r="C301" s="10">
        <f t="shared" si="35"/>
        <v>0.31013029981320034</v>
      </c>
      <c r="D301" s="10">
        <f t="shared" si="36"/>
        <v>0.80739452904380982</v>
      </c>
      <c r="E301" s="10">
        <f t="shared" si="37"/>
        <v>2.2420587510207572</v>
      </c>
      <c r="F301" s="10">
        <f t="shared" si="41"/>
        <v>-4.5291276325776231E-3</v>
      </c>
      <c r="G301" s="10">
        <f t="shared" si="38"/>
        <v>-0.92473065577457991</v>
      </c>
      <c r="H301" s="10">
        <f t="shared" si="39"/>
        <v>0.28399497194482226</v>
      </c>
      <c r="I301" s="10">
        <f t="shared" si="42"/>
        <v>-2.4627527237841562E-4</v>
      </c>
      <c r="J301" s="20">
        <f t="shared" si="40"/>
        <v>0</v>
      </c>
      <c r="K301" s="10">
        <f t="shared" si="43"/>
        <v>-2.0180377487057921E-3</v>
      </c>
      <c r="L301" s="10">
        <f t="shared" si="44"/>
        <v>-1.210822649223342E-3</v>
      </c>
    </row>
    <row r="302" spans="1:12" x14ac:dyDescent="0.2">
      <c r="A302" s="14">
        <v>0.23699999999999999</v>
      </c>
      <c r="B302" s="10">
        <f t="shared" si="34"/>
        <v>-1.1691978901493258</v>
      </c>
      <c r="C302" s="10">
        <f t="shared" si="35"/>
        <v>0.30749904510927273</v>
      </c>
      <c r="D302" s="10">
        <f t="shared" si="36"/>
        <v>0.8054036057793017</v>
      </c>
      <c r="E302" s="10">
        <f t="shared" si="37"/>
        <v>2.2375994246542401</v>
      </c>
      <c r="F302" s="10">
        <f t="shared" si="41"/>
        <v>-4.4593263665171357E-3</v>
      </c>
      <c r="G302" s="10">
        <f t="shared" si="38"/>
        <v>-0.92592520973328485</v>
      </c>
      <c r="H302" s="10">
        <f t="shared" si="39"/>
        <v>0.28375213184821274</v>
      </c>
      <c r="I302" s="10">
        <f t="shared" si="42"/>
        <v>-2.4284009660952011E-4</v>
      </c>
      <c r="J302" s="20">
        <f t="shared" si="40"/>
        <v>0</v>
      </c>
      <c r="K302" s="10">
        <f t="shared" si="43"/>
        <v>-1.9909232645081154E-3</v>
      </c>
      <c r="L302" s="10">
        <f t="shared" si="44"/>
        <v>-1.1945539587049359E-3</v>
      </c>
    </row>
    <row r="303" spans="1:12" x14ac:dyDescent="0.2">
      <c r="A303" s="14">
        <v>0.23799999999999999</v>
      </c>
      <c r="B303" s="10">
        <f t="shared" si="34"/>
        <v>-1.1636758820151716</v>
      </c>
      <c r="C303" s="10">
        <f t="shared" si="35"/>
        <v>0.30488308108797496</v>
      </c>
      <c r="D303" s="10">
        <f t="shared" si="36"/>
        <v>0.80343969787555314</v>
      </c>
      <c r="E303" s="10">
        <f t="shared" si="37"/>
        <v>2.2332092977722153</v>
      </c>
      <c r="F303" s="10">
        <f t="shared" si="41"/>
        <v>-4.3901268820247807E-3</v>
      </c>
      <c r="G303" s="10">
        <f t="shared" si="38"/>
        <v>-0.92710355447553372</v>
      </c>
      <c r="H303" s="10">
        <f t="shared" si="39"/>
        <v>0.28351270979928833</v>
      </c>
      <c r="I303" s="10">
        <f t="shared" si="42"/>
        <v>-2.3942204892440921E-4</v>
      </c>
      <c r="J303" s="20">
        <f t="shared" si="40"/>
        <v>0</v>
      </c>
      <c r="K303" s="10">
        <f t="shared" si="43"/>
        <v>-1.9639079037485629E-3</v>
      </c>
      <c r="L303" s="10">
        <f t="shared" si="44"/>
        <v>-1.1783447422488713E-3</v>
      </c>
    </row>
    <row r="304" spans="1:12" x14ac:dyDescent="0.2">
      <c r="A304" s="14">
        <v>0.23899999999999999</v>
      </c>
      <c r="B304" s="10">
        <f t="shared" si="34"/>
        <v>-1.1581698059301753</v>
      </c>
      <c r="C304" s="10">
        <f t="shared" si="35"/>
        <v>0.30228231934777577</v>
      </c>
      <c r="D304" s="10">
        <f t="shared" si="36"/>
        <v>0.80150270749539476</v>
      </c>
      <c r="E304" s="10">
        <f t="shared" si="37"/>
        <v>2.2288877795663162</v>
      </c>
      <c r="F304" s="10">
        <f t="shared" si="41"/>
        <v>-4.3215182058990997E-3</v>
      </c>
      <c r="G304" s="10">
        <f t="shared" si="38"/>
        <v>-0.92826574870362888</v>
      </c>
      <c r="H304" s="10">
        <f t="shared" si="39"/>
        <v>0.28327668891439312</v>
      </c>
      <c r="I304" s="10">
        <f t="shared" si="42"/>
        <v>-2.3602088489521611E-4</v>
      </c>
      <c r="J304" s="20">
        <f t="shared" si="40"/>
        <v>0</v>
      </c>
      <c r="K304" s="10">
        <f t="shared" si="43"/>
        <v>-1.9369903801583765E-3</v>
      </c>
      <c r="L304" s="10">
        <f t="shared" si="44"/>
        <v>-1.1621942280951592E-3</v>
      </c>
    </row>
    <row r="305" spans="1:12" x14ac:dyDescent="0.2">
      <c r="A305" s="14">
        <v>0.24</v>
      </c>
      <c r="B305" s="10">
        <f t="shared" si="34"/>
        <v>-1.1526795099383855</v>
      </c>
      <c r="C305" s="10">
        <f t="shared" si="35"/>
        <v>0.29969667258398025</v>
      </c>
      <c r="D305" s="10">
        <f t="shared" si="36"/>
        <v>0.79959253806934361</v>
      </c>
      <c r="E305" s="10">
        <f t="shared" si="37"/>
        <v>2.2246342900118656</v>
      </c>
      <c r="F305" s="10">
        <f t="shared" si="41"/>
        <v>-4.2534895544505957E-3</v>
      </c>
      <c r="G305" s="10">
        <f t="shared" si="38"/>
        <v>-0.92941185035925977</v>
      </c>
      <c r="H305" s="10">
        <f t="shared" si="39"/>
        <v>0.28304405255107756</v>
      </c>
      <c r="I305" s="10">
        <f t="shared" si="42"/>
        <v>-2.326363633155526E-4</v>
      </c>
      <c r="J305" s="20">
        <f t="shared" si="40"/>
        <v>0</v>
      </c>
      <c r="K305" s="10">
        <f t="shared" si="43"/>
        <v>-1.9101694260511559E-3</v>
      </c>
      <c r="L305" s="10">
        <f t="shared" si="44"/>
        <v>-1.1461016556308934E-3</v>
      </c>
    </row>
    <row r="306" spans="1:12" x14ac:dyDescent="0.2">
      <c r="A306" s="14">
        <v>0.24099999999999999</v>
      </c>
      <c r="B306" s="10">
        <f t="shared" si="34"/>
        <v>-1.1472048439049751</v>
      </c>
      <c r="C306" s="10">
        <f t="shared" si="35"/>
        <v>0.29712605457138858</v>
      </c>
      <c r="D306" s="10">
        <f t="shared" si="36"/>
        <v>0.79770909427739423</v>
      </c>
      <c r="E306" s="10">
        <f t="shared" si="37"/>
        <v>2.2204482596828496</v>
      </c>
      <c r="F306" s="10">
        <f t="shared" si="41"/>
        <v>-4.1860303290159884E-3</v>
      </c>
      <c r="G306" s="10">
        <f t="shared" si="38"/>
        <v>-0.9305419166344292</v>
      </c>
      <c r="H306" s="10">
        <f t="shared" si="39"/>
        <v>0.28281478430493984</v>
      </c>
      <c r="I306" s="10">
        <f t="shared" si="42"/>
        <v>-2.2926824613772601E-4</v>
      </c>
      <c r="J306" s="20">
        <f t="shared" si="40"/>
        <v>0</v>
      </c>
      <c r="K306" s="10">
        <f t="shared" si="43"/>
        <v>-1.8834437919493796E-3</v>
      </c>
      <c r="L306" s="10">
        <f t="shared" si="44"/>
        <v>-1.1300662751694279E-3</v>
      </c>
    </row>
    <row r="307" spans="1:12" x14ac:dyDescent="0.2">
      <c r="A307" s="14">
        <v>0.24199999999999999</v>
      </c>
      <c r="B307" s="10">
        <f t="shared" si="34"/>
        <v>-1.1417456594856852</v>
      </c>
      <c r="C307" s="10">
        <f t="shared" si="35"/>
        <v>0.2945703801473068</v>
      </c>
      <c r="D307" s="10">
        <f t="shared" si="36"/>
        <v>0.79585228203117309</v>
      </c>
      <c r="E307" s="10">
        <f t="shared" si="37"/>
        <v>2.2163291295712657</v>
      </c>
      <c r="F307" s="10">
        <f t="shared" si="41"/>
        <v>-4.1191301115839352E-3</v>
      </c>
      <c r="G307" s="10">
        <f t="shared" si="38"/>
        <v>-0.93165600398216186</v>
      </c>
      <c r="H307" s="10">
        <f t="shared" si="39"/>
        <v>0.28258886800652772</v>
      </c>
      <c r="I307" s="10">
        <f t="shared" si="42"/>
        <v>-2.2591629841212102E-4</v>
      </c>
      <c r="J307" s="20">
        <f t="shared" si="40"/>
        <v>0</v>
      </c>
      <c r="K307" s="10">
        <f t="shared" si="43"/>
        <v>-1.8568122462211401E-3</v>
      </c>
      <c r="L307" s="10">
        <f t="shared" si="44"/>
        <v>-1.1140873477326618E-3</v>
      </c>
    </row>
    <row r="308" spans="1:12" x14ac:dyDescent="0.2">
      <c r="A308" s="14">
        <v>0.24299999999999999</v>
      </c>
      <c r="B308" s="10">
        <f t="shared" si="34"/>
        <v>-1.1363018100969002</v>
      </c>
      <c r="C308" s="10">
        <f t="shared" si="35"/>
        <v>0.29202956519490336</v>
      </c>
      <c r="D308" s="10">
        <f t="shared" si="36"/>
        <v>0.7940220084564461</v>
      </c>
      <c r="E308" s="10">
        <f t="shared" si="37"/>
        <v>2.2122763509107246</v>
      </c>
      <c r="F308" s="10">
        <f t="shared" si="41"/>
        <v>-4.0527786605411009E-3</v>
      </c>
      <c r="G308" s="10">
        <f t="shared" si="38"/>
        <v>-0.93275416812699818</v>
      </c>
      <c r="H308" s="10">
        <f t="shared" si="39"/>
        <v>0.28236628771830136</v>
      </c>
      <c r="I308" s="10">
        <f t="shared" si="42"/>
        <v>-2.2258028822635945E-4</v>
      </c>
      <c r="J308" s="20">
        <f t="shared" si="40"/>
        <v>0</v>
      </c>
      <c r="K308" s="10">
        <f t="shared" si="43"/>
        <v>-1.8302735747269816E-3</v>
      </c>
      <c r="L308" s="10">
        <f t="shared" si="44"/>
        <v>-1.0981641448363222E-3</v>
      </c>
    </row>
    <row r="309" spans="1:12" x14ac:dyDescent="0.2">
      <c r="A309" s="14">
        <v>0.24399999999999999</v>
      </c>
      <c r="B309" s="10">
        <f t="shared" si="34"/>
        <v>-1.1308731508863312</v>
      </c>
      <c r="C309" s="10">
        <f t="shared" si="35"/>
        <v>0.28950352662690082</v>
      </c>
      <c r="D309" s="10">
        <f t="shared" si="36"/>
        <v>0.79221818187597404</v>
      </c>
      <c r="E309" s="10">
        <f t="shared" si="37"/>
        <v>2.2082893850042034</v>
      </c>
      <c r="F309" s="10">
        <f t="shared" si="41"/>
        <v>-3.9869659065212559E-3</v>
      </c>
      <c r="G309" s="10">
        <f t="shared" si="38"/>
        <v>-0.93383646407528142</v>
      </c>
      <c r="H309" s="10">
        <f t="shared" si="39"/>
        <v>0.28214702773165345</v>
      </c>
      <c r="I309" s="10">
        <f t="shared" si="42"/>
        <v>-2.1925998664790169E-4</v>
      </c>
      <c r="J309" s="20">
        <f t="shared" si="40"/>
        <v>0</v>
      </c>
      <c r="K309" s="10">
        <f t="shared" si="43"/>
        <v>-1.8038265804720677E-3</v>
      </c>
      <c r="L309" s="10">
        <f t="shared" si="44"/>
        <v>-1.0822959482832406E-3</v>
      </c>
    </row>
    <row r="310" spans="1:12" x14ac:dyDescent="0.2">
      <c r="A310" s="14">
        <v>0.245</v>
      </c>
      <c r="B310" s="10">
        <f t="shared" si="34"/>
        <v>-1.1254595387042978</v>
      </c>
      <c r="C310" s="10">
        <f t="shared" si="35"/>
        <v>0.28699218236959595</v>
      </c>
      <c r="D310" s="10">
        <f t="shared" si="36"/>
        <v>0.7904407117927047</v>
      </c>
      <c r="E310" s="10">
        <f t="shared" si="37"/>
        <v>2.2043677030558402</v>
      </c>
      <c r="F310" s="10">
        <f t="shared" si="41"/>
        <v>-3.921681948363176E-3</v>
      </c>
      <c r="G310" s="10">
        <f t="shared" si="38"/>
        <v>-0.93490294612524305</v>
      </c>
      <c r="H310" s="10">
        <f t="shared" si="39"/>
        <v>0.28193107256398731</v>
      </c>
      <c r="I310" s="10">
        <f t="shared" si="42"/>
        <v>-2.1595516766614864E-4</v>
      </c>
      <c r="J310" s="20">
        <f t="shared" si="40"/>
        <v>0</v>
      </c>
      <c r="K310" s="10">
        <f t="shared" si="43"/>
        <v>-1.7774700832693391E-3</v>
      </c>
      <c r="L310" s="10">
        <f t="shared" si="44"/>
        <v>-1.0664820499616257E-3</v>
      </c>
    </row>
    <row r="311" spans="1:12" x14ac:dyDescent="0.2">
      <c r="A311" s="14">
        <v>0.246</v>
      </c>
      <c r="B311" s="10">
        <f t="shared" si="34"/>
        <v>-1.1200608320755931</v>
      </c>
      <c r="C311" s="10">
        <f t="shared" si="35"/>
        <v>0.28449545134720067</v>
      </c>
      <c r="D311" s="10">
        <f t="shared" si="36"/>
        <v>0.78868950887329681</v>
      </c>
      <c r="E311" s="10">
        <f t="shared" si="37"/>
        <v>2.2005107860066695</v>
      </c>
      <c r="F311" s="10">
        <f t="shared" si="41"/>
        <v>-3.8569170491706828E-3</v>
      </c>
      <c r="G311" s="10">
        <f t="shared" si="38"/>
        <v>-0.93595366787688761</v>
      </c>
      <c r="H311" s="10">
        <f t="shared" si="39"/>
        <v>0.28171840695585026</v>
      </c>
      <c r="I311" s="10">
        <f t="shared" si="42"/>
        <v>-2.126656081370415E-4</v>
      </c>
      <c r="J311" s="20">
        <f t="shared" si="40"/>
        <v>0</v>
      </c>
      <c r="K311" s="10">
        <f t="shared" si="43"/>
        <v>-1.7512029194078904E-3</v>
      </c>
      <c r="L311" s="10">
        <f t="shared" si="44"/>
        <v>-1.0507217516445566E-3</v>
      </c>
    </row>
    <row r="312" spans="1:12" x14ac:dyDescent="0.2">
      <c r="A312" s="14">
        <v>0.247</v>
      </c>
      <c r="B312" s="10">
        <f t="shared" si="34"/>
        <v>-1.1146768911719165</v>
      </c>
      <c r="C312" s="10">
        <f t="shared" si="35"/>
        <v>0.28201325346649486</v>
      </c>
      <c r="D312" s="10">
        <f t="shared" si="36"/>
        <v>0.78696448493196525</v>
      </c>
      <c r="E312" s="10">
        <f t="shared" si="37"/>
        <v>2.196718124374196</v>
      </c>
      <c r="F312" s="10">
        <f t="shared" si="41"/>
        <v>-3.792661632473493E-3</v>
      </c>
      <c r="G312" s="10">
        <f t="shared" si="38"/>
        <v>-0.93698868224168674</v>
      </c>
      <c r="H312" s="10">
        <f t="shared" si="39"/>
        <v>0.2815090158681221</v>
      </c>
      <c r="I312" s="10">
        <f t="shared" si="42"/>
        <v>-2.0939108772816128E-4</v>
      </c>
      <c r="J312" s="20">
        <f t="shared" si="40"/>
        <v>0</v>
      </c>
      <c r="K312" s="10">
        <f t="shared" si="43"/>
        <v>-1.7250239413315605E-3</v>
      </c>
      <c r="L312" s="10">
        <f t="shared" si="44"/>
        <v>-1.0350143647991361E-3</v>
      </c>
    </row>
    <row r="313" spans="1:12" x14ac:dyDescent="0.2">
      <c r="A313" s="14">
        <v>0.248</v>
      </c>
      <c r="B313" s="10">
        <f t="shared" si="34"/>
        <v>-1.1093075777848578</v>
      </c>
      <c r="C313" s="10">
        <f t="shared" si="35"/>
        <v>0.27954550960178415</v>
      </c>
      <c r="D313" s="10">
        <f t="shared" si="36"/>
        <v>0.78526555291464173</v>
      </c>
      <c r="E313" s="10">
        <f t="shared" si="37"/>
        <v>2.192989218095712</v>
      </c>
      <c r="F313" s="10">
        <f t="shared" si="41"/>
        <v>-3.7289062784839899E-3</v>
      </c>
      <c r="G313" s="10">
        <f t="shared" si="38"/>
        <v>-0.93800804145208083</v>
      </c>
      <c r="H313" s="10">
        <f t="shared" si="39"/>
        <v>0.28130288447925683</v>
      </c>
      <c r="I313" s="10">
        <f t="shared" si="42"/>
        <v>-2.061313888652716E-4</v>
      </c>
      <c r="J313" s="20">
        <f t="shared" si="40"/>
        <v>0</v>
      </c>
      <c r="K313" s="10">
        <f t="shared" si="43"/>
        <v>-1.6989320173235178E-3</v>
      </c>
      <c r="L313" s="10">
        <f t="shared" si="44"/>
        <v>-1.0193592103940885E-3</v>
      </c>
    </row>
    <row r="314" spans="1:12" x14ac:dyDescent="0.2">
      <c r="A314" s="14">
        <v>0.249</v>
      </c>
      <c r="B314" s="10">
        <f t="shared" si="34"/>
        <v>-1.1039527552994273</v>
      </c>
      <c r="C314" s="10">
        <f t="shared" si="35"/>
        <v>0.27709214158015627</v>
      </c>
      <c r="D314" s="10">
        <f t="shared" si="36"/>
        <v>0.78359262688344367</v>
      </c>
      <c r="E314" s="10">
        <f t="shared" si="37"/>
        <v>2.1893235763752639</v>
      </c>
      <c r="F314" s="10">
        <f t="shared" si="41"/>
        <v>-3.6656417204481428E-3</v>
      </c>
      <c r="G314" s="10">
        <f t="shared" si="38"/>
        <v>-0.93901179707079963</v>
      </c>
      <c r="H314" s="10">
        <f t="shared" si="39"/>
        <v>0.28109999818257653</v>
      </c>
      <c r="I314" s="10">
        <f t="shared" si="42"/>
        <v>-2.0288629668030467E-4</v>
      </c>
      <c r="J314" s="20">
        <f t="shared" si="40"/>
        <v>0</v>
      </c>
      <c r="K314" s="10">
        <f t="shared" si="43"/>
        <v>-1.6729260311980632E-3</v>
      </c>
      <c r="L314" s="10">
        <f t="shared" si="44"/>
        <v>-1.0037556187187935E-3</v>
      </c>
    </row>
    <row r="315" spans="1:12" x14ac:dyDescent="0.2">
      <c r="A315" s="14">
        <v>0.25</v>
      </c>
      <c r="B315" s="10">
        <f t="shared" si="34"/>
        <v>-1.0986122886681098</v>
      </c>
      <c r="C315" s="10">
        <f t="shared" si="35"/>
        <v>0.27465307216702745</v>
      </c>
      <c r="D315" s="10">
        <f t="shared" si="36"/>
        <v>0.78194562200144291</v>
      </c>
      <c r="E315" s="10">
        <f t="shared" si="37"/>
        <v>2.1857207175341786</v>
      </c>
      <c r="F315" s="10">
        <f t="shared" si="41"/>
        <v>-3.6028588410852436E-3</v>
      </c>
      <c r="G315" s="10">
        <f t="shared" si="38"/>
        <v>-0.94000000000000017</v>
      </c>
      <c r="H315" s="10">
        <f t="shared" si="39"/>
        <v>0.28090034258361612</v>
      </c>
      <c r="I315" s="10">
        <f t="shared" si="42"/>
        <v>-1.9965559896040208E-4</v>
      </c>
      <c r="J315" s="20">
        <f t="shared" si="40"/>
        <v>0</v>
      </c>
      <c r="K315" s="10">
        <f t="shared" si="43"/>
        <v>-1.6470048820007577E-3</v>
      </c>
      <c r="L315" s="10">
        <f t="shared" si="44"/>
        <v>-9.8820292920054342E-4</v>
      </c>
    </row>
    <row r="316" spans="1:12" x14ac:dyDescent="0.2">
      <c r="A316" s="14">
        <v>0.251</v>
      </c>
      <c r="B316" s="10">
        <f t="shared" si="34"/>
        <v>-1.0932860443854355</v>
      </c>
      <c r="C316" s="10">
        <f t="shared" si="35"/>
        <v>0.27222822505197347</v>
      </c>
      <c r="D316" s="10">
        <f t="shared" si="36"/>
        <v>0.78032445451773058</v>
      </c>
      <c r="E316" s="10">
        <f t="shared" si="37"/>
        <v>2.1821801688650586</v>
      </c>
      <c r="F316" s="10">
        <f t="shared" si="41"/>
        <v>-3.5405486691200139E-3</v>
      </c>
      <c r="G316" s="10">
        <f t="shared" si="38"/>
        <v>-0.94097270049022741</v>
      </c>
      <c r="H316" s="10">
        <f t="shared" si="39"/>
        <v>0.28070390349751884</v>
      </c>
      <c r="I316" s="10">
        <f t="shared" si="42"/>
        <v>-1.9643908609728866E-4</v>
      </c>
      <c r="J316" s="20">
        <f t="shared" si="40"/>
        <v>0</v>
      </c>
      <c r="K316" s="10">
        <f t="shared" si="43"/>
        <v>-1.6211674837123269E-3</v>
      </c>
      <c r="L316" s="10">
        <f t="shared" si="44"/>
        <v>-9.727004902272407E-4</v>
      </c>
    </row>
    <row r="317" spans="1:12" x14ac:dyDescent="0.2">
      <c r="A317" s="14">
        <v>0.252</v>
      </c>
      <c r="B317" s="10">
        <f t="shared" si="34"/>
        <v>-1.0879738904630538</v>
      </c>
      <c r="C317" s="10">
        <f t="shared" si="35"/>
        <v>0.26981752483483734</v>
      </c>
      <c r="D317" s="10">
        <f t="shared" si="36"/>
        <v>0.77872904175276614</v>
      </c>
      <c r="E317" s="10">
        <f t="shared" si="37"/>
        <v>2.1787014664891609</v>
      </c>
      <c r="F317" s="10">
        <f t="shared" si="41"/>
        <v>-3.4787023758977575E-3</v>
      </c>
      <c r="G317" s="10">
        <f t="shared" si="38"/>
        <v>-0.94192994814920605</v>
      </c>
      <c r="H317" s="10">
        <f t="shared" si="39"/>
        <v>0.28051066694647969</v>
      </c>
      <c r="I317" s="10">
        <f t="shared" si="42"/>
        <v>-1.9323655103914428E-4</v>
      </c>
      <c r="J317" s="20">
        <f t="shared" si="40"/>
        <v>0</v>
      </c>
      <c r="K317" s="10">
        <f t="shared" si="43"/>
        <v>-1.5954127649644434E-3</v>
      </c>
      <c r="L317" s="10">
        <f t="shared" si="44"/>
        <v>-9.5724765897864383E-4</v>
      </c>
    </row>
    <row r="318" spans="1:12" x14ac:dyDescent="0.2">
      <c r="A318" s="14">
        <v>0.253</v>
      </c>
      <c r="B318" s="10">
        <f t="shared" si="34"/>
        <v>-1.082675696405297</v>
      </c>
      <c r="C318" s="10">
        <f t="shared" si="35"/>
        <v>0.26742089701210836</v>
      </c>
      <c r="D318" s="10">
        <f t="shared" si="36"/>
        <v>0.77715930208401063</v>
      </c>
      <c r="E318" s="10">
        <f t="shared" si="37"/>
        <v>2.1752841552170805</v>
      </c>
      <c r="F318" s="10">
        <f t="shared" si="41"/>
        <v>-3.4173112720803367E-3</v>
      </c>
      <c r="G318" s="10">
        <f t="shared" si="38"/>
        <v>-0.94287179195045956</v>
      </c>
      <c r="H318" s="10">
        <f t="shared" si="39"/>
        <v>0.28032061915723744</v>
      </c>
      <c r="I318" s="10">
        <f t="shared" si="42"/>
        <v>-1.9004778924225363E-4</v>
      </c>
      <c r="J318" s="20">
        <f t="shared" si="40"/>
        <v>0</v>
      </c>
      <c r="K318" s="10">
        <f t="shared" si="43"/>
        <v>-1.5697396687555099E-3</v>
      </c>
      <c r="L318" s="10">
        <f t="shared" si="44"/>
        <v>-9.4184380125350575E-4</v>
      </c>
    </row>
    <row r="319" spans="1:12" x14ac:dyDescent="0.2">
      <c r="A319" s="14">
        <v>0.254</v>
      </c>
      <c r="B319" s="10">
        <f t="shared" si="34"/>
        <v>-1.0773913331852243</v>
      </c>
      <c r="C319" s="10">
        <f t="shared" si="35"/>
        <v>0.26503826796356517</v>
      </c>
      <c r="D319" s="10">
        <f t="shared" si="36"/>
        <v>0.77561515493183053</v>
      </c>
      <c r="E319" s="10">
        <f t="shared" si="37"/>
        <v>2.1719277884126482</v>
      </c>
      <c r="F319" s="10">
        <f t="shared" si="41"/>
        <v>-3.3563668044322981E-3</v>
      </c>
      <c r="G319" s="10">
        <f t="shared" si="38"/>
        <v>-0.94379828024176726</v>
      </c>
      <c r="H319" s="10">
        <f t="shared" si="39"/>
        <v>0.28013374655861312</v>
      </c>
      <c r="I319" s="10">
        <f t="shared" si="42"/>
        <v>-1.8687259862432137E-4</v>
      </c>
      <c r="J319" s="20">
        <f t="shared" si="40"/>
        <v>0</v>
      </c>
      <c r="K319" s="10">
        <f t="shared" si="43"/>
        <v>-1.5441471521800976E-3</v>
      </c>
      <c r="L319" s="10">
        <f t="shared" si="44"/>
        <v>-9.2648829130770327E-4</v>
      </c>
    </row>
    <row r="320" spans="1:12" x14ac:dyDescent="0.2">
      <c r="A320" s="14">
        <v>0.255</v>
      </c>
      <c r="B320" s="10">
        <f t="shared" si="34"/>
        <v>-1.0721206732211332</v>
      </c>
      <c r="C320" s="10">
        <f t="shared" si="35"/>
        <v>0.26266956493917765</v>
      </c>
      <c r="D320" s="10">
        <f t="shared" si="36"/>
        <v>0.77409652074567459</v>
      </c>
      <c r="E320" s="10">
        <f t="shared" si="37"/>
        <v>2.1686319278599799</v>
      </c>
      <c r="F320" s="10">
        <f t="shared" si="41"/>
        <v>-3.2958605526682838E-3</v>
      </c>
      <c r="G320" s="10">
        <f t="shared" si="38"/>
        <v>-0.94470946075346118</v>
      </c>
      <c r="H320" s="10">
        <f t="shared" si="39"/>
        <v>0.27995003577909372</v>
      </c>
      <c r="I320" s="10">
        <f t="shared" si="42"/>
        <v>-1.8371077951939707E-4</v>
      </c>
      <c r="J320" s="20">
        <f t="shared" si="40"/>
        <v>0</v>
      </c>
      <c r="K320" s="10">
        <f t="shared" si="43"/>
        <v>-1.5186341861559427E-3</v>
      </c>
      <c r="L320" s="10">
        <f t="shared" si="44"/>
        <v>-9.1118051169392089E-4</v>
      </c>
    </row>
    <row r="321" spans="1:12" x14ac:dyDescent="0.2">
      <c r="A321" s="14">
        <v>0.25600000000000001</v>
      </c>
      <c r="B321" s="10">
        <f t="shared" si="34"/>
        <v>-1.0668635903535293</v>
      </c>
      <c r="C321" s="10">
        <f t="shared" si="35"/>
        <v>0.26031471604626116</v>
      </c>
      <c r="D321" s="10">
        <f t="shared" si="36"/>
        <v>0.77260332099050755</v>
      </c>
      <c r="E321" s="10">
        <f t="shared" si="37"/>
        <v>2.1653961436335805</v>
      </c>
      <c r="F321" s="10">
        <f t="shared" si="41"/>
        <v>-3.2357842263994741E-3</v>
      </c>
      <c r="G321" s="10">
        <f t="shared" si="38"/>
        <v>-0.94560538060656141</v>
      </c>
      <c r="H321" s="10">
        <f t="shared" si="39"/>
        <v>0.27976947364446242</v>
      </c>
      <c r="I321" s="10">
        <f t="shared" si="42"/>
        <v>-1.8056213463130133E-4</v>
      </c>
      <c r="J321" s="20">
        <f t="shared" si="40"/>
        <v>0</v>
      </c>
      <c r="K321" s="10">
        <f t="shared" si="43"/>
        <v>-1.4931997551670406E-3</v>
      </c>
      <c r="L321" s="10">
        <f t="shared" si="44"/>
        <v>-8.9591985310022437E-4</v>
      </c>
    </row>
    <row r="322" spans="1:12" x14ac:dyDescent="0.2">
      <c r="A322" s="14">
        <v>0.25700000000000001</v>
      </c>
      <c r="B322" s="10">
        <f t="shared" ref="B322:B385" si="45">LN(A322/(1-A322))</f>
        <v>-1.0616199598225393</v>
      </c>
      <c r="C322" s="10">
        <f t="shared" ref="C322:C385" si="46">(A322-0.5)*B322</f>
        <v>0.25797365023687707</v>
      </c>
      <c r="D322" s="10">
        <f t="shared" ref="D322:D385" si="47">$B$45+$B$46*B322+$B$47*C322</f>
        <v>0.77113547813350525</v>
      </c>
      <c r="E322" s="10">
        <f t="shared" ref="E322:E385" si="48">$B$14+EXP(D322)</f>
        <v>2.1622200139714502</v>
      </c>
      <c r="F322" s="10">
        <f t="shared" si="41"/>
        <v>-3.1761296621302115E-3</v>
      </c>
      <c r="G322" s="10">
        <f t="shared" ref="G322:G385" si="49">$C$45+$C$46*B322+$C$47*C322</f>
        <v>-0.9464860863207627</v>
      </c>
      <c r="H322" s="10">
        <f t="shared" ref="H322:H385" si="50">$C$14+($C$15-$C$14)/(1+EXP(-G322))</f>
        <v>0.27959204717547043</v>
      </c>
      <c r="I322" s="10">
        <f t="shared" si="42"/>
        <v>-1.7742646899199244E-4</v>
      </c>
      <c r="J322" s="20">
        <f t="shared" ref="J322:J385" si="51">G322-($B$22+$B$21*D322)</f>
        <v>0</v>
      </c>
      <c r="K322" s="10">
        <f t="shared" si="43"/>
        <v>-1.4678428570022994E-3</v>
      </c>
      <c r="L322" s="10">
        <f t="shared" si="44"/>
        <v>-8.8070571420129085E-4</v>
      </c>
    </row>
    <row r="323" spans="1:12" x14ac:dyDescent="0.2">
      <c r="A323" s="14">
        <v>0.25800000000000001</v>
      </c>
      <c r="B323" s="10">
        <f t="shared" si="45"/>
        <v>-1.056389658245763</v>
      </c>
      <c r="C323" s="10">
        <f t="shared" si="46"/>
        <v>0.25564629729547467</v>
      </c>
      <c r="D323" s="10">
        <f t="shared" si="47"/>
        <v>0.76969291563099873</v>
      </c>
      <c r="E323" s="10">
        <f t="shared" si="48"/>
        <v>2.1591031251511112</v>
      </c>
      <c r="F323" s="10">
        <f t="shared" ref="F323:F386" si="52">E323-E322</f>
        <v>-3.1168888203390033E-3</v>
      </c>
      <c r="G323" s="10">
        <f t="shared" si="49"/>
        <v>-0.94735162382226679</v>
      </c>
      <c r="H323" s="10">
        <f t="shared" si="50"/>
        <v>0.27941774358555349</v>
      </c>
      <c r="I323" s="10">
        <f t="shared" ref="I323:I386" si="53">H323-H322</f>
        <v>-1.743035899169354E-4</v>
      </c>
      <c r="J323" s="20">
        <f t="shared" si="51"/>
        <v>0</v>
      </c>
      <c r="K323" s="10">
        <f t="shared" ref="K323:K386" si="54">D323-D322</f>
        <v>-1.442562502506517E-3</v>
      </c>
      <c r="L323" s="10">
        <f t="shared" ref="L323:L386" si="55">G323-G322</f>
        <v>-8.6553750150408781E-4</v>
      </c>
    </row>
    <row r="324" spans="1:12" x14ac:dyDescent="0.2">
      <c r="A324" s="14">
        <v>0.25900000000000001</v>
      </c>
      <c r="B324" s="10">
        <f t="shared" si="45"/>
        <v>-1.051172563596549</v>
      </c>
      <c r="C324" s="10">
        <f t="shared" si="46"/>
        <v>0.25333258782676832</v>
      </c>
      <c r="D324" s="10">
        <f t="shared" si="47"/>
        <v>0.7682755579156616</v>
      </c>
      <c r="E324" s="10">
        <f t="shared" si="48"/>
        <v>2.1560450713684758</v>
      </c>
      <c r="F324" s="10">
        <f t="shared" si="52"/>
        <v>-3.0580537826354615E-3</v>
      </c>
      <c r="G324" s="10">
        <f t="shared" si="49"/>
        <v>-0.94820203845146889</v>
      </c>
      <c r="H324" s="10">
        <f t="shared" si="50"/>
        <v>0.2792465502785898</v>
      </c>
      <c r="I324" s="10">
        <f t="shared" si="53"/>
        <v>-1.7119330696369062E-4</v>
      </c>
      <c r="J324" s="20">
        <f t="shared" si="51"/>
        <v>0</v>
      </c>
      <c r="K324" s="10">
        <f t="shared" si="54"/>
        <v>-1.4173577153371308E-3</v>
      </c>
      <c r="L324" s="10">
        <f t="shared" si="55"/>
        <v>-8.5041462920210087E-4</v>
      </c>
    </row>
    <row r="325" spans="1:12" x14ac:dyDescent="0.2">
      <c r="A325" s="14">
        <v>0.26</v>
      </c>
      <c r="B325" s="10">
        <f t="shared" si="45"/>
        <v>-1.0459685551826876</v>
      </c>
      <c r="C325" s="10">
        <f t="shared" si="46"/>
        <v>0.25103245324384504</v>
      </c>
      <c r="D325" s="10">
        <f t="shared" si="47"/>
        <v>0.76688333038394074</v>
      </c>
      <c r="E325" s="10">
        <f t="shared" si="48"/>
        <v>2.1530454546195092</v>
      </c>
      <c r="F325" s="10">
        <f t="shared" si="52"/>
        <v>-2.9996167489665382E-3</v>
      </c>
      <c r="G325" s="10">
        <f t="shared" si="49"/>
        <v>-0.94903737497050122</v>
      </c>
      <c r="H325" s="10">
        <f t="shared" si="50"/>
        <v>0.27907845484669863</v>
      </c>
      <c r="I325" s="10">
        <f t="shared" si="53"/>
        <v>-1.6809543189116871E-4</v>
      </c>
      <c r="J325" s="20">
        <f t="shared" si="51"/>
        <v>0</v>
      </c>
      <c r="K325" s="10">
        <f t="shared" si="54"/>
        <v>-1.3922275317208577E-3</v>
      </c>
      <c r="L325" s="10">
        <f t="shared" si="55"/>
        <v>-8.3533651903233697E-4</v>
      </c>
    </row>
    <row r="326" spans="1:12" x14ac:dyDescent="0.2">
      <c r="A326" s="14">
        <v>0.26100000000000001</v>
      </c>
      <c r="B326" s="10">
        <f t="shared" si="45"/>
        <v>-1.0407775136255082</v>
      </c>
      <c r="C326" s="10">
        <f t="shared" si="46"/>
        <v>0.24874582575649645</v>
      </c>
      <c r="D326" s="10">
        <f t="shared" si="47"/>
        <v>0.76551615938372009</v>
      </c>
      <c r="E326" s="10">
        <f t="shared" si="48"/>
        <v>2.1501038845846079</v>
      </c>
      <c r="F326" s="10">
        <f t="shared" si="52"/>
        <v>-2.941570034901364E-3</v>
      </c>
      <c r="G326" s="10">
        <f t="shared" si="49"/>
        <v>-0.94985767757063377</v>
      </c>
      <c r="H326" s="10">
        <f t="shared" si="50"/>
        <v>0.27891344506808019</v>
      </c>
      <c r="I326" s="10">
        <f t="shared" si="53"/>
        <v>-1.6500977861844124E-4</v>
      </c>
      <c r="J326" s="20">
        <f t="shared" si="51"/>
        <v>0</v>
      </c>
      <c r="K326" s="10">
        <f t="shared" si="54"/>
        <v>-1.3671710002206572E-3</v>
      </c>
      <c r="L326" s="10">
        <f t="shared" si="55"/>
        <v>-8.2030260013254974E-4</v>
      </c>
    </row>
    <row r="327" spans="1:12" x14ac:dyDescent="0.2">
      <c r="A327" s="14">
        <v>0.26200000000000001</v>
      </c>
      <c r="B327" s="10">
        <f t="shared" si="45"/>
        <v>-1.0355993208393754</v>
      </c>
      <c r="C327" s="10">
        <f t="shared" si="46"/>
        <v>0.24647263835977135</v>
      </c>
      <c r="D327" s="10">
        <f t="shared" si="47"/>
        <v>0.76417397220221284</v>
      </c>
      <c r="E327" s="10">
        <f t="shared" si="48"/>
        <v>2.147219978515627</v>
      </c>
      <c r="F327" s="10">
        <f t="shared" si="52"/>
        <v>-2.8839060689809237E-3</v>
      </c>
      <c r="G327" s="10">
        <f t="shared" si="49"/>
        <v>-0.95066298987953812</v>
      </c>
      <c r="H327" s="10">
        <f t="shared" si="50"/>
        <v>0.27875150890489414</v>
      </c>
      <c r="I327" s="10">
        <f t="shared" si="53"/>
        <v>-1.6193616318604942E-4</v>
      </c>
      <c r="J327" s="20">
        <f t="shared" si="51"/>
        <v>0</v>
      </c>
      <c r="K327" s="10">
        <f t="shared" si="54"/>
        <v>-1.3421871815072484E-3</v>
      </c>
      <c r="L327" s="10">
        <f t="shared" si="55"/>
        <v>-8.0531230890434902E-4</v>
      </c>
    </row>
    <row r="328" spans="1:12" x14ac:dyDescent="0.2">
      <c r="A328" s="14">
        <v>0.26300000000000001</v>
      </c>
      <c r="B328" s="10">
        <f t="shared" si="45"/>
        <v>-1.0304338600115719</v>
      </c>
      <c r="C328" s="10">
        <f t="shared" si="46"/>
        <v>0.24421282482274254</v>
      </c>
      <c r="D328" s="10">
        <f t="shared" si="47"/>
        <v>0.76285669705408077</v>
      </c>
      <c r="E328" s="10">
        <f t="shared" si="48"/>
        <v>2.1443933611255086</v>
      </c>
      <c r="F328" s="10">
        <f t="shared" si="52"/>
        <v>-2.8266173901183578E-3</v>
      </c>
      <c r="G328" s="10">
        <f t="shared" si="49"/>
        <v>-0.95145335496841743</v>
      </c>
      <c r="H328" s="10">
        <f t="shared" si="50"/>
        <v>0.27859263450117705</v>
      </c>
      <c r="I328" s="10">
        <f t="shared" si="53"/>
        <v>-1.5887440371709083E-4</v>
      </c>
      <c r="J328" s="20">
        <f t="shared" si="51"/>
        <v>0</v>
      </c>
      <c r="K328" s="10">
        <f t="shared" si="54"/>
        <v>-1.3172751481320688E-3</v>
      </c>
      <c r="L328" s="10">
        <f t="shared" si="55"/>
        <v>-7.903650888793079E-4</v>
      </c>
    </row>
    <row r="329" spans="1:12" x14ac:dyDescent="0.2">
      <c r="A329" s="14">
        <v>0.26400000000000001</v>
      </c>
      <c r="B329" s="10">
        <f t="shared" si="45"/>
        <v>-1.02528101558256</v>
      </c>
      <c r="C329" s="10">
        <f t="shared" si="46"/>
        <v>0.24196631967748417</v>
      </c>
      <c r="D329" s="10">
        <f t="shared" si="47"/>
        <v>0.76156426306977132</v>
      </c>
      <c r="E329" s="10">
        <f t="shared" si="48"/>
        <v>2.1416236644804356</v>
      </c>
      <c r="F329" s="10">
        <f t="shared" si="52"/>
        <v>-2.7696966450729832E-3</v>
      </c>
      <c r="G329" s="10">
        <f t="shared" si="49"/>
        <v>-0.95222881535900283</v>
      </c>
      <c r="H329" s="10">
        <f t="shared" si="50"/>
        <v>0.27843681018079769</v>
      </c>
      <c r="I329" s="10">
        <f t="shared" si="53"/>
        <v>-1.5582432037936078E-4</v>
      </c>
      <c r="J329" s="20">
        <f t="shared" si="51"/>
        <v>0</v>
      </c>
      <c r="K329" s="10">
        <f t="shared" si="54"/>
        <v>-1.292433984309449E-3</v>
      </c>
      <c r="L329" s="10">
        <f t="shared" si="55"/>
        <v>-7.7546039058540295E-4</v>
      </c>
    </row>
    <row r="330" spans="1:12" x14ac:dyDescent="0.2">
      <c r="A330" s="14">
        <v>0.26500000000000001</v>
      </c>
      <c r="B330" s="10">
        <f t="shared" si="45"/>
        <v>-1.0201406732266145</v>
      </c>
      <c r="C330" s="10">
        <f t="shared" si="46"/>
        <v>0.23973305820825438</v>
      </c>
      <c r="D330" s="10">
        <f t="shared" si="47"/>
        <v>0.76029660028407042</v>
      </c>
      <c r="E330" s="10">
        <f t="shared" si="48"/>
        <v>2.138910527894466</v>
      </c>
      <c r="F330" s="10">
        <f t="shared" si="52"/>
        <v>-2.713136585969611E-3</v>
      </c>
      <c r="G330" s="10">
        <f t="shared" si="49"/>
        <v>-0.95298941303042362</v>
      </c>
      <c r="H330" s="10">
        <f t="shared" si="50"/>
        <v>0.27828402444544914</v>
      </c>
      <c r="I330" s="10">
        <f t="shared" si="53"/>
        <v>-1.5278573534854845E-4</v>
      </c>
      <c r="J330" s="20">
        <f t="shared" si="51"/>
        <v>0</v>
      </c>
      <c r="K330" s="10">
        <f t="shared" si="54"/>
        <v>-1.267662785700896E-3</v>
      </c>
      <c r="L330" s="10">
        <f t="shared" si="55"/>
        <v>-7.6059767142078183E-4</v>
      </c>
    </row>
    <row r="331" spans="1:12" x14ac:dyDescent="0.2">
      <c r="A331" s="14">
        <v>0.26600000000000001</v>
      </c>
      <c r="B331" s="10">
        <f t="shared" si="45"/>
        <v>-1.0150127198328165</v>
      </c>
      <c r="C331" s="10">
        <f t="shared" si="46"/>
        <v>0.23751297644087904</v>
      </c>
      <c r="D331" s="10">
        <f t="shared" si="47"/>
        <v>0.75905363962486627</v>
      </c>
      <c r="E331" s="10">
        <f t="shared" si="48"/>
        <v>2.1362535978265789</v>
      </c>
      <c r="F331" s="10">
        <f t="shared" si="52"/>
        <v>-2.6569300678871421E-3</v>
      </c>
      <c r="G331" s="10">
        <f t="shared" si="49"/>
        <v>-0.95373518942594604</v>
      </c>
      <c r="H331" s="10">
        <f t="shared" si="50"/>
        <v>0.27813426597267787</v>
      </c>
      <c r="I331" s="10">
        <f t="shared" si="53"/>
        <v>-1.4975847277126642E-4</v>
      </c>
      <c r="J331" s="20">
        <f t="shared" si="51"/>
        <v>0</v>
      </c>
      <c r="K331" s="10">
        <f t="shared" si="54"/>
        <v>-1.2429606592041509E-3</v>
      </c>
      <c r="L331" s="10">
        <f t="shared" si="55"/>
        <v>-7.4577639552242392E-4</v>
      </c>
    </row>
    <row r="332" spans="1:12" x14ac:dyDescent="0.2">
      <c r="A332" s="14">
        <v>0.26700000000000002</v>
      </c>
      <c r="B332" s="10">
        <f t="shared" si="45"/>
        <v>-1.0098970434864019</v>
      </c>
      <c r="C332" s="10">
        <f t="shared" si="46"/>
        <v>0.23530601113233163</v>
      </c>
      <c r="D332" s="10">
        <f t="shared" si="47"/>
        <v>0.75783531290211781</v>
      </c>
      <c r="E332" s="10">
        <f t="shared" si="48"/>
        <v>2.1336525277800868</v>
      </c>
      <c r="F332" s="10">
        <f t="shared" si="52"/>
        <v>-2.6010700464920156E-3</v>
      </c>
      <c r="G332" s="10">
        <f t="shared" si="49"/>
        <v>-0.95446618545959527</v>
      </c>
      <c r="H332" s="10">
        <f t="shared" si="50"/>
        <v>0.27798752361394735</v>
      </c>
      <c r="I332" s="10">
        <f t="shared" si="53"/>
        <v>-1.4674235873052277E-4</v>
      </c>
      <c r="J332" s="20">
        <f t="shared" si="51"/>
        <v>0</v>
      </c>
      <c r="K332" s="10">
        <f t="shared" si="54"/>
        <v>-1.218326722748464E-3</v>
      </c>
      <c r="L332" s="10">
        <f t="shared" si="55"/>
        <v>-7.3099603364923382E-4</v>
      </c>
    </row>
    <row r="333" spans="1:12" x14ac:dyDescent="0.2">
      <c r="A333" s="14">
        <v>0.26800000000000002</v>
      </c>
      <c r="B333" s="10">
        <f t="shared" si="45"/>
        <v>-1.0047935334504547</v>
      </c>
      <c r="C333" s="10">
        <f t="shared" si="46"/>
        <v>0.23311209976050548</v>
      </c>
      <c r="D333" s="10">
        <f t="shared" si="47"/>
        <v>0.75664155279702605</v>
      </c>
      <c r="E333" s="10">
        <f t="shared" si="48"/>
        <v>2.131106978204357</v>
      </c>
      <c r="F333" s="10">
        <f t="shared" si="52"/>
        <v>-2.545549575729833E-3</v>
      </c>
      <c r="G333" s="10">
        <f t="shared" si="49"/>
        <v>-0.95518244152264997</v>
      </c>
      <c r="H333" s="10">
        <f t="shared" si="50"/>
        <v>0.27784378639273744</v>
      </c>
      <c r="I333" s="10">
        <f t="shared" si="53"/>
        <v>-1.4373722120991639E-4</v>
      </c>
      <c r="J333" s="20">
        <f t="shared" si="51"/>
        <v>0</v>
      </c>
      <c r="K333" s="10">
        <f t="shared" si="54"/>
        <v>-1.1937601050917568E-3</v>
      </c>
      <c r="L333" s="10">
        <f t="shared" si="55"/>
        <v>-7.162560630546988E-4</v>
      </c>
    </row>
    <row r="334" spans="1:12" x14ac:dyDescent="0.2">
      <c r="A334" s="14">
        <v>0.26900000000000002</v>
      </c>
      <c r="B334" s="10">
        <f t="shared" si="45"/>
        <v>-0.99970208014793926</v>
      </c>
      <c r="C334" s="10">
        <f t="shared" si="46"/>
        <v>0.23093118051417397</v>
      </c>
      <c r="D334" s="10">
        <f t="shared" si="47"/>
        <v>0.7554722928514026</v>
      </c>
      <c r="E334" s="10">
        <f t="shared" si="48"/>
        <v>2.1286166163987872</v>
      </c>
      <c r="F334" s="10">
        <f t="shared" si="52"/>
        <v>-2.4903618055698296E-3</v>
      </c>
      <c r="G334" s="10">
        <f t="shared" si="49"/>
        <v>-0.95588399749002417</v>
      </c>
      <c r="H334" s="10">
        <f t="shared" si="50"/>
        <v>0.27770304350267722</v>
      </c>
      <c r="I334" s="10">
        <f t="shared" si="53"/>
        <v>-1.4074289006021923E-4</v>
      </c>
      <c r="J334" s="20">
        <f t="shared" si="51"/>
        <v>0</v>
      </c>
      <c r="K334" s="10">
        <f t="shared" si="54"/>
        <v>-1.1692599456234465E-3</v>
      </c>
      <c r="L334" s="10">
        <f t="shared" si="55"/>
        <v>-7.0155596737420112E-4</v>
      </c>
    </row>
    <row r="335" spans="1:12" x14ac:dyDescent="0.2">
      <c r="A335" s="14">
        <v>0.27</v>
      </c>
      <c r="B335" s="10">
        <f t="shared" si="45"/>
        <v>-0.99462257514406194</v>
      </c>
      <c r="C335" s="10">
        <f t="shared" si="46"/>
        <v>0.22876319228313421</v>
      </c>
      <c r="D335" s="10">
        <f t="shared" si="47"/>
        <v>0.75432746745723001</v>
      </c>
      <c r="E335" s="10">
        <f t="shared" si="48"/>
        <v>2.1261811164189908</v>
      </c>
      <c r="F335" s="10">
        <f t="shared" si="52"/>
        <v>-2.4354999797964183E-3</v>
      </c>
      <c r="G335" s="10">
        <f t="shared" si="49"/>
        <v>-0.95657089272652795</v>
      </c>
      <c r="H335" s="10">
        <f t="shared" si="50"/>
        <v>0.27756528430571181</v>
      </c>
      <c r="I335" s="10">
        <f t="shared" si="53"/>
        <v>-1.3775919696540351E-4</v>
      </c>
      <c r="J335" s="20">
        <f t="shared" si="51"/>
        <v>0</v>
      </c>
      <c r="K335" s="10">
        <f t="shared" si="54"/>
        <v>-1.1448253941725994E-3</v>
      </c>
      <c r="L335" s="10">
        <f t="shared" si="55"/>
        <v>-6.868952365037817E-4</v>
      </c>
    </row>
    <row r="336" spans="1:12" x14ac:dyDescent="0.2">
      <c r="A336" s="14">
        <v>0.27100000000000002</v>
      </c>
      <c r="B336" s="10">
        <f t="shared" si="45"/>
        <v>-0.9895549111289571</v>
      </c>
      <c r="C336" s="10">
        <f t="shared" si="46"/>
        <v>0.22660807464853117</v>
      </c>
      <c r="D336" s="10">
        <f t="shared" si="47"/>
        <v>0.75320701184641403</v>
      </c>
      <c r="E336" s="10">
        <f t="shared" si="48"/>
        <v>2.1238001589851381</v>
      </c>
      <c r="F336" s="10">
        <f t="shared" si="52"/>
        <v>-2.3809574338526929E-3</v>
      </c>
      <c r="G336" s="10">
        <f t="shared" si="49"/>
        <v>-0.95724316609301741</v>
      </c>
      <c r="H336" s="10">
        <f t="shared" si="50"/>
        <v>0.27743049833030203</v>
      </c>
      <c r="I336" s="10">
        <f t="shared" si="53"/>
        <v>-1.347859754097791E-4</v>
      </c>
      <c r="J336" s="20">
        <f t="shared" si="51"/>
        <v>0</v>
      </c>
      <c r="K336" s="10">
        <f t="shared" si="54"/>
        <v>-1.1204556108159736E-3</v>
      </c>
      <c r="L336" s="10">
        <f t="shared" si="55"/>
        <v>-6.7227336648945091E-4</v>
      </c>
    </row>
    <row r="337" spans="1:12" x14ac:dyDescent="0.2">
      <c r="A337" s="14">
        <v>0.27200000000000002</v>
      </c>
      <c r="B337" s="10">
        <f t="shared" si="45"/>
        <v>-0.98449898190068852</v>
      </c>
      <c r="C337" s="10">
        <f t="shared" si="46"/>
        <v>0.22446576787335695</v>
      </c>
      <c r="D337" s="10">
        <f t="shared" si="47"/>
        <v>0.75211086208071742</v>
      </c>
      <c r="E337" s="10">
        <f t="shared" si="48"/>
        <v>2.1214734313924049</v>
      </c>
      <c r="F337" s="10">
        <f t="shared" si="52"/>
        <v>-2.3267275927332243E-3</v>
      </c>
      <c r="G337" s="10">
        <f t="shared" si="49"/>
        <v>-0.95790085595243535</v>
      </c>
      <c r="H337" s="10">
        <f t="shared" si="50"/>
        <v>0.27729867526965518</v>
      </c>
      <c r="I337" s="10">
        <f t="shared" si="53"/>
        <v>-1.3182306064685179E-4</v>
      </c>
      <c r="J337" s="20">
        <f t="shared" si="51"/>
        <v>0</v>
      </c>
      <c r="K337" s="10">
        <f t="shared" si="54"/>
        <v>-1.0961497656966079E-3</v>
      </c>
      <c r="L337" s="10">
        <f t="shared" si="55"/>
        <v>-6.5768985941794256E-4</v>
      </c>
    </row>
    <row r="338" spans="1:12" x14ac:dyDescent="0.2">
      <c r="A338" s="14">
        <v>0.27300000000000002</v>
      </c>
      <c r="B338" s="10">
        <f t="shared" si="45"/>
        <v>-0.97945468234855948</v>
      </c>
      <c r="C338" s="10">
        <f t="shared" si="46"/>
        <v>0.22233621289312297</v>
      </c>
      <c r="D338" s="10">
        <f t="shared" si="47"/>
        <v>0.75103895504187912</v>
      </c>
      <c r="E338" s="10">
        <f t="shared" si="48"/>
        <v>2.1192006274234911</v>
      </c>
      <c r="F338" s="10">
        <f t="shared" si="52"/>
        <v>-2.2728039689137169E-3</v>
      </c>
      <c r="G338" s="10">
        <f t="shared" si="49"/>
        <v>-0.95854400017573826</v>
      </c>
      <c r="H338" s="10">
        <f t="shared" si="50"/>
        <v>0.2771698049799885</v>
      </c>
      <c r="I338" s="10">
        <f t="shared" si="53"/>
        <v>-1.2887028966668268E-4</v>
      </c>
      <c r="J338" s="20">
        <f t="shared" si="51"/>
        <v>0</v>
      </c>
      <c r="K338" s="10">
        <f t="shared" si="54"/>
        <v>-1.0719070388383045E-3</v>
      </c>
      <c r="L338" s="10">
        <f t="shared" si="55"/>
        <v>-6.431442233029161E-4</v>
      </c>
    </row>
    <row r="339" spans="1:12" x14ac:dyDescent="0.2">
      <c r="A339" s="14">
        <v>0.27400000000000002</v>
      </c>
      <c r="B339" s="10">
        <f t="shared" si="45"/>
        <v>-0.97442190843672571</v>
      </c>
      <c r="C339" s="10">
        <f t="shared" si="46"/>
        <v>0.22021935130669998</v>
      </c>
      <c r="D339" s="10">
        <f t="shared" si="47"/>
        <v>0.7499912284219078</v>
      </c>
      <c r="E339" s="10">
        <f t="shared" si="48"/>
        <v>2.1169814472631492</v>
      </c>
      <c r="F339" s="10">
        <f t="shared" si="52"/>
        <v>-2.2191801603419492E-3</v>
      </c>
      <c r="G339" s="10">
        <f t="shared" si="49"/>
        <v>-0.9591726361477213</v>
      </c>
      <c r="H339" s="10">
        <f t="shared" si="50"/>
        <v>0.2770438774788232</v>
      </c>
      <c r="I339" s="10">
        <f t="shared" si="53"/>
        <v>-1.259275011653016E-4</v>
      </c>
      <c r="J339" s="20">
        <f t="shared" si="51"/>
        <v>0</v>
      </c>
      <c r="K339" s="10">
        <f t="shared" si="54"/>
        <v>-1.0477266199713231E-3</v>
      </c>
      <c r="L339" s="10">
        <f t="shared" si="55"/>
        <v>-6.2863597198303811E-4</v>
      </c>
    </row>
    <row r="340" spans="1:12" x14ac:dyDescent="0.2">
      <c r="A340" s="14">
        <v>0.27500000000000002</v>
      </c>
      <c r="B340" s="10">
        <f t="shared" si="45"/>
        <v>-0.96940055718810336</v>
      </c>
      <c r="C340" s="10">
        <f t="shared" si="46"/>
        <v>0.21811512536732325</v>
      </c>
      <c r="D340" s="10">
        <f t="shared" si="47"/>
        <v>0.74896762071355083</v>
      </c>
      <c r="E340" s="10">
        <f t="shared" si="48"/>
        <v>2.1148155974146916</v>
      </c>
      <c r="F340" s="10">
        <f t="shared" si="52"/>
        <v>-2.1658498484575794E-3</v>
      </c>
      <c r="G340" s="10">
        <f t="shared" si="49"/>
        <v>-0.95978680077273526</v>
      </c>
      <c r="H340" s="10">
        <f t="shared" si="50"/>
        <v>0.27692088294330824</v>
      </c>
      <c r="I340" s="10">
        <f t="shared" si="53"/>
        <v>-1.229945355149531E-4</v>
      </c>
      <c r="J340" s="20">
        <f t="shared" si="51"/>
        <v>0</v>
      </c>
      <c r="K340" s="10">
        <f t="shared" si="54"/>
        <v>-1.0236077083569661E-3</v>
      </c>
      <c r="L340" s="10">
        <f t="shared" si="55"/>
        <v>-6.1416462501395763E-4</v>
      </c>
    </row>
    <row r="341" spans="1:12" x14ac:dyDescent="0.2">
      <c r="A341" s="14">
        <v>0.27600000000000002</v>
      </c>
      <c r="B341" s="10">
        <f t="shared" si="45"/>
        <v>-0.96439052666856628</v>
      </c>
      <c r="C341" s="10">
        <f t="shared" si="46"/>
        <v>0.21602347797375882</v>
      </c>
      <c r="D341" s="10">
        <f t="shared" si="47"/>
        <v>0.74796807120093411</v>
      </c>
      <c r="E341" s="10">
        <f t="shared" si="48"/>
        <v>2.1127027906184321</v>
      </c>
      <c r="F341" s="10">
        <f t="shared" si="52"/>
        <v>-2.1128067962594699E-3</v>
      </c>
      <c r="G341" s="10">
        <f t="shared" si="49"/>
        <v>-0.9603865304803052</v>
      </c>
      <c r="H341" s="10">
        <f t="shared" si="50"/>
        <v>0.27680081170857435</v>
      </c>
      <c r="I341" s="10">
        <f t="shared" si="53"/>
        <v>-1.2007123473389836E-4</v>
      </c>
      <c r="J341" s="20">
        <f t="shared" si="51"/>
        <v>0</v>
      </c>
      <c r="K341" s="10">
        <f t="shared" si="54"/>
        <v>-9.9954951261671532E-4</v>
      </c>
      <c r="L341" s="10">
        <f t="shared" si="55"/>
        <v>-5.9972970756994037E-4</v>
      </c>
    </row>
    <row r="342" spans="1:12" x14ac:dyDescent="0.2">
      <c r="A342" s="14">
        <v>0.27700000000000002</v>
      </c>
      <c r="B342" s="10">
        <f t="shared" si="45"/>
        <v>-0.95939171597142614</v>
      </c>
      <c r="C342" s="10">
        <f t="shared" si="46"/>
        <v>0.21394435266162801</v>
      </c>
      <c r="D342" s="10">
        <f t="shared" si="47"/>
        <v>0.74699251995036842</v>
      </c>
      <c r="E342" s="10">
        <f t="shared" si="48"/>
        <v>2.1106427457720125</v>
      </c>
      <c r="F342" s="10">
        <f t="shared" si="52"/>
        <v>-2.0600448464196397E-3</v>
      </c>
      <c r="G342" s="10">
        <f t="shared" si="49"/>
        <v>-0.96097186123064493</v>
      </c>
      <c r="H342" s="10">
        <f t="shared" si="50"/>
        <v>0.2766836542661168</v>
      </c>
      <c r="I342" s="10">
        <f t="shared" si="53"/>
        <v>-1.1715744245754944E-4</v>
      </c>
      <c r="J342" s="20">
        <f t="shared" si="51"/>
        <v>0</v>
      </c>
      <c r="K342" s="10">
        <f t="shared" si="54"/>
        <v>-9.7555125056569825E-4</v>
      </c>
      <c r="L342" s="10">
        <f t="shared" si="55"/>
        <v>-5.8533075033972981E-4</v>
      </c>
    </row>
    <row r="343" spans="1:12" x14ac:dyDescent="0.2">
      <c r="A343" s="14">
        <v>0.27800000000000002</v>
      </c>
      <c r="B343" s="10">
        <f t="shared" si="45"/>
        <v>-0.95440402520218903</v>
      </c>
      <c r="C343" s="10">
        <f t="shared" si="46"/>
        <v>0.21187769359488595</v>
      </c>
      <c r="D343" s="10">
        <f t="shared" si="47"/>
        <v>0.74604090780131815</v>
      </c>
      <c r="E343" s="10">
        <f t="shared" si="48"/>
        <v>2.108635187852582</v>
      </c>
      <c r="F343" s="10">
        <f t="shared" si="52"/>
        <v>-2.0075579194305249E-3</v>
      </c>
      <c r="G343" s="10">
        <f t="shared" si="49"/>
        <v>-0.96154282852007489</v>
      </c>
      <c r="H343" s="10">
        <f t="shared" si="50"/>
        <v>0.27656940126220714</v>
      </c>
      <c r="I343" s="10">
        <f t="shared" si="53"/>
        <v>-1.1425300390965898E-4</v>
      </c>
      <c r="J343" s="20">
        <f t="shared" si="51"/>
        <v>0</v>
      </c>
      <c r="K343" s="10">
        <f t="shared" si="54"/>
        <v>-9.516121490502627E-4</v>
      </c>
      <c r="L343" s="10">
        <f t="shared" si="55"/>
        <v>-5.7096728942995778E-4</v>
      </c>
    </row>
    <row r="344" spans="1:12" x14ac:dyDescent="0.2">
      <c r="A344" s="14">
        <v>0.27900000000000003</v>
      </c>
      <c r="B344" s="10">
        <f t="shared" si="45"/>
        <v>-0.94942735546358337</v>
      </c>
      <c r="C344" s="10">
        <f t="shared" si="46"/>
        <v>0.20982344555745189</v>
      </c>
      <c r="D344" s="10">
        <f t="shared" si="47"/>
        <v>0.74511317635753227</v>
      </c>
      <c r="E344" s="10">
        <f t="shared" si="48"/>
        <v>2.1066798478407884</v>
      </c>
      <c r="F344" s="10">
        <f t="shared" si="52"/>
        <v>-1.9553400117935382E-3</v>
      </c>
      <c r="G344" s="10">
        <f t="shared" si="49"/>
        <v>-0.96209946738634633</v>
      </c>
      <c r="H344" s="10">
        <f t="shared" si="50"/>
        <v>0.27645804349633241</v>
      </c>
      <c r="I344" s="10">
        <f t="shared" si="53"/>
        <v>-1.1135776587473112E-4</v>
      </c>
      <c r="J344" s="20">
        <f t="shared" si="51"/>
        <v>0</v>
      </c>
      <c r="K344" s="10">
        <f t="shared" si="54"/>
        <v>-9.2773144378588412E-4</v>
      </c>
      <c r="L344" s="10">
        <f t="shared" si="55"/>
        <v>-5.5663886627144166E-4</v>
      </c>
    </row>
    <row r="345" spans="1:12" x14ac:dyDescent="0.2">
      <c r="A345" s="14">
        <v>0.28000000000000003</v>
      </c>
      <c r="B345" s="10">
        <f t="shared" si="45"/>
        <v>-0.94446160884085117</v>
      </c>
      <c r="C345" s="10">
        <f t="shared" si="46"/>
        <v>0.20778155394498724</v>
      </c>
      <c r="D345" s="10">
        <f t="shared" si="47"/>
        <v>0.7442092679783312</v>
      </c>
      <c r="E345" s="10">
        <f t="shared" si="48"/>
        <v>2.1047764626465408</v>
      </c>
      <c r="F345" s="10">
        <f t="shared" si="52"/>
        <v>-1.9033851942475977E-3</v>
      </c>
      <c r="G345" s="10">
        <f t="shared" si="49"/>
        <v>-0.96264181241386715</v>
      </c>
      <c r="H345" s="10">
        <f t="shared" si="50"/>
        <v>0.27634957191966175</v>
      </c>
      <c r="I345" s="10">
        <f t="shared" si="53"/>
        <v>-1.0847157667065455E-4</v>
      </c>
      <c r="J345" s="20">
        <f t="shared" si="51"/>
        <v>0</v>
      </c>
      <c r="K345" s="10">
        <f t="shared" si="54"/>
        <v>-9.0390837920106826E-4</v>
      </c>
      <c r="L345" s="10">
        <f t="shared" si="55"/>
        <v>-5.4234502752081859E-4</v>
      </c>
    </row>
    <row r="346" spans="1:12" x14ac:dyDescent="0.2">
      <c r="A346" s="14">
        <v>0.28100000000000003</v>
      </c>
      <c r="B346" s="10">
        <f t="shared" si="45"/>
        <v>-0.93950668838730078</v>
      </c>
      <c r="C346" s="10">
        <f t="shared" si="46"/>
        <v>0.20575196475681884</v>
      </c>
      <c r="D346" s="10">
        <f t="shared" si="47"/>
        <v>0.74332912577004751</v>
      </c>
      <c r="E346" s="10">
        <f t="shared" si="48"/>
        <v>2.1029247750365085</v>
      </c>
      <c r="F346" s="10">
        <f t="shared" si="52"/>
        <v>-1.8516876100322932E-3</v>
      </c>
      <c r="G346" s="10">
        <f t="shared" si="49"/>
        <v>-0.96316989773883721</v>
      </c>
      <c r="H346" s="10">
        <f t="shared" si="50"/>
        <v>0.27624397763354097</v>
      </c>
      <c r="I346" s="10">
        <f t="shared" si="53"/>
        <v>-1.0559428612078037E-4</v>
      </c>
      <c r="J346" s="20">
        <f t="shared" si="51"/>
        <v>0</v>
      </c>
      <c r="K346" s="10">
        <f t="shared" si="54"/>
        <v>-8.8014220828369627E-4</v>
      </c>
      <c r="L346" s="10">
        <f t="shared" si="55"/>
        <v>-5.2808532497006233E-4</v>
      </c>
    </row>
    <row r="347" spans="1:12" x14ac:dyDescent="0.2">
      <c r="A347" s="14">
        <v>0.28199999999999997</v>
      </c>
      <c r="B347" s="10">
        <f t="shared" si="45"/>
        <v>-0.93456249811011072</v>
      </c>
      <c r="C347" s="10">
        <f t="shared" si="46"/>
        <v>0.20373462458800415</v>
      </c>
      <c r="D347" s="10">
        <f t="shared" si="47"/>
        <v>0.74247269357761836</v>
      </c>
      <c r="E347" s="10">
        <f t="shared" si="48"/>
        <v>2.1011245335633228</v>
      </c>
      <c r="F347" s="10">
        <f t="shared" si="52"/>
        <v>-1.8002414731856931E-3</v>
      </c>
      <c r="G347" s="10">
        <f t="shared" si="49"/>
        <v>-0.96368375705429477</v>
      </c>
      <c r="H347" s="10">
        <f t="shared" si="50"/>
        <v>0.27614125188801181</v>
      </c>
      <c r="I347" s="10">
        <f t="shared" si="53"/>
        <v>-1.0272574552916414E-4</v>
      </c>
      <c r="J347" s="20">
        <f t="shared" si="51"/>
        <v>0</v>
      </c>
      <c r="K347" s="10">
        <f t="shared" si="54"/>
        <v>-8.5643219242914626E-4</v>
      </c>
      <c r="L347" s="10">
        <f t="shared" si="55"/>
        <v>-5.1385931545755437E-4</v>
      </c>
    </row>
    <row r="348" spans="1:12" x14ac:dyDescent="0.2">
      <c r="A348" s="14">
        <v>0.28299999999999997</v>
      </c>
      <c r="B348" s="10">
        <f t="shared" si="45"/>
        <v>-0.92962894295638299</v>
      </c>
      <c r="C348" s="10">
        <f t="shared" si="46"/>
        <v>0.20172948062153515</v>
      </c>
      <c r="D348" s="10">
        <f t="shared" si="47"/>
        <v>0.74163991597632439</v>
      </c>
      <c r="E348" s="10">
        <f t="shared" si="48"/>
        <v>2.0993754924964367</v>
      </c>
      <c r="F348" s="10">
        <f t="shared" si="52"/>
        <v>-1.7490410668861145E-3</v>
      </c>
      <c r="G348" s="10">
        <f t="shared" si="49"/>
        <v>-0.96418342361507126</v>
      </c>
      <c r="H348" s="10">
        <f t="shared" si="50"/>
        <v>0.27604138608035883</v>
      </c>
      <c r="I348" s="10">
        <f t="shared" si="53"/>
        <v>-9.9865807652976812E-5</v>
      </c>
      <c r="J348" s="20">
        <f t="shared" si="51"/>
        <v>0</v>
      </c>
      <c r="K348" s="10">
        <f t="shared" si="54"/>
        <v>-8.3277760129396583E-4</v>
      </c>
      <c r="L348" s="10">
        <f t="shared" si="55"/>
        <v>-4.9966656077649052E-4</v>
      </c>
    </row>
    <row r="349" spans="1:12" x14ac:dyDescent="0.2">
      <c r="A349" s="14">
        <v>0.28399999999999997</v>
      </c>
      <c r="B349" s="10">
        <f t="shared" si="45"/>
        <v>-0.92470592879943969</v>
      </c>
      <c r="C349" s="10">
        <f t="shared" si="46"/>
        <v>0.199736480620679</v>
      </c>
      <c r="D349" s="10">
        <f t="shared" si="47"/>
        <v>0.74083073826367452</v>
      </c>
      <c r="E349" s="10">
        <f t="shared" si="48"/>
        <v>2.0976774117546246</v>
      </c>
      <c r="F349" s="10">
        <f t="shared" si="52"/>
        <v>-1.6980807418121024E-3</v>
      </c>
      <c r="G349" s="10">
        <f t="shared" si="49"/>
        <v>-0.96466893024266098</v>
      </c>
      <c r="H349" s="10">
        <f t="shared" si="50"/>
        <v>0.27594437175368042</v>
      </c>
      <c r="I349" s="10">
        <f t="shared" si="53"/>
        <v>-9.7014326678412921E-5</v>
      </c>
      <c r="J349" s="20">
        <f t="shared" si="51"/>
        <v>0</v>
      </c>
      <c r="K349" s="10">
        <f t="shared" si="54"/>
        <v>-8.0917771264987781E-4</v>
      </c>
      <c r="L349" s="10">
        <f t="shared" si="55"/>
        <v>-4.8550662758972685E-4</v>
      </c>
    </row>
    <row r="350" spans="1:12" x14ac:dyDescent="0.2">
      <c r="A350" s="14">
        <v>0.28499999999999998</v>
      </c>
      <c r="B350" s="10">
        <f t="shared" si="45"/>
        <v>-0.91979336242535725</v>
      </c>
      <c r="C350" s="10">
        <f t="shared" si="46"/>
        <v>0.19775557292145182</v>
      </c>
      <c r="D350" s="10">
        <f t="shared" si="47"/>
        <v>0.74004510645143251</v>
      </c>
      <c r="E350" s="10">
        <f t="shared" si="48"/>
        <v>2.0960300568400738</v>
      </c>
      <c r="F350" s="10">
        <f t="shared" si="52"/>
        <v>-1.6473549145508137E-3</v>
      </c>
      <c r="G350" s="10">
        <f t="shared" si="49"/>
        <v>-0.96514030933000616</v>
      </c>
      <c r="H350" s="10">
        <f t="shared" si="50"/>
        <v>0.27585020059548537</v>
      </c>
      <c r="I350" s="10">
        <f t="shared" si="53"/>
        <v>-9.4171158195044402E-5</v>
      </c>
      <c r="J350" s="20">
        <f t="shared" si="51"/>
        <v>0</v>
      </c>
      <c r="K350" s="10">
        <f t="shared" si="54"/>
        <v>-7.8563181224200473E-4</v>
      </c>
      <c r="L350" s="10">
        <f t="shared" si="55"/>
        <v>-4.7137908734518064E-4</v>
      </c>
    </row>
    <row r="351" spans="1:12" x14ac:dyDescent="0.2">
      <c r="A351" s="14">
        <v>0.28599999999999998</v>
      </c>
      <c r="B351" s="10">
        <f t="shared" si="45"/>
        <v>-0.91489115151973188</v>
      </c>
      <c r="C351" s="10">
        <f t="shared" si="46"/>
        <v>0.19578670642522264</v>
      </c>
      <c r="D351" s="10">
        <f t="shared" si="47"/>
        <v>0.73928296725778297</v>
      </c>
      <c r="E351" s="10">
        <f t="shared" si="48"/>
        <v>2.094433198774043</v>
      </c>
      <c r="F351" s="10">
        <f t="shared" si="52"/>
        <v>-1.5968580660308263E-3</v>
      </c>
      <c r="G351" s="10">
        <f t="shared" si="49"/>
        <v>-0.96559759284619595</v>
      </c>
      <c r="H351" s="10">
        <f t="shared" si="50"/>
        <v>0.27575886443631403</v>
      </c>
      <c r="I351" s="10">
        <f t="shared" si="53"/>
        <v>-9.1336159171340192E-5</v>
      </c>
      <c r="J351" s="20">
        <f t="shared" si="51"/>
        <v>0</v>
      </c>
      <c r="K351" s="10">
        <f t="shared" si="54"/>
        <v>-7.6213919364953586E-4</v>
      </c>
      <c r="L351" s="10">
        <f t="shared" si="55"/>
        <v>-4.5728351618978813E-4</v>
      </c>
    </row>
    <row r="352" spans="1:12" x14ac:dyDescent="0.2">
      <c r="A352" s="14">
        <v>0.28699999999999998</v>
      </c>
      <c r="B352" s="10">
        <f t="shared" si="45"/>
        <v>-0.9099992046546751</v>
      </c>
      <c r="C352" s="10">
        <f t="shared" si="46"/>
        <v>0.19382983059144582</v>
      </c>
      <c r="D352" s="10">
        <f t="shared" si="47"/>
        <v>0.73854426809963336</v>
      </c>
      <c r="E352" s="10">
        <f t="shared" si="48"/>
        <v>2.0928866140340587</v>
      </c>
      <c r="F352" s="10">
        <f t="shared" si="52"/>
        <v>-1.5465847399842581E-3</v>
      </c>
      <c r="G352" s="10">
        <f t="shared" si="49"/>
        <v>-0.96604081234108585</v>
      </c>
      <c r="H352" s="10">
        <f t="shared" si="50"/>
        <v>0.2756703552483829</v>
      </c>
      <c r="I352" s="10">
        <f t="shared" si="53"/>
        <v>-8.8509187931129496E-5</v>
      </c>
      <c r="J352" s="20">
        <f t="shared" si="51"/>
        <v>0</v>
      </c>
      <c r="K352" s="10">
        <f t="shared" si="54"/>
        <v>-7.3869915814961384E-4</v>
      </c>
      <c r="L352" s="10">
        <f t="shared" si="55"/>
        <v>-4.4321949488990153E-4</v>
      </c>
    </row>
    <row r="353" spans="1:12" x14ac:dyDescent="0.2">
      <c r="A353" s="14">
        <v>0.28799999999999998</v>
      </c>
      <c r="B353" s="10">
        <f t="shared" si="45"/>
        <v>-0.90511743127602984</v>
      </c>
      <c r="C353" s="10">
        <f t="shared" si="46"/>
        <v>0.19188489543051834</v>
      </c>
      <c r="D353" s="10">
        <f t="shared" si="47"/>
        <v>0.7378289570850507</v>
      </c>
      <c r="E353" s="10">
        <f t="shared" si="48"/>
        <v>2.0913900844926108</v>
      </c>
      <c r="F353" s="10">
        <f t="shared" si="52"/>
        <v>-1.4965295414479662E-3</v>
      </c>
      <c r="G353" s="10">
        <f t="shared" si="49"/>
        <v>-0.96646999894983554</v>
      </c>
      <c r="H353" s="10">
        <f t="shared" si="50"/>
        <v>0.27558466514425339</v>
      </c>
      <c r="I353" s="10">
        <f t="shared" si="53"/>
        <v>-8.5690104129509947E-5</v>
      </c>
      <c r="J353" s="20">
        <f t="shared" si="51"/>
        <v>0</v>
      </c>
      <c r="K353" s="10">
        <f t="shared" si="54"/>
        <v>-7.1531101458266466E-4</v>
      </c>
      <c r="L353" s="10">
        <f t="shared" si="55"/>
        <v>-4.2918660874968761E-4</v>
      </c>
    </row>
    <row r="354" spans="1:12" x14ac:dyDescent="0.2">
      <c r="A354" s="14">
        <v>0.28899999999999998</v>
      </c>
      <c r="B354" s="10">
        <f t="shared" si="45"/>
        <v>-0.90024574169080884</v>
      </c>
      <c r="C354" s="10">
        <f t="shared" si="46"/>
        <v>0.18995185149676069</v>
      </c>
      <c r="D354" s="10">
        <f t="shared" si="47"/>
        <v>0.73713698300582808</v>
      </c>
      <c r="E354" s="10">
        <f t="shared" si="48"/>
        <v>2.0899433973573238</v>
      </c>
      <c r="F354" s="10">
        <f t="shared" si="52"/>
        <v>-1.4466871352869504E-3</v>
      </c>
      <c r="G354" s="10">
        <f t="shared" si="49"/>
        <v>-0.96688518339736906</v>
      </c>
      <c r="H354" s="10">
        <f t="shared" si="50"/>
        <v>0.27550178637552336</v>
      </c>
      <c r="I354" s="10">
        <f t="shared" si="53"/>
        <v>-8.2878768730032526E-5</v>
      </c>
      <c r="J354" s="20">
        <f t="shared" si="51"/>
        <v>0</v>
      </c>
      <c r="K354" s="10">
        <f t="shared" si="54"/>
        <v>-6.9197407922261256E-4</v>
      </c>
      <c r="L354" s="10">
        <f t="shared" si="55"/>
        <v>-4.1518444753352313E-4</v>
      </c>
    </row>
    <row r="355" spans="1:12" x14ac:dyDescent="0.2">
      <c r="A355" s="14">
        <v>0.28999999999999998</v>
      </c>
      <c r="B355" s="10">
        <f t="shared" si="45"/>
        <v>-0.89538404705484131</v>
      </c>
      <c r="C355" s="10">
        <f t="shared" si="46"/>
        <v>0.18803064988151669</v>
      </c>
      <c r="D355" s="10">
        <f t="shared" si="47"/>
        <v>0.73646829533018254</v>
      </c>
      <c r="E355" s="10">
        <f t="shared" si="48"/>
        <v>2.0885463451125803</v>
      </c>
      <c r="F355" s="10">
        <f t="shared" si="52"/>
        <v>-1.397052244743513E-3</v>
      </c>
      <c r="G355" s="10">
        <f t="shared" si="49"/>
        <v>-0.96728639600275623</v>
      </c>
      <c r="H355" s="10">
        <f t="shared" si="50"/>
        <v>0.27542171133154142</v>
      </c>
      <c r="I355" s="10">
        <f t="shared" si="53"/>
        <v>-8.0075043981941985E-5</v>
      </c>
      <c r="J355" s="20">
        <f t="shared" si="51"/>
        <v>0</v>
      </c>
      <c r="K355" s="10">
        <f t="shared" si="54"/>
        <v>-6.6868767564554066E-4</v>
      </c>
      <c r="L355" s="10">
        <f t="shared" si="55"/>
        <v>-4.0121260538716896E-4</v>
      </c>
    </row>
    <row r="356" spans="1:12" x14ac:dyDescent="0.2">
      <c r="A356" s="14">
        <v>0.29099999999999998</v>
      </c>
      <c r="B356" s="10">
        <f t="shared" si="45"/>
        <v>-0.89053225936063518</v>
      </c>
      <c r="C356" s="10">
        <f t="shared" si="46"/>
        <v>0.18612124220637277</v>
      </c>
      <c r="D356" s="10">
        <f t="shared" si="47"/>
        <v>0.7358228441955762</v>
      </c>
      <c r="E356" s="10">
        <f t="shared" si="48"/>
        <v>2.0871987254625513</v>
      </c>
      <c r="F356" s="10">
        <f t="shared" si="52"/>
        <v>-1.3476196500290527E-3</v>
      </c>
      <c r="G356" s="10">
        <f t="shared" si="49"/>
        <v>-0.96767366668352017</v>
      </c>
      <c r="H356" s="10">
        <f t="shared" si="50"/>
        <v>0.27534443253814339</v>
      </c>
      <c r="I356" s="10">
        <f t="shared" si="53"/>
        <v>-7.7278793398027901E-5</v>
      </c>
      <c r="J356" s="20">
        <f t="shared" si="51"/>
        <v>0</v>
      </c>
      <c r="K356" s="10">
        <f t="shared" si="54"/>
        <v>-6.4545113460634518E-4</v>
      </c>
      <c r="L356" s="10">
        <f t="shared" si="55"/>
        <v>-3.8727068076394033E-4</v>
      </c>
    </row>
    <row r="357" spans="1:12" x14ac:dyDescent="0.2">
      <c r="A357" s="14">
        <v>0.29199999999999998</v>
      </c>
      <c r="B357" s="10">
        <f t="shared" si="45"/>
        <v>-0.88569029142543809</v>
      </c>
      <c r="C357" s="10">
        <f t="shared" si="46"/>
        <v>0.18422358061649113</v>
      </c>
      <c r="D357" s="10">
        <f t="shared" si="47"/>
        <v>0.73520058040166381</v>
      </c>
      <c r="E357" s="10">
        <f t="shared" si="48"/>
        <v>2.0859003412756265</v>
      </c>
      <c r="F357" s="10">
        <f t="shared" si="52"/>
        <v>-1.2983841869247392E-3</v>
      </c>
      <c r="G357" s="10">
        <f t="shared" si="49"/>
        <v>-0.96804702495986772</v>
      </c>
      <c r="H357" s="10">
        <f t="shared" si="50"/>
        <v>0.27526994265641136</v>
      </c>
      <c r="I357" s="10">
        <f t="shared" si="53"/>
        <v>-7.4489881732031638E-5</v>
      </c>
      <c r="J357" s="20">
        <f t="shared" si="51"/>
        <v>0</v>
      </c>
      <c r="K357" s="10">
        <f t="shared" si="54"/>
        <v>-6.2226379391239206E-4</v>
      </c>
      <c r="L357" s="10">
        <f t="shared" si="55"/>
        <v>-3.7335827634754626E-4</v>
      </c>
    </row>
    <row r="358" spans="1:12" x14ac:dyDescent="0.2">
      <c r="A358" s="14">
        <v>0.29299999999999998</v>
      </c>
      <c r="B358" s="10">
        <f t="shared" si="45"/>
        <v>-0.88085805687950558</v>
      </c>
      <c r="C358" s="10">
        <f t="shared" si="46"/>
        <v>0.18233761777405766</v>
      </c>
      <c r="D358" s="10">
        <f t="shared" si="47"/>
        <v>0.73460145540335986</v>
      </c>
      <c r="E358" s="10">
        <f t="shared" si="48"/>
        <v>2.0846510005302048</v>
      </c>
      <c r="F358" s="10">
        <f t="shared" si="52"/>
        <v>-1.249340745421712E-3</v>
      </c>
      <c r="G358" s="10">
        <f t="shared" si="49"/>
        <v>-0.96840649995884975</v>
      </c>
      <c r="H358" s="10">
        <f t="shared" si="50"/>
        <v>0.27519823448145303</v>
      </c>
      <c r="I358" s="10">
        <f t="shared" si="53"/>
        <v>-7.1708174958329263E-5</v>
      </c>
      <c r="J358" s="20">
        <f t="shared" si="51"/>
        <v>0</v>
      </c>
      <c r="K358" s="10">
        <f t="shared" si="54"/>
        <v>-5.9912499830394594E-4</v>
      </c>
      <c r="L358" s="10">
        <f t="shared" si="55"/>
        <v>-3.594749989820345E-4</v>
      </c>
    </row>
    <row r="359" spans="1:12" x14ac:dyDescent="0.2">
      <c r="A359" s="14">
        <v>0.29399999999999998</v>
      </c>
      <c r="B359" s="10">
        <f t="shared" si="45"/>
        <v>-0.8760354701545604</v>
      </c>
      <c r="C359" s="10">
        <f t="shared" si="46"/>
        <v>0.18046330685183945</v>
      </c>
      <c r="D359" s="10">
        <f t="shared" si="47"/>
        <v>0.73402542130402681</v>
      </c>
      <c r="E359" s="10">
        <f t="shared" si="48"/>
        <v>2.0834505162618226</v>
      </c>
      <c r="F359" s="10">
        <f t="shared" si="52"/>
        <v>-1.2004842683821515E-3</v>
      </c>
      <c r="G359" s="10">
        <f t="shared" si="49"/>
        <v>-0.96875212041844949</v>
      </c>
      <c r="H359" s="10">
        <f t="shared" si="50"/>
        <v>0.27512930094120319</v>
      </c>
      <c r="I359" s="10">
        <f t="shared" si="53"/>
        <v>-6.893354024983811E-5</v>
      </c>
      <c r="J359" s="20">
        <f t="shared" si="51"/>
        <v>0</v>
      </c>
      <c r="K359" s="10">
        <f t="shared" si="54"/>
        <v>-5.7603409933304484E-4</v>
      </c>
      <c r="L359" s="10">
        <f t="shared" si="55"/>
        <v>-3.4562045959973808E-4</v>
      </c>
    </row>
    <row r="360" spans="1:12" x14ac:dyDescent="0.2">
      <c r="A360" s="14">
        <v>0.29499999999999998</v>
      </c>
      <c r="B360" s="10">
        <f t="shared" si="45"/>
        <v>-0.87122244647244895</v>
      </c>
      <c r="C360" s="10">
        <f t="shared" si="46"/>
        <v>0.17860060152685206</v>
      </c>
      <c r="D360" s="10">
        <f t="shared" si="47"/>
        <v>0.73347243084877811</v>
      </c>
      <c r="E360" s="10">
        <f t="shared" si="48"/>
        <v>2.0822987065115979</v>
      </c>
      <c r="F360" s="10">
        <f t="shared" si="52"/>
        <v>-1.1518097502247748E-3</v>
      </c>
      <c r="G360" s="10">
        <f t="shared" si="49"/>
        <v>-0.96908391469159882</v>
      </c>
      <c r="H360" s="10">
        <f t="shared" si="50"/>
        <v>0.27506313509524527</v>
      </c>
      <c r="I360" s="10">
        <f t="shared" si="53"/>
        <v>-6.6165845957921743E-5</v>
      </c>
      <c r="J360" s="20">
        <f t="shared" si="51"/>
        <v>0</v>
      </c>
      <c r="K360" s="10">
        <f t="shared" si="54"/>
        <v>-5.5299045524870305E-4</v>
      </c>
      <c r="L360" s="10">
        <f t="shared" si="55"/>
        <v>-3.3179427314933285E-4</v>
      </c>
    </row>
    <row r="361" spans="1:12" x14ac:dyDescent="0.2">
      <c r="A361" s="14">
        <v>0.29599999999999999</v>
      </c>
      <c r="B361" s="10">
        <f t="shared" si="45"/>
        <v>-0.86641890183398196</v>
      </c>
      <c r="C361" s="10">
        <f t="shared" si="46"/>
        <v>0.17674945597413233</v>
      </c>
      <c r="D361" s="10">
        <f t="shared" si="47"/>
        <v>0.73294243741789833</v>
      </c>
      <c r="E361" s="10">
        <f t="shared" si="48"/>
        <v>2.0811953942759618</v>
      </c>
      <c r="F361" s="10">
        <f t="shared" si="52"/>
        <v>-1.1033122356360892E-3</v>
      </c>
      <c r="G361" s="10">
        <f t="shared" si="49"/>
        <v>-0.96940191075012683</v>
      </c>
      <c r="H361" s="10">
        <f t="shared" si="50"/>
        <v>0.27499973013365381</v>
      </c>
      <c r="I361" s="10">
        <f t="shared" si="53"/>
        <v>-6.340496159146225E-5</v>
      </c>
      <c r="J361" s="20">
        <f t="shared" si="51"/>
        <v>0</v>
      </c>
      <c r="K361" s="10">
        <f t="shared" si="54"/>
        <v>-5.2999343087978268E-4</v>
      </c>
      <c r="L361" s="10">
        <f t="shared" si="55"/>
        <v>-3.1799605852800283E-4</v>
      </c>
    </row>
    <row r="362" spans="1:12" x14ac:dyDescent="0.2">
      <c r="A362" s="14">
        <v>0.29699999999999999</v>
      </c>
      <c r="B362" s="10">
        <f t="shared" si="45"/>
        <v>-0.86162475300796548</v>
      </c>
      <c r="C362" s="10">
        <f t="shared" si="46"/>
        <v>0.17490982486061701</v>
      </c>
      <c r="D362" s="10">
        <f t="shared" si="47"/>
        <v>0.73243539502037402</v>
      </c>
      <c r="E362" s="10">
        <f t="shared" si="48"/>
        <v>2.0801404074576566</v>
      </c>
      <c r="F362" s="10">
        <f t="shared" si="52"/>
        <v>-1.0549868183051814E-3</v>
      </c>
      <c r="G362" s="10">
        <f t="shared" si="49"/>
        <v>-0.96970613618864143</v>
      </c>
      <c r="H362" s="10">
        <f t="shared" si="50"/>
        <v>0.27493907937585604</v>
      </c>
      <c r="I362" s="10">
        <f t="shared" si="53"/>
        <v>-6.065075779776441E-5</v>
      </c>
      <c r="J362" s="20">
        <f t="shared" si="51"/>
        <v>0</v>
      </c>
      <c r="K362" s="10">
        <f t="shared" si="54"/>
        <v>-5.0704239752430436E-4</v>
      </c>
      <c r="L362" s="10">
        <f t="shared" si="55"/>
        <v>-3.0422543851460482E-4</v>
      </c>
    </row>
    <row r="363" spans="1:12" x14ac:dyDescent="0.2">
      <c r="A363" s="14">
        <v>0.29799999999999999</v>
      </c>
      <c r="B363" s="10">
        <f t="shared" si="45"/>
        <v>-0.85683991752040656</v>
      </c>
      <c r="C363" s="10">
        <f t="shared" si="46"/>
        <v>0.17308166333912214</v>
      </c>
      <c r="D363" s="10">
        <f t="shared" si="47"/>
        <v>0.73195125828753649</v>
      </c>
      <c r="E363" s="10">
        <f t="shared" si="48"/>
        <v>2.0791335788179768</v>
      </c>
      <c r="F363" s="10">
        <f t="shared" si="52"/>
        <v>-1.0068286396798243E-3</v>
      </c>
      <c r="G363" s="10">
        <f t="shared" si="49"/>
        <v>-0.96999661822834393</v>
      </c>
      <c r="H363" s="10">
        <f t="shared" si="50"/>
        <v>0.2748811762695143</v>
      </c>
      <c r="I363" s="10">
        <f t="shared" si="53"/>
        <v>-5.7903106341739008E-5</v>
      </c>
      <c r="J363" s="20">
        <f t="shared" si="51"/>
        <v>0</v>
      </c>
      <c r="K363" s="10">
        <f t="shared" si="54"/>
        <v>-4.8413673283753678E-4</v>
      </c>
      <c r="L363" s="10">
        <f t="shared" si="55"/>
        <v>-2.9048203970249986E-4</v>
      </c>
    </row>
    <row r="364" spans="1:12" x14ac:dyDescent="0.2">
      <c r="A364" s="14">
        <v>0.29899999999999999</v>
      </c>
      <c r="B364" s="10">
        <f t="shared" si="45"/>
        <v>-0.85206431364390378</v>
      </c>
      <c r="C364" s="10">
        <f t="shared" si="46"/>
        <v>0.17126492704242466</v>
      </c>
      <c r="D364" s="10">
        <f t="shared" si="47"/>
        <v>0.73148998246681129</v>
      </c>
      <c r="E364" s="10">
        <f t="shared" si="48"/>
        <v>2.0781747459302249</v>
      </c>
      <c r="F364" s="10">
        <f t="shared" si="52"/>
        <v>-9.5883288775189257E-4</v>
      </c>
      <c r="G364" s="10">
        <f t="shared" si="49"/>
        <v>-0.97027338372077909</v>
      </c>
      <c r="H364" s="10">
        <f t="shared" si="50"/>
        <v>0.27482601438942622</v>
      </c>
      <c r="I364" s="10">
        <f t="shared" si="53"/>
        <v>-5.5161880088083759E-5</v>
      </c>
      <c r="J364" s="20">
        <f t="shared" si="51"/>
        <v>0</v>
      </c>
      <c r="K364" s="10">
        <f t="shared" si="54"/>
        <v>-4.6127582072519324E-4</v>
      </c>
      <c r="L364" s="10">
        <f t="shared" si="55"/>
        <v>-2.7676549243516035E-4</v>
      </c>
    </row>
    <row r="365" spans="1:12" x14ac:dyDescent="0.2">
      <c r="A365" s="14">
        <v>0.3</v>
      </c>
      <c r="B365" s="10">
        <f t="shared" si="45"/>
        <v>-0.84729786038720356</v>
      </c>
      <c r="C365" s="10">
        <f t="shared" si="46"/>
        <v>0.16945957207744072</v>
      </c>
      <c r="D365" s="10">
        <f t="shared" si="47"/>
        <v>0.73105152341557789</v>
      </c>
      <c r="E365" s="10">
        <f t="shared" si="48"/>
        <v>2.077263751134379</v>
      </c>
      <c r="F365" s="10">
        <f t="shared" si="52"/>
        <v>-9.109947958458875E-4</v>
      </c>
      <c r="G365" s="10">
        <f t="shared" si="49"/>
        <v>-0.97053645915151898</v>
      </c>
      <c r="H365" s="10">
        <f t="shared" si="50"/>
        <v>0.27477358743644553</v>
      </c>
      <c r="I365" s="10">
        <f t="shared" si="53"/>
        <v>-5.2426952980688668E-5</v>
      </c>
      <c r="J365" s="20">
        <f t="shared" si="51"/>
        <v>0</v>
      </c>
      <c r="K365" s="10">
        <f t="shared" si="54"/>
        <v>-4.3845905123340856E-4</v>
      </c>
      <c r="L365" s="10">
        <f t="shared" si="55"/>
        <v>-2.630754307398897E-4</v>
      </c>
    </row>
    <row r="366" spans="1:12" x14ac:dyDescent="0.2">
      <c r="A366" s="14">
        <v>0.30099999999999999</v>
      </c>
      <c r="B366" s="10">
        <f t="shared" si="45"/>
        <v>-0.84254047748493466</v>
      </c>
      <c r="C366" s="10">
        <f t="shared" si="46"/>
        <v>0.16766555501950201</v>
      </c>
      <c r="D366" s="10">
        <f t="shared" si="47"/>
        <v>0.73063583759512807</v>
      </c>
      <c r="E366" s="10">
        <f t="shared" si="48"/>
        <v>2.0764004414929174</v>
      </c>
      <c r="F366" s="10">
        <f t="shared" si="52"/>
        <v>-8.6330964146164035E-4</v>
      </c>
      <c r="G366" s="10">
        <f t="shared" si="49"/>
        <v>-0.97078587064378907</v>
      </c>
      <c r="H366" s="10">
        <f t="shared" si="50"/>
        <v>0.27472388923641966</v>
      </c>
      <c r="I366" s="10">
        <f t="shared" si="53"/>
        <v>-4.9698200025871664E-5</v>
      </c>
      <c r="J366" s="20">
        <f t="shared" si="51"/>
        <v>0</v>
      </c>
      <c r="K366" s="10">
        <f t="shared" si="54"/>
        <v>-4.1568582044981817E-4</v>
      </c>
      <c r="L366" s="10">
        <f t="shared" si="55"/>
        <v>-2.4941149227009074E-4</v>
      </c>
    </row>
    <row r="367" spans="1:12" x14ac:dyDescent="0.2">
      <c r="A367" s="14">
        <v>0.30199999999999999</v>
      </c>
      <c r="B367" s="10">
        <f t="shared" si="45"/>
        <v>-0.83779208538750283</v>
      </c>
      <c r="C367" s="10">
        <f t="shared" si="46"/>
        <v>0.16588283290672556</v>
      </c>
      <c r="D367" s="10">
        <f t="shared" si="47"/>
        <v>0.73024288206473309</v>
      </c>
      <c r="E367" s="10">
        <f t="shared" si="48"/>
        <v>2.0755846687478212</v>
      </c>
      <c r="F367" s="10">
        <f t="shared" si="52"/>
        <v>-8.1577274509614384E-4</v>
      </c>
      <c r="G367" s="10">
        <f t="shared" si="49"/>
        <v>-0.97102164396202595</v>
      </c>
      <c r="H367" s="10">
        <f t="shared" si="50"/>
        <v>0.27467691373914749</v>
      </c>
      <c r="I367" s="10">
        <f t="shared" si="53"/>
        <v>-4.6975497272172539E-5</v>
      </c>
      <c r="J367" s="20">
        <f t="shared" si="51"/>
        <v>0</v>
      </c>
      <c r="K367" s="10">
        <f t="shared" si="54"/>
        <v>-3.9295553039497833E-4</v>
      </c>
      <c r="L367" s="10">
        <f t="shared" si="55"/>
        <v>-2.3577331823687597E-4</v>
      </c>
    </row>
    <row r="368" spans="1:12" x14ac:dyDescent="0.2">
      <c r="A368" s="14">
        <v>0.30299999999999999</v>
      </c>
      <c r="B368" s="10">
        <f t="shared" si="45"/>
        <v>-0.83305260525115477</v>
      </c>
      <c r="C368" s="10">
        <f t="shared" si="46"/>
        <v>0.1641113632344775</v>
      </c>
      <c r="D368" s="10">
        <f t="shared" si="47"/>
        <v>0.72987261447580698</v>
      </c>
      <c r="E368" s="10">
        <f t="shared" si="48"/>
        <v>2.0748162892786972</v>
      </c>
      <c r="F368" s="10">
        <f t="shared" si="52"/>
        <v>-7.6837946912400312E-4</v>
      </c>
      <c r="G368" s="10">
        <f t="shared" si="49"/>
        <v>-0.97124380451538173</v>
      </c>
      <c r="H368" s="10">
        <f t="shared" si="50"/>
        <v>0.27463265501735323</v>
      </c>
      <c r="I368" s="10">
        <f t="shared" si="53"/>
        <v>-4.4258721794254718E-5</v>
      </c>
      <c r="J368" s="20">
        <f t="shared" si="51"/>
        <v>0</v>
      </c>
      <c r="K368" s="10">
        <f t="shared" si="54"/>
        <v>-3.7026758892610978E-4</v>
      </c>
      <c r="L368" s="10">
        <f t="shared" si="55"/>
        <v>-2.2216055335577689E-4</v>
      </c>
    </row>
    <row r="369" spans="1:12" x14ac:dyDescent="0.2">
      <c r="A369" s="14">
        <v>0.30399999999999999</v>
      </c>
      <c r="B369" s="10">
        <f t="shared" si="45"/>
        <v>-0.82832195892819793</v>
      </c>
      <c r="C369" s="10">
        <f t="shared" si="46"/>
        <v>0.1623511039499268</v>
      </c>
      <c r="D369" s="10">
        <f t="shared" si="47"/>
        <v>0.7295249930661718</v>
      </c>
      <c r="E369" s="10">
        <f t="shared" si="48"/>
        <v>2.0740951640620282</v>
      </c>
      <c r="F369" s="10">
        <f t="shared" si="52"/>
        <v>-7.211252166690052E-4</v>
      </c>
      <c r="G369" s="10">
        <f t="shared" si="49"/>
        <v>-0.97145237736116274</v>
      </c>
      <c r="H369" s="10">
        <f t="shared" si="50"/>
        <v>0.27459110726567953</v>
      </c>
      <c r="I369" s="10">
        <f t="shared" si="53"/>
        <v>-4.1547751673698397E-5</v>
      </c>
      <c r="J369" s="20">
        <f t="shared" si="51"/>
        <v>0</v>
      </c>
      <c r="K369" s="10">
        <f t="shared" si="54"/>
        <v>-3.4762140963517929E-4</v>
      </c>
      <c r="L369" s="10">
        <f t="shared" si="55"/>
        <v>-2.0857284578101876E-4</v>
      </c>
    </row>
    <row r="370" spans="1:12" x14ac:dyDescent="0.2">
      <c r="A370" s="14">
        <v>0.30499999999999999</v>
      </c>
      <c r="B370" s="10">
        <f t="shared" si="45"/>
        <v>-0.82360006895738069</v>
      </c>
      <c r="C370" s="10">
        <f t="shared" si="46"/>
        <v>0.16060201344668923</v>
      </c>
      <c r="D370" s="10">
        <f t="shared" si="47"/>
        <v>0.72919997665441816</v>
      </c>
      <c r="E370" s="10">
        <f t="shared" si="48"/>
        <v>2.0734211586315157</v>
      </c>
      <c r="F370" s="10">
        <f t="shared" si="52"/>
        <v>-6.7400543051254758E-4</v>
      </c>
      <c r="G370" s="10">
        <f t="shared" si="49"/>
        <v>-0.97164738720821475</v>
      </c>
      <c r="H370" s="10">
        <f t="shared" si="50"/>
        <v>0.2745522647996968</v>
      </c>
      <c r="I370" s="10">
        <f t="shared" si="53"/>
        <v>-3.8842465982735774E-5</v>
      </c>
      <c r="J370" s="20">
        <f t="shared" si="51"/>
        <v>0</v>
      </c>
      <c r="K370" s="10">
        <f t="shared" si="54"/>
        <v>-3.2501641175364249E-4</v>
      </c>
      <c r="L370" s="10">
        <f t="shared" si="55"/>
        <v>-1.9500984705200786E-4</v>
      </c>
    </row>
    <row r="371" spans="1:12" x14ac:dyDescent="0.2">
      <c r="A371" s="14">
        <v>0.30599999999999999</v>
      </c>
      <c r="B371" s="10">
        <f t="shared" si="45"/>
        <v>-0.81888685855442367</v>
      </c>
      <c r="C371" s="10">
        <f t="shared" si="46"/>
        <v>0.15886405055955818</v>
      </c>
      <c r="D371" s="10">
        <f t="shared" si="47"/>
        <v>0.7288975246343623</v>
      </c>
      <c r="E371" s="10">
        <f t="shared" si="48"/>
        <v>2.0727941430395069</v>
      </c>
      <c r="F371" s="10">
        <f t="shared" si="52"/>
        <v>-6.2701559200872836E-4</v>
      </c>
      <c r="G371" s="10">
        <f t="shared" si="49"/>
        <v>-0.97182885842024835</v>
      </c>
      <c r="H371" s="10">
        <f t="shared" si="50"/>
        <v>0.27451612205492981</v>
      </c>
      <c r="I371" s="10">
        <f t="shared" si="53"/>
        <v>-3.6142744766987089E-5</v>
      </c>
      <c r="J371" s="20">
        <f t="shared" si="51"/>
        <v>0</v>
      </c>
      <c r="K371" s="10">
        <f t="shared" si="54"/>
        <v>-3.0245202005585448E-4</v>
      </c>
      <c r="L371" s="10">
        <f t="shared" si="55"/>
        <v>-1.814712120336015E-4</v>
      </c>
    </row>
    <row r="372" spans="1:12" x14ac:dyDescent="0.2">
      <c r="A372" s="14">
        <v>0.307</v>
      </c>
      <c r="B372" s="10">
        <f t="shared" si="45"/>
        <v>-0.81418225160270619</v>
      </c>
      <c r="C372" s="10">
        <f t="shared" si="46"/>
        <v>0.1571371745593223</v>
      </c>
      <c r="D372" s="10">
        <f t="shared" si="47"/>
        <v>0.72861759696959583</v>
      </c>
      <c r="E372" s="10">
        <f t="shared" si="48"/>
        <v>2.0722139918194808</v>
      </c>
      <c r="F372" s="10">
        <f t="shared" si="52"/>
        <v>-5.8015122002608166E-4</v>
      </c>
      <c r="G372" s="10">
        <f t="shared" si="49"/>
        <v>-0.97199681501910828</v>
      </c>
      <c r="H372" s="10">
        <f t="shared" si="50"/>
        <v>0.27448267358590189</v>
      </c>
      <c r="I372" s="10">
        <f t="shared" si="53"/>
        <v>-3.3448469027919092E-5</v>
      </c>
      <c r="J372" s="20">
        <f t="shared" si="51"/>
        <v>0</v>
      </c>
      <c r="K372" s="10">
        <f t="shared" si="54"/>
        <v>-2.7992766476647724E-4</v>
      </c>
      <c r="L372" s="10">
        <f t="shared" si="55"/>
        <v>-1.6795659885993075E-4</v>
      </c>
    </row>
    <row r="373" spans="1:12" x14ac:dyDescent="0.2">
      <c r="A373" s="14">
        <v>0.308</v>
      </c>
      <c r="B373" s="10">
        <f t="shared" si="45"/>
        <v>-0.80948617264409506</v>
      </c>
      <c r="C373" s="10">
        <f t="shared" si="46"/>
        <v>0.15542134514766626</v>
      </c>
      <c r="D373" s="10">
        <f t="shared" si="47"/>
        <v>0.72836015418812905</v>
      </c>
      <c r="E373" s="10">
        <f t="shared" si="48"/>
        <v>2.0716805839495813</v>
      </c>
      <c r="F373" s="10">
        <f t="shared" si="52"/>
        <v>-5.3340786989952704E-4</v>
      </c>
      <c r="G373" s="10">
        <f t="shared" si="49"/>
        <v>-0.9721512806879884</v>
      </c>
      <c r="H373" s="10">
        <f t="shared" si="50"/>
        <v>0.27445191406519415</v>
      </c>
      <c r="I373" s="10">
        <f t="shared" si="53"/>
        <v>-3.0759520707746013E-5</v>
      </c>
      <c r="J373" s="20">
        <f t="shared" si="51"/>
        <v>0</v>
      </c>
      <c r="K373" s="10">
        <f t="shared" si="54"/>
        <v>-2.5744278146677679E-4</v>
      </c>
      <c r="L373" s="10">
        <f t="shared" si="55"/>
        <v>-1.5446566888011048E-4</v>
      </c>
    </row>
    <row r="374" spans="1:12" x14ac:dyDescent="0.2">
      <c r="A374" s="14">
        <v>0.309</v>
      </c>
      <c r="B374" s="10">
        <f t="shared" si="45"/>
        <v>-0.80479854686992458</v>
      </c>
      <c r="C374" s="10">
        <f t="shared" si="46"/>
        <v>0.15371652245215559</v>
      </c>
      <c r="D374" s="10">
        <f t="shared" si="47"/>
        <v>0.72812515737712258</v>
      </c>
      <c r="E374" s="10">
        <f t="shared" si="48"/>
        <v>2.0711938028171764</v>
      </c>
      <c r="F374" s="10">
        <f t="shared" si="52"/>
        <v>-4.8678113240496756E-4</v>
      </c>
      <c r="G374" s="10">
        <f t="shared" si="49"/>
        <v>-0.97229227877459223</v>
      </c>
      <c r="H374" s="10">
        <f t="shared" si="50"/>
        <v>0.27442383828252204</v>
      </c>
      <c r="I374" s="10">
        <f t="shared" si="53"/>
        <v>-2.8075782672110083E-5</v>
      </c>
      <c r="J374" s="20">
        <f t="shared" si="51"/>
        <v>0</v>
      </c>
      <c r="K374" s="10">
        <f t="shared" si="54"/>
        <v>-2.3499681100647152E-4</v>
      </c>
      <c r="L374" s="10">
        <f t="shared" si="55"/>
        <v>-1.409980866038385E-4</v>
      </c>
    </row>
    <row r="375" spans="1:12" x14ac:dyDescent="0.2">
      <c r="A375" s="14">
        <v>0.31</v>
      </c>
      <c r="B375" s="10">
        <f t="shared" si="45"/>
        <v>-0.80011930011211307</v>
      </c>
      <c r="C375" s="10">
        <f t="shared" si="46"/>
        <v>0.15202266702130149</v>
      </c>
      <c r="D375" s="10">
        <f t="shared" si="47"/>
        <v>0.72791256817771066</v>
      </c>
      <c r="E375" s="10">
        <f t="shared" si="48"/>
        <v>2.0707535361844323</v>
      </c>
      <c r="F375" s="10">
        <f t="shared" si="52"/>
        <v>-4.4026663274410183E-4</v>
      </c>
      <c r="G375" s="10">
        <f t="shared" si="49"/>
        <v>-0.97241983229423945</v>
      </c>
      <c r="H375" s="10">
        <f t="shared" si="50"/>
        <v>0.27439844114382728</v>
      </c>
      <c r="I375" s="10">
        <f t="shared" si="53"/>
        <v>-2.5397138694760457E-5</v>
      </c>
      <c r="J375" s="20">
        <f t="shared" si="51"/>
        <v>0</v>
      </c>
      <c r="K375" s="10">
        <f t="shared" si="54"/>
        <v>-2.1258919941191667E-4</v>
      </c>
      <c r="L375" s="10">
        <f t="shared" si="55"/>
        <v>-1.2755351964721662E-4</v>
      </c>
    </row>
    <row r="376" spans="1:12" x14ac:dyDescent="0.2">
      <c r="A376" s="14">
        <v>0.311</v>
      </c>
      <c r="B376" s="10">
        <f t="shared" si="45"/>
        <v>-0.79544835883442455</v>
      </c>
      <c r="C376" s="10">
        <f t="shared" si="46"/>
        <v>0.15033973981970625</v>
      </c>
      <c r="D376" s="10">
        <f t="shared" si="47"/>
        <v>0.72772234877990816</v>
      </c>
      <c r="E376" s="10">
        <f t="shared" si="48"/>
        <v>2.0703596761548781</v>
      </c>
      <c r="F376" s="10">
        <f t="shared" si="52"/>
        <v>-3.9386002955410504E-4</v>
      </c>
      <c r="G376" s="10">
        <f t="shared" si="49"/>
        <v>-0.97253396393292091</v>
      </c>
      <c r="H376" s="10">
        <f t="shared" si="50"/>
        <v>0.27437571767038532</v>
      </c>
      <c r="I376" s="10">
        <f t="shared" si="53"/>
        <v>-2.2723473441954578E-5</v>
      </c>
      <c r="J376" s="20">
        <f t="shared" si="51"/>
        <v>0</v>
      </c>
      <c r="K376" s="10">
        <f t="shared" si="54"/>
        <v>-1.9021939780250463E-4</v>
      </c>
      <c r="L376" s="10">
        <f t="shared" si="55"/>
        <v>-1.1413163868145837E-4</v>
      </c>
    </row>
    <row r="377" spans="1:12" x14ac:dyDescent="0.2">
      <c r="A377" s="14">
        <v>0.312</v>
      </c>
      <c r="B377" s="10">
        <f t="shared" si="45"/>
        <v>-0.79078565012386126</v>
      </c>
      <c r="C377" s="10">
        <f t="shared" si="46"/>
        <v>0.14866770222328593</v>
      </c>
      <c r="D377" s="10">
        <f t="shared" si="47"/>
        <v>0.72755446191760709</v>
      </c>
      <c r="E377" s="10">
        <f t="shared" si="48"/>
        <v>2.0700121191409582</v>
      </c>
      <c r="F377" s="10">
        <f t="shared" si="52"/>
        <v>-3.4755701391997462E-4</v>
      </c>
      <c r="G377" s="10">
        <f t="shared" si="49"/>
        <v>-0.97263469605030162</v>
      </c>
      <c r="H377" s="10">
        <f t="shared" si="50"/>
        <v>0.27435566299792891</v>
      </c>
      <c r="I377" s="10">
        <f t="shared" si="53"/>
        <v>-2.0054672456415457E-5</v>
      </c>
      <c r="J377" s="20">
        <f t="shared" si="51"/>
        <v>0</v>
      </c>
      <c r="K377" s="10">
        <f t="shared" si="54"/>
        <v>-1.6788686230106986E-4</v>
      </c>
      <c r="L377" s="10">
        <f t="shared" si="55"/>
        <v>-1.0073211738070853E-4</v>
      </c>
    </row>
    <row r="378" spans="1:12" x14ac:dyDescent="0.2">
      <c r="A378" s="14">
        <v>0.313</v>
      </c>
      <c r="B378" s="10">
        <f t="shared" si="45"/>
        <v>-0.78613110168219613</v>
      </c>
      <c r="C378" s="10">
        <f t="shared" si="46"/>
        <v>0.14700651601457068</v>
      </c>
      <c r="D378" s="10">
        <f t="shared" si="47"/>
        <v>0.72740887086365424</v>
      </c>
      <c r="E378" s="10">
        <f t="shared" si="48"/>
        <v>2.0697107658325429</v>
      </c>
      <c r="F378" s="10">
        <f t="shared" si="52"/>
        <v>-3.0135330841529751E-4</v>
      </c>
      <c r="G378" s="10">
        <f t="shared" si="49"/>
        <v>-0.97272205068267337</v>
      </c>
      <c r="H378" s="10">
        <f t="shared" si="50"/>
        <v>0.27433827237578562</v>
      </c>
      <c r="I378" s="10">
        <f t="shared" si="53"/>
        <v>-1.7390622143287349E-5</v>
      </c>
      <c r="J378" s="20">
        <f t="shared" si="51"/>
        <v>0</v>
      </c>
      <c r="K378" s="10">
        <f t="shared" si="54"/>
        <v>-1.4559105395284266E-4</v>
      </c>
      <c r="L378" s="10">
        <f t="shared" si="55"/>
        <v>-8.7354632371750007E-5</v>
      </c>
    </row>
    <row r="379" spans="1:12" x14ac:dyDescent="0.2">
      <c r="A379" s="14">
        <v>0.314</v>
      </c>
      <c r="B379" s="10">
        <f t="shared" si="45"/>
        <v>-0.78148464181763178</v>
      </c>
      <c r="C379" s="10">
        <f t="shared" si="46"/>
        <v>0.14535614337807951</v>
      </c>
      <c r="D379" s="10">
        <f t="shared" si="47"/>
        <v>0.72728553942501351</v>
      </c>
      <c r="E379" s="10">
        <f t="shared" si="48"/>
        <v>2.0694555211663919</v>
      </c>
      <c r="F379" s="10">
        <f t="shared" si="52"/>
        <v>-2.5524466615101105E-4</v>
      </c>
      <c r="G379" s="10">
        <f t="shared" si="49"/>
        <v>-0.97279604954585763</v>
      </c>
      <c r="H379" s="10">
        <f t="shared" si="50"/>
        <v>0.27432354116603147</v>
      </c>
      <c r="I379" s="10">
        <f t="shared" si="53"/>
        <v>-1.4731209754148544E-5</v>
      </c>
      <c r="J379" s="20">
        <f t="shared" si="51"/>
        <v>0</v>
      </c>
      <c r="K379" s="10">
        <f t="shared" si="54"/>
        <v>-1.2333143864073914E-4</v>
      </c>
      <c r="L379" s="10">
        <f t="shared" si="55"/>
        <v>-7.3998863184265851E-5</v>
      </c>
    </row>
    <row r="380" spans="1:12" x14ac:dyDescent="0.2">
      <c r="A380" s="14">
        <v>0.315</v>
      </c>
      <c r="B380" s="10">
        <f t="shared" si="45"/>
        <v>-0.77684619943659228</v>
      </c>
      <c r="C380" s="10">
        <f t="shared" si="46"/>
        <v>0.14371654689576957</v>
      </c>
      <c r="D380" s="10">
        <f t="shared" si="47"/>
        <v>0.72718443193800897</v>
      </c>
      <c r="E380" s="10">
        <f t="shared" si="48"/>
        <v>2.0692462942965588</v>
      </c>
      <c r="F380" s="10">
        <f t="shared" si="52"/>
        <v>-2.0922686983304573E-4</v>
      </c>
      <c r="G380" s="10">
        <f t="shared" si="49"/>
        <v>-0.97285671403806051</v>
      </c>
      <c r="H380" s="10">
        <f t="shared" si="50"/>
        <v>0.27431146484265784</v>
      </c>
      <c r="I380" s="10">
        <f t="shared" si="53"/>
        <v>-1.207632337363318E-5</v>
      </c>
      <c r="J380" s="20">
        <f t="shared" si="51"/>
        <v>0</v>
      </c>
      <c r="K380" s="10">
        <f t="shared" si="54"/>
        <v>-1.0110748700453698E-4</v>
      </c>
      <c r="L380" s="10">
        <f t="shared" si="55"/>
        <v>-6.0664492202877618E-5</v>
      </c>
    </row>
    <row r="381" spans="1:12" x14ac:dyDescent="0.2">
      <c r="A381" s="14">
        <v>0.316</v>
      </c>
      <c r="B381" s="10">
        <f t="shared" si="45"/>
        <v>-0.77221570403563833</v>
      </c>
      <c r="C381" s="10">
        <f t="shared" si="46"/>
        <v>0.14208768954255746</v>
      </c>
      <c r="D381" s="10">
        <f t="shared" si="47"/>
        <v>0.72710551326364836</v>
      </c>
      <c r="E381" s="10">
        <f t="shared" si="48"/>
        <v>2.0690829985657135</v>
      </c>
      <c r="F381" s="10">
        <f t="shared" si="52"/>
        <v>-1.6329573084528093E-4</v>
      </c>
      <c r="G381" s="10">
        <f t="shared" si="49"/>
        <v>-0.97290406524267681</v>
      </c>
      <c r="H381" s="10">
        <f t="shared" si="50"/>
        <v>0.27430203899075417</v>
      </c>
      <c r="I381" s="10">
        <f t="shared" si="53"/>
        <v>-9.4258519036660715E-6</v>
      </c>
      <c r="J381" s="20">
        <f t="shared" si="51"/>
        <v>0</v>
      </c>
      <c r="K381" s="10">
        <f t="shared" si="54"/>
        <v>-7.8918674360606289E-5</v>
      </c>
      <c r="L381" s="10">
        <f t="shared" si="55"/>
        <v>-4.735120461629716E-5</v>
      </c>
    </row>
    <row r="382" spans="1:12" x14ac:dyDescent="0.2">
      <c r="A382" s="14">
        <v>0.317</v>
      </c>
      <c r="B382" s="10">
        <f t="shared" si="45"/>
        <v>-0.76759308569350948</v>
      </c>
      <c r="C382" s="10">
        <f t="shared" si="46"/>
        <v>0.14046953468191223</v>
      </c>
      <c r="D382" s="10">
        <f t="shared" si="47"/>
        <v>0.72704874878302395</v>
      </c>
      <c r="E382" s="10">
        <f t="shared" si="48"/>
        <v>2.0689655514773739</v>
      </c>
      <c r="F382" s="10">
        <f t="shared" si="52"/>
        <v>-1.1744708833960615E-4</v>
      </c>
      <c r="G382" s="10">
        <f t="shared" si="49"/>
        <v>-0.97293812393105139</v>
      </c>
      <c r="H382" s="10">
        <f t="shared" si="50"/>
        <v>0.27429525930570348</v>
      </c>
      <c r="I382" s="10">
        <f t="shared" si="53"/>
        <v>-6.77968505069515E-6</v>
      </c>
      <c r="J382" s="20">
        <f t="shared" si="51"/>
        <v>0</v>
      </c>
      <c r="K382" s="10">
        <f t="shared" si="54"/>
        <v>-5.676448062441608E-5</v>
      </c>
      <c r="L382" s="10">
        <f t="shared" si="55"/>
        <v>-3.4058688374583035E-5</v>
      </c>
    </row>
    <row r="383" spans="1:12" x14ac:dyDescent="0.2">
      <c r="A383" s="14">
        <v>0.318</v>
      </c>
      <c r="B383" s="10">
        <f t="shared" si="45"/>
        <v>-0.76297827506328519</v>
      </c>
      <c r="C383" s="10">
        <f t="shared" si="46"/>
        <v>0.13886204606151789</v>
      </c>
      <c r="D383" s="10">
        <f t="shared" si="47"/>
        <v>0.7270141043927929</v>
      </c>
      <c r="E383" s="10">
        <f t="shared" si="48"/>
        <v>2.0688938746690408</v>
      </c>
      <c r="F383" s="10">
        <f t="shared" si="52"/>
        <v>-7.1676808333087649E-5</v>
      </c>
      <c r="G383" s="10">
        <f t="shared" si="49"/>
        <v>-0.97295891056519013</v>
      </c>
      <c r="H383" s="10">
        <f t="shared" si="50"/>
        <v>0.27429112159239294</v>
      </c>
      <c r="I383" s="10">
        <f t="shared" si="53"/>
        <v>-4.1377133105369168E-6</v>
      </c>
      <c r="J383" s="20">
        <f t="shared" si="51"/>
        <v>0</v>
      </c>
      <c r="K383" s="10">
        <f t="shared" si="54"/>
        <v>-3.4644390231042266E-5</v>
      </c>
      <c r="L383" s="10">
        <f t="shared" si="55"/>
        <v>-2.0786634138736382E-5</v>
      </c>
    </row>
    <row r="384" spans="1:12" x14ac:dyDescent="0.2">
      <c r="A384" s="14">
        <v>0.31900000000000001</v>
      </c>
      <c r="B384" s="10">
        <f t="shared" si="45"/>
        <v>-0.75837120336466779</v>
      </c>
      <c r="C384" s="10">
        <f t="shared" si="46"/>
        <v>0.13726518780900487</v>
      </c>
      <c r="D384" s="10">
        <f t="shared" si="47"/>
        <v>0.72700154650073112</v>
      </c>
      <c r="E384" s="10">
        <f t="shared" si="48"/>
        <v>2.0688678938862077</v>
      </c>
      <c r="F384" s="10">
        <f t="shared" si="52"/>
        <v>-2.598078283311267E-5</v>
      </c>
      <c r="G384" s="10">
        <f t="shared" si="49"/>
        <v>-0.9729664453004272</v>
      </c>
      <c r="H384" s="10">
        <f t="shared" si="50"/>
        <v>0.274289621764437</v>
      </c>
      <c r="I384" s="10">
        <f t="shared" si="53"/>
        <v>-1.4998279559419458E-6</v>
      </c>
      <c r="J384" s="20">
        <f t="shared" si="51"/>
        <v>0</v>
      </c>
      <c r="K384" s="10">
        <f t="shared" si="54"/>
        <v>-1.2557892061781928E-5</v>
      </c>
      <c r="L384" s="10">
        <f t="shared" si="55"/>
        <v>-7.5347352370691567E-6</v>
      </c>
    </row>
    <row r="385" spans="1:12" x14ac:dyDescent="0.2">
      <c r="A385" s="14">
        <v>0.32</v>
      </c>
      <c r="B385" s="10">
        <f t="shared" si="45"/>
        <v>-0.75377180237638008</v>
      </c>
      <c r="C385" s="10">
        <f t="shared" si="46"/>
        <v>0.1356789244277484</v>
      </c>
      <c r="D385" s="10">
        <f t="shared" si="47"/>
        <v>0.7270110420213638</v>
      </c>
      <c r="E385" s="10">
        <f t="shared" si="48"/>
        <v>2.0688875389572505</v>
      </c>
      <c r="F385" s="10">
        <f t="shared" si="52"/>
        <v>1.9645071042795337E-5</v>
      </c>
      <c r="G385" s="10">
        <f t="shared" si="49"/>
        <v>-0.97296074798804766</v>
      </c>
      <c r="H385" s="10">
        <f t="shared" si="50"/>
        <v>0.27429075584341495</v>
      </c>
      <c r="I385" s="10">
        <f t="shared" si="53"/>
        <v>1.1340789779490379E-6</v>
      </c>
      <c r="J385" s="20">
        <f t="shared" si="51"/>
        <v>0</v>
      </c>
      <c r="K385" s="10">
        <f t="shared" si="54"/>
        <v>9.4955206326741148E-6</v>
      </c>
      <c r="L385" s="10">
        <f t="shared" si="55"/>
        <v>5.6973123795378555E-6</v>
      </c>
    </row>
    <row r="386" spans="1:12" x14ac:dyDescent="0.2">
      <c r="A386" s="14">
        <v>0.32100000000000001</v>
      </c>
      <c r="B386" s="10">
        <f t="shared" ref="B386:B449" si="56">LN(A386/(1-A386))</f>
        <v>-0.74918000442868027</v>
      </c>
      <c r="C386" s="10">
        <f t="shared" ref="C386:C449" si="57">(A386-0.5)*B386</f>
        <v>0.13410322079273376</v>
      </c>
      <c r="D386" s="10">
        <f t="shared" ref="D386:D449" si="58">$B$45+$B$46*B386+$B$47*C386</f>
        <v>0.72704255837166865</v>
      </c>
      <c r="E386" s="10">
        <f t="shared" ref="E386:E449" si="59">$B$14+EXP(D386)</f>
        <v>2.0689527437691728</v>
      </c>
      <c r="F386" s="10">
        <f t="shared" si="52"/>
        <v>6.5204811922292549E-5</v>
      </c>
      <c r="G386" s="10">
        <f t="shared" ref="G386:G449" si="60">$C$45+$C$46*B386+$C$47*C386</f>
        <v>-0.9729418381778645</v>
      </c>
      <c r="H386" s="10">
        <f t="shared" ref="H386:H449" si="61">$C$14+($C$15-$C$14)/(1+EXP(-G386))</f>
        <v>0.27429451995812104</v>
      </c>
      <c r="I386" s="10">
        <f t="shared" si="53"/>
        <v>3.7641147060951674E-6</v>
      </c>
      <c r="J386" s="20">
        <f t="shared" ref="J386:J449" si="62">G386-($B$22+$B$21*D386)</f>
        <v>0</v>
      </c>
      <c r="K386" s="10">
        <f t="shared" si="54"/>
        <v>3.1516350304849894E-5</v>
      </c>
      <c r="L386" s="10">
        <f t="shared" si="55"/>
        <v>1.8909810183154185E-5</v>
      </c>
    </row>
    <row r="387" spans="1:12" x14ac:dyDescent="0.2">
      <c r="A387" s="14">
        <v>0.32200000000000001</v>
      </c>
      <c r="B387" s="10">
        <f t="shared" si="56"/>
        <v>-0.74459574239598714</v>
      </c>
      <c r="C387" s="10">
        <f t="shared" si="57"/>
        <v>0.13253804214648571</v>
      </c>
      <c r="D387" s="10">
        <f t="shared" si="58"/>
        <v>0.72709606346685129</v>
      </c>
      <c r="E387" s="10">
        <f t="shared" si="59"/>
        <v>2.0690634462442037</v>
      </c>
      <c r="F387" s="10">
        <f t="shared" ref="F387:F450" si="63">E387-E386</f>
        <v>1.1070247503086605E-4</v>
      </c>
      <c r="G387" s="10">
        <f t="shared" si="60"/>
        <v>-0.97290973512075507</v>
      </c>
      <c r="H387" s="10">
        <f t="shared" si="61"/>
        <v>0.27430091034382792</v>
      </c>
      <c r="I387" s="10">
        <f t="shared" ref="I387:I450" si="64">H387-H386</f>
        <v>6.39038570687811E-6</v>
      </c>
      <c r="J387" s="20">
        <f t="shared" si="62"/>
        <v>0</v>
      </c>
      <c r="K387" s="10">
        <f t="shared" ref="K387:K450" si="65">D387-D386</f>
        <v>5.3505095182648787E-5</v>
      </c>
      <c r="L387" s="10">
        <f t="shared" ref="L387:L450" si="66">G387-G386</f>
        <v>3.2103057109433841E-5</v>
      </c>
    </row>
    <row r="388" spans="1:12" x14ac:dyDescent="0.2">
      <c r="A388" s="14">
        <v>0.32300000000000001</v>
      </c>
      <c r="B388" s="10">
        <f t="shared" si="56"/>
        <v>-0.74001894968961845</v>
      </c>
      <c r="C388" s="10">
        <f t="shared" si="57"/>
        <v>0.13098335409506245</v>
      </c>
      <c r="D388" s="10">
        <f t="shared" si="58"/>
        <v>0.72717152571619192</v>
      </c>
      <c r="E388" s="10">
        <f t="shared" si="59"/>
        <v>2.0692195883172273</v>
      </c>
      <c r="F388" s="10">
        <f t="shared" si="63"/>
        <v>1.5614207302361294E-4</v>
      </c>
      <c r="G388" s="10">
        <f t="shared" si="60"/>
        <v>-0.97286445777115071</v>
      </c>
      <c r="H388" s="10">
        <f t="shared" si="61"/>
        <v>0.27430992334156279</v>
      </c>
      <c r="I388" s="10">
        <f t="shared" si="64"/>
        <v>9.0129977348696322E-6</v>
      </c>
      <c r="J388" s="20">
        <f t="shared" si="62"/>
        <v>0</v>
      </c>
      <c r="K388" s="10">
        <f t="shared" si="65"/>
        <v>7.5462249340629839E-5</v>
      </c>
      <c r="L388" s="10">
        <f t="shared" si="66"/>
        <v>4.5277349604355699E-5</v>
      </c>
    </row>
    <row r="389" spans="1:12" x14ac:dyDescent="0.2">
      <c r="A389" s="14">
        <v>0.32400000000000001</v>
      </c>
      <c r="B389" s="10">
        <f t="shared" si="56"/>
        <v>-0.73544956025063457</v>
      </c>
      <c r="C389" s="10">
        <f t="shared" si="57"/>
        <v>0.12943912260411167</v>
      </c>
      <c r="D389" s="10">
        <f t="shared" si="58"/>
        <v>0.72726891401896188</v>
      </c>
      <c r="E389" s="10">
        <f t="shared" si="59"/>
        <v>2.0694211159140479</v>
      </c>
      <c r="F389" s="10">
        <f t="shared" si="63"/>
        <v>2.0152759682057209E-4</v>
      </c>
      <c r="G389" s="10">
        <f t="shared" si="60"/>
        <v>-0.97280602478948874</v>
      </c>
      <c r="H389" s="10">
        <f t="shared" si="61"/>
        <v>0.27432155539739622</v>
      </c>
      <c r="I389" s="10">
        <f t="shared" si="64"/>
        <v>1.1632055833432631E-5</v>
      </c>
      <c r="J389" s="20">
        <f t="shared" si="62"/>
        <v>0</v>
      </c>
      <c r="K389" s="10">
        <f t="shared" si="65"/>
        <v>9.7388302769951807E-5</v>
      </c>
      <c r="L389" s="10">
        <f t="shared" si="66"/>
        <v>5.8432981661971084E-5</v>
      </c>
    </row>
    <row r="390" spans="1:12" x14ac:dyDescent="0.2">
      <c r="A390" s="14">
        <v>0.32500000000000001</v>
      </c>
      <c r="B390" s="10">
        <f t="shared" si="56"/>
        <v>-0.73088750854279239</v>
      </c>
      <c r="C390" s="10">
        <f t="shared" si="57"/>
        <v>0.12790531399498867</v>
      </c>
      <c r="D390" s="10">
        <f t="shared" si="58"/>
        <v>0.72738819776040886</v>
      </c>
      <c r="E390" s="10">
        <f t="shared" si="59"/>
        <v>2.0696679789304633</v>
      </c>
      <c r="F390" s="10">
        <f t="shared" si="63"/>
        <v>2.4686301641541064E-4</v>
      </c>
      <c r="G390" s="10">
        <f t="shared" si="60"/>
        <v>-0.9727344545446206</v>
      </c>
      <c r="H390" s="10">
        <f t="shared" si="61"/>
        <v>0.27433580306174332</v>
      </c>
      <c r="I390" s="10">
        <f t="shared" si="64"/>
        <v>1.424766434710012E-5</v>
      </c>
      <c r="J390" s="20">
        <f t="shared" si="62"/>
        <v>0</v>
      </c>
      <c r="K390" s="10">
        <f t="shared" si="65"/>
        <v>1.1928374144698495E-4</v>
      </c>
      <c r="L390" s="10">
        <f t="shared" si="66"/>
        <v>7.157024486814656E-5</v>
      </c>
    </row>
    <row r="391" spans="1:12" x14ac:dyDescent="0.2">
      <c r="A391" s="14">
        <v>0.32600000000000001</v>
      </c>
      <c r="B391" s="10">
        <f t="shared" si="56"/>
        <v>-0.72633272954559924</v>
      </c>
      <c r="C391" s="10">
        <f t="shared" si="57"/>
        <v>0.12638189494093427</v>
      </c>
      <c r="D391" s="10">
        <f t="shared" si="58"/>
        <v>0.7275293468078099</v>
      </c>
      <c r="E391" s="10">
        <f t="shared" si="59"/>
        <v>2.0699601312121487</v>
      </c>
      <c r="F391" s="10">
        <f t="shared" si="63"/>
        <v>2.9215228168544272E-4</v>
      </c>
      <c r="G391" s="10">
        <f t="shared" si="60"/>
        <v>-0.97264976511618007</v>
      </c>
      <c r="H391" s="10">
        <f t="shared" si="61"/>
        <v>0.27435266298867694</v>
      </c>
      <c r="I391" s="10">
        <f t="shared" si="64"/>
        <v>1.685992693362115E-5</v>
      </c>
      <c r="J391" s="20">
        <f t="shared" si="62"/>
        <v>0</v>
      </c>
      <c r="K391" s="10">
        <f t="shared" si="65"/>
        <v>1.4114904740103462E-4</v>
      </c>
      <c r="L391" s="10">
        <f t="shared" si="66"/>
        <v>8.4689428440531955E-5</v>
      </c>
    </row>
    <row r="392" spans="1:12" x14ac:dyDescent="0.2">
      <c r="A392" s="14">
        <v>0.32700000000000001</v>
      </c>
      <c r="B392" s="10">
        <f t="shared" si="56"/>
        <v>-0.7217851587474744</v>
      </c>
      <c r="C392" s="10">
        <f t="shared" si="57"/>
        <v>0.12486883246331307</v>
      </c>
      <c r="D392" s="10">
        <f t="shared" si="58"/>
        <v>0.72769233150659041</v>
      </c>
      <c r="E392" s="10">
        <f t="shared" si="59"/>
        <v>2.0702975305353384</v>
      </c>
      <c r="F392" s="10">
        <f t="shared" si="63"/>
        <v>3.3739932318965771E-4</v>
      </c>
      <c r="G392" s="10">
        <f t="shared" si="60"/>
        <v>-0.97255197429691154</v>
      </c>
      <c r="H392" s="10">
        <f t="shared" si="61"/>
        <v>0.27437213193525323</v>
      </c>
      <c r="I392" s="10">
        <f t="shared" si="64"/>
        <v>1.9468946576284285E-5</v>
      </c>
      <c r="J392" s="20">
        <f t="shared" si="62"/>
        <v>0</v>
      </c>
      <c r="K392" s="10">
        <f t="shared" si="65"/>
        <v>1.6298469878051058E-4</v>
      </c>
      <c r="L392" s="10">
        <f t="shared" si="66"/>
        <v>9.7790819268528395E-5</v>
      </c>
    </row>
    <row r="393" spans="1:12" x14ac:dyDescent="0.2">
      <c r="A393" s="14">
        <v>0.32800000000000001</v>
      </c>
      <c r="B393" s="10">
        <f t="shared" si="56"/>
        <v>-0.71724473213900564</v>
      </c>
      <c r="C393" s="10">
        <f t="shared" si="57"/>
        <v>0.12336609392790895</v>
      </c>
      <c r="D393" s="10">
        <f t="shared" si="58"/>
        <v>0.72787712267651061</v>
      </c>
      <c r="E393" s="10">
        <f t="shared" si="59"/>
        <v>2.0706801385882954</v>
      </c>
      <c r="F393" s="10">
        <f t="shared" si="63"/>
        <v>3.8260805295697864E-4</v>
      </c>
      <c r="G393" s="10">
        <f t="shared" si="60"/>
        <v>-0.97244109959495939</v>
      </c>
      <c r="H393" s="10">
        <f t="shared" si="61"/>
        <v>0.27439420676084864</v>
      </c>
      <c r="I393" s="10">
        <f t="shared" si="64"/>
        <v>2.2074825595408409E-5</v>
      </c>
      <c r="J393" s="20">
        <f t="shared" si="62"/>
        <v>0</v>
      </c>
      <c r="K393" s="10">
        <f t="shared" si="65"/>
        <v>1.847911699202065E-4</v>
      </c>
      <c r="L393" s="10">
        <f t="shared" si="66"/>
        <v>1.108747019521461E-4</v>
      </c>
    </row>
    <row r="394" spans="1:12" x14ac:dyDescent="0.2">
      <c r="A394" s="14">
        <v>0.32900000000000001</v>
      </c>
      <c r="B394" s="10">
        <f t="shared" si="56"/>
        <v>-0.71271138620630992</v>
      </c>
      <c r="C394" s="10">
        <f t="shared" si="57"/>
        <v>0.12187364704127898</v>
      </c>
      <c r="D394" s="10">
        <f t="shared" si="58"/>
        <v>0.72808369160791253</v>
      </c>
      <c r="E394" s="10">
        <f t="shared" si="59"/>
        <v>2.0711079209535503</v>
      </c>
      <c r="F394" s="10">
        <f t="shared" si="63"/>
        <v>4.2778236525498059E-4</v>
      </c>
      <c r="G394" s="10">
        <f t="shared" si="60"/>
        <v>-0.9723171582361182</v>
      </c>
      <c r="H394" s="10">
        <f t="shared" si="61"/>
        <v>0.27441888442650869</v>
      </c>
      <c r="I394" s="10">
        <f t="shared" si="64"/>
        <v>2.4677665660055581E-5</v>
      </c>
      <c r="J394" s="20">
        <f t="shared" si="62"/>
        <v>0</v>
      </c>
      <c r="K394" s="10">
        <f t="shared" si="65"/>
        <v>2.0656893140191812E-4</v>
      </c>
      <c r="L394" s="10">
        <f t="shared" si="66"/>
        <v>1.2394135884119528E-4</v>
      </c>
    </row>
    <row r="395" spans="1:12" x14ac:dyDescent="0.2">
      <c r="A395" s="14">
        <v>0.33</v>
      </c>
      <c r="B395" s="10">
        <f t="shared" si="56"/>
        <v>-0.70818505792448561</v>
      </c>
      <c r="C395" s="10">
        <f t="shared" si="57"/>
        <v>0.12039145984716254</v>
      </c>
      <c r="D395" s="10">
        <f t="shared" si="58"/>
        <v>0.72831201005803536</v>
      </c>
      <c r="E395" s="10">
        <f t="shared" si="59"/>
        <v>2.0715808470909267</v>
      </c>
      <c r="F395" s="10">
        <f t="shared" si="63"/>
        <v>4.7292613737637268E-4</v>
      </c>
      <c r="G395" s="10">
        <f t="shared" si="60"/>
        <v>-0.97218016716604461</v>
      </c>
      <c r="H395" s="10">
        <f t="shared" si="61"/>
        <v>0.27444616199430855</v>
      </c>
      <c r="I395" s="10">
        <f t="shared" si="64"/>
        <v>2.7277567799854907E-5</v>
      </c>
      <c r="J395" s="20">
        <f t="shared" si="62"/>
        <v>0</v>
      </c>
      <c r="K395" s="10">
        <f t="shared" si="65"/>
        <v>2.2831845012283303E-4</v>
      </c>
      <c r="L395" s="10">
        <f t="shared" si="66"/>
        <v>1.3699107007358879E-4</v>
      </c>
    </row>
    <row r="396" spans="1:12" x14ac:dyDescent="0.2">
      <c r="A396" s="14">
        <v>0.33100000000000002</v>
      </c>
      <c r="B396" s="10">
        <f t="shared" si="56"/>
        <v>-0.70366568475116553</v>
      </c>
      <c r="C396" s="10">
        <f t="shared" si="57"/>
        <v>0.11891950072294696</v>
      </c>
      <c r="D396" s="10">
        <f t="shared" si="58"/>
        <v>0.7285620502473884</v>
      </c>
      <c r="E396" s="10">
        <f t="shared" si="59"/>
        <v>2.0720988903213082</v>
      </c>
      <c r="F396" s="10">
        <f t="shared" si="63"/>
        <v>5.1804323038151523E-4</v>
      </c>
      <c r="G396" s="10">
        <f t="shared" si="60"/>
        <v>-0.97203014305243274</v>
      </c>
      <c r="H396" s="10">
        <f t="shared" si="61"/>
        <v>0.27447603662672404</v>
      </c>
      <c r="I396" s="10">
        <f t="shared" si="64"/>
        <v>2.9874632415494151E-5</v>
      </c>
      <c r="J396" s="20">
        <f t="shared" si="62"/>
        <v>0</v>
      </c>
      <c r="K396" s="10">
        <f t="shared" si="65"/>
        <v>2.5004018935304018E-4</v>
      </c>
      <c r="L396" s="10">
        <f t="shared" si="66"/>
        <v>1.5002411361186851E-4</v>
      </c>
    </row>
    <row r="397" spans="1:12" x14ac:dyDescent="0.2">
      <c r="A397" s="14">
        <v>0.33200000000000002</v>
      </c>
      <c r="B397" s="10">
        <f t="shared" si="56"/>
        <v>-0.69915320462015695</v>
      </c>
      <c r="C397" s="10">
        <f t="shared" si="57"/>
        <v>0.11745773837618635</v>
      </c>
      <c r="D397" s="10">
        <f t="shared" si="58"/>
        <v>0.72883378485618922</v>
      </c>
      <c r="E397" s="10">
        <f t="shared" si="59"/>
        <v>2.0726620278111736</v>
      </c>
      <c r="F397" s="10">
        <f t="shared" si="63"/>
        <v>5.6313748986536183E-4</v>
      </c>
      <c r="G397" s="10">
        <f t="shared" si="60"/>
        <v>-0.97186710228715234</v>
      </c>
      <c r="H397" s="10">
        <f t="shared" si="61"/>
        <v>0.27450850558601447</v>
      </c>
      <c r="I397" s="10">
        <f t="shared" si="64"/>
        <v>3.2468959290432586E-5</v>
      </c>
      <c r="J397" s="20">
        <f t="shared" si="62"/>
        <v>0</v>
      </c>
      <c r="K397" s="10">
        <f t="shared" si="65"/>
        <v>2.7173460880081102E-4</v>
      </c>
      <c r="L397" s="10">
        <f t="shared" si="66"/>
        <v>1.6304076528039779E-4</v>
      </c>
    </row>
    <row r="398" spans="1:12" x14ac:dyDescent="0.2">
      <c r="A398" s="14">
        <v>0.33300000000000002</v>
      </c>
      <c r="B398" s="10">
        <f t="shared" si="56"/>
        <v>-0.69464755593517991</v>
      </c>
      <c r="C398" s="10">
        <f t="shared" si="57"/>
        <v>0.11600614184117503</v>
      </c>
      <c r="D398" s="10">
        <f t="shared" si="58"/>
        <v>0.72912718702085966</v>
      </c>
      <c r="E398" s="10">
        <f t="shared" si="59"/>
        <v>2.0732702405578687</v>
      </c>
      <c r="F398" s="10">
        <f t="shared" si="63"/>
        <v>6.0821274669509151E-4</v>
      </c>
      <c r="G398" s="10">
        <f t="shared" si="60"/>
        <v>-0.97169106098835001</v>
      </c>
      <c r="H398" s="10">
        <f t="shared" si="61"/>
        <v>0.2745435662336162</v>
      </c>
      <c r="I398" s="10">
        <f t="shared" si="64"/>
        <v>3.506064760172567E-5</v>
      </c>
      <c r="J398" s="20">
        <f t="shared" si="62"/>
        <v>0</v>
      </c>
      <c r="K398" s="10">
        <f t="shared" si="65"/>
        <v>2.9340216467044211E-4</v>
      </c>
      <c r="L398" s="10">
        <f t="shared" si="66"/>
        <v>1.7604129880233188E-4</v>
      </c>
    </row>
    <row r="399" spans="1:12" x14ac:dyDescent="0.2">
      <c r="A399" s="14">
        <v>0.33400000000000002</v>
      </c>
      <c r="B399" s="10">
        <f t="shared" si="56"/>
        <v>-0.69014867756368847</v>
      </c>
      <c r="C399" s="10">
        <f t="shared" si="57"/>
        <v>0.11456468047557228</v>
      </c>
      <c r="D399" s="10">
        <f t="shared" si="58"/>
        <v>0.72944223033058364</v>
      </c>
      <c r="E399" s="10">
        <f t="shared" si="59"/>
        <v>2.0739235133756186</v>
      </c>
      <c r="F399" s="10">
        <f t="shared" si="63"/>
        <v>6.5327281774996138E-4</v>
      </c>
      <c r="G399" s="10">
        <f t="shared" si="60"/>
        <v>-0.97150203500251564</v>
      </c>
      <c r="H399" s="10">
        <f t="shared" si="61"/>
        <v>0.27458121602954649</v>
      </c>
      <c r="I399" s="10">
        <f t="shared" si="64"/>
        <v>3.7649795930294605E-5</v>
      </c>
      <c r="J399" s="20">
        <f t="shared" si="62"/>
        <v>0</v>
      </c>
      <c r="K399" s="10">
        <f t="shared" si="65"/>
        <v>3.1504330972398353E-4</v>
      </c>
      <c r="L399" s="10">
        <f t="shared" si="66"/>
        <v>1.8902598583436792E-4</v>
      </c>
    </row>
    <row r="400" spans="1:12" x14ac:dyDescent="0.2">
      <c r="A400" s="14">
        <v>0.33500000000000002</v>
      </c>
      <c r="B400" s="10">
        <f t="shared" si="56"/>
        <v>-0.68565650883078766</v>
      </c>
      <c r="C400" s="10">
        <f t="shared" si="57"/>
        <v>0.11313332395707995</v>
      </c>
      <c r="D400" s="10">
        <f t="shared" si="58"/>
        <v>0.72977888882392083</v>
      </c>
      <c r="E400" s="10">
        <f t="shared" si="59"/>
        <v>2.0746218348822656</v>
      </c>
      <c r="F400" s="10">
        <f t="shared" si="63"/>
        <v>6.9832150664694836E-4</v>
      </c>
      <c r="G400" s="10">
        <f t="shared" si="60"/>
        <v>-0.97130003990651326</v>
      </c>
      <c r="H400" s="10">
        <f t="shared" si="61"/>
        <v>0.27462145253181885</v>
      </c>
      <c r="I400" s="10">
        <f t="shared" si="64"/>
        <v>4.0236502272361641E-5</v>
      </c>
      <c r="J400" s="20">
        <f t="shared" si="62"/>
        <v>0</v>
      </c>
      <c r="K400" s="10">
        <f t="shared" si="65"/>
        <v>3.3665849333719411E-4</v>
      </c>
      <c r="L400" s="10">
        <f t="shared" si="66"/>
        <v>2.0199509600238308E-4</v>
      </c>
    </row>
    <row r="401" spans="1:12" x14ac:dyDescent="0.2">
      <c r="A401" s="14">
        <v>0.33600000000000002</v>
      </c>
      <c r="B401" s="10">
        <f t="shared" si="56"/>
        <v>-0.68117098951322952</v>
      </c>
      <c r="C401" s="10">
        <f t="shared" si="57"/>
        <v>0.11171204228016962</v>
      </c>
      <c r="D401" s="10">
        <f t="shared" si="58"/>
        <v>0.73013713698548099</v>
      </c>
      <c r="E401" s="10">
        <f t="shared" si="59"/>
        <v>2.0753651974867378</v>
      </c>
      <c r="F401" s="10">
        <f t="shared" si="63"/>
        <v>7.4336260447216418E-4</v>
      </c>
      <c r="G401" s="10">
        <f t="shared" si="60"/>
        <v>-0.97108509100957729</v>
      </c>
      <c r="H401" s="10">
        <f t="shared" si="61"/>
        <v>0.27466427339586769</v>
      </c>
      <c r="I401" s="10">
        <f t="shared" si="64"/>
        <v>4.2820864048831453E-5</v>
      </c>
      <c r="J401" s="20">
        <f t="shared" si="62"/>
        <v>0</v>
      </c>
      <c r="K401" s="10">
        <f t="shared" si="65"/>
        <v>3.5824816156015959E-4</v>
      </c>
      <c r="L401" s="10">
        <f t="shared" si="66"/>
        <v>2.1494889693596253E-4</v>
      </c>
    </row>
    <row r="402" spans="1:12" x14ac:dyDescent="0.2">
      <c r="A402" s="14">
        <v>0.33700000000000002</v>
      </c>
      <c r="B402" s="10">
        <f t="shared" si="56"/>
        <v>-0.67669205983350089</v>
      </c>
      <c r="C402" s="10">
        <f t="shared" si="57"/>
        <v>0.11030080575286064</v>
      </c>
      <c r="D402" s="10">
        <f t="shared" si="58"/>
        <v>0.73051694974265247</v>
      </c>
      <c r="E402" s="10">
        <f t="shared" si="59"/>
        <v>2.0761535973772229</v>
      </c>
      <c r="F402" s="10">
        <f t="shared" si="63"/>
        <v>7.8839989048518078E-4</v>
      </c>
      <c r="G402" s="10">
        <f t="shared" si="60"/>
        <v>-0.97085720335527437</v>
      </c>
      <c r="H402" s="10">
        <f t="shared" si="61"/>
        <v>0.27470967637398414</v>
      </c>
      <c r="I402" s="10">
        <f t="shared" si="64"/>
        <v>4.5402978116448889E-5</v>
      </c>
      <c r="J402" s="20">
        <f t="shared" si="62"/>
        <v>0</v>
      </c>
      <c r="K402" s="10">
        <f t="shared" si="65"/>
        <v>3.7981275717147156E-4</v>
      </c>
      <c r="L402" s="10">
        <f t="shared" si="66"/>
        <v>2.2788765430292734E-4</v>
      </c>
    </row>
    <row r="403" spans="1:12" x14ac:dyDescent="0.2">
      <c r="A403" s="14">
        <v>0.33800000000000002</v>
      </c>
      <c r="B403" s="10">
        <f t="shared" si="56"/>
        <v>-0.67221966045398929</v>
      </c>
      <c r="C403" s="10">
        <f t="shared" si="57"/>
        <v>0.10889958499354625</v>
      </c>
      <c r="D403" s="10">
        <f t="shared" si="58"/>
        <v>0.73091830246238909</v>
      </c>
      <c r="E403" s="10">
        <f t="shared" si="59"/>
        <v>2.0769870345100636</v>
      </c>
      <c r="F403" s="10">
        <f t="shared" si="63"/>
        <v>8.3343713284067533E-4</v>
      </c>
      <c r="G403" s="10">
        <f t="shared" si="60"/>
        <v>-0.9706163917234325</v>
      </c>
      <c r="H403" s="10">
        <f t="shared" si="61"/>
        <v>0.27475765931476143</v>
      </c>
      <c r="I403" s="10">
        <f t="shared" si="64"/>
        <v>4.7982940777291372E-5</v>
      </c>
      <c r="J403" s="20">
        <f t="shared" si="62"/>
        <v>0</v>
      </c>
      <c r="K403" s="10">
        <f t="shared" si="65"/>
        <v>4.0135271973662512E-4</v>
      </c>
      <c r="L403" s="10">
        <f t="shared" si="66"/>
        <v>2.4081163184186405E-4</v>
      </c>
    </row>
    <row r="404" spans="1:12" x14ac:dyDescent="0.2">
      <c r="A404" s="14">
        <v>0.33900000000000002</v>
      </c>
      <c r="B404" s="10">
        <f t="shared" si="56"/>
        <v>-0.66775373247123604</v>
      </c>
      <c r="C404" s="10">
        <f t="shared" si="57"/>
        <v>0.10750835092786899</v>
      </c>
      <c r="D404" s="10">
        <f t="shared" si="58"/>
        <v>0.73134117094804918</v>
      </c>
      <c r="E404" s="10">
        <f t="shared" si="59"/>
        <v>2.0778655125993417</v>
      </c>
      <c r="F404" s="10">
        <f t="shared" si="63"/>
        <v>8.7847808927810078E-4</v>
      </c>
      <c r="G404" s="10">
        <f t="shared" si="60"/>
        <v>-0.97036267063203641</v>
      </c>
      <c r="H404" s="10">
        <f t="shared" si="61"/>
        <v>0.27480822016255047</v>
      </c>
      <c r="I404" s="10">
        <f t="shared" si="64"/>
        <v>5.0560847789038466E-5</v>
      </c>
      <c r="J404" s="20">
        <f t="shared" si="62"/>
        <v>0</v>
      </c>
      <c r="K404" s="10">
        <f t="shared" si="65"/>
        <v>4.2286848566008839E-4</v>
      </c>
      <c r="L404" s="10">
        <f t="shared" si="66"/>
        <v>2.5372109139609744E-4</v>
      </c>
    </row>
    <row r="405" spans="1:12" x14ac:dyDescent="0.2">
      <c r="A405" s="14">
        <v>0.34</v>
      </c>
      <c r="B405" s="10">
        <f t="shared" si="56"/>
        <v>-0.66329421741026395</v>
      </c>
      <c r="C405" s="10">
        <f t="shared" si="57"/>
        <v>0.10612707478564222</v>
      </c>
      <c r="D405" s="10">
        <f t="shared" si="58"/>
        <v>0.73178553143629288</v>
      </c>
      <c r="E405" s="10">
        <f t="shared" si="59"/>
        <v>2.0787890391071735</v>
      </c>
      <c r="F405" s="10">
        <f t="shared" si="63"/>
        <v>9.2352650783178447E-4</v>
      </c>
      <c r="G405" s="10">
        <f t="shared" si="60"/>
        <v>-0.97009605433909007</v>
      </c>
      <c r="H405" s="10">
        <f t="shared" si="61"/>
        <v>0.27486135695692504</v>
      </c>
      <c r="I405" s="10">
        <f t="shared" si="64"/>
        <v>5.3136794374575302E-5</v>
      </c>
      <c r="J405" s="20">
        <f t="shared" si="62"/>
        <v>0</v>
      </c>
      <c r="K405" s="10">
        <f t="shared" si="65"/>
        <v>4.4436048824370022E-4</v>
      </c>
      <c r="L405" s="10">
        <f t="shared" si="66"/>
        <v>2.6661629294633116E-4</v>
      </c>
    </row>
    <row r="406" spans="1:12" x14ac:dyDescent="0.2">
      <c r="A406" s="14">
        <v>0.34100000000000003</v>
      </c>
      <c r="B406" s="10">
        <f t="shared" si="56"/>
        <v>-0.65884105721899044</v>
      </c>
      <c r="C406" s="10">
        <f t="shared" si="57"/>
        <v>0.10475572809781947</v>
      </c>
      <c r="D406" s="10">
        <f t="shared" si="58"/>
        <v>0.7322513605940284</v>
      </c>
      <c r="E406" s="10">
        <f t="shared" si="59"/>
        <v>2.0797576252346857</v>
      </c>
      <c r="F406" s="10">
        <f t="shared" si="63"/>
        <v>9.68586127512161E-4</v>
      </c>
      <c r="G406" s="10">
        <f t="shared" si="60"/>
        <v>-0.9698165568444489</v>
      </c>
      <c r="H406" s="10">
        <f t="shared" si="61"/>
        <v>0.27491706783215664</v>
      </c>
      <c r="I406" s="10">
        <f t="shared" si="64"/>
        <v>5.5710875231596013E-5</v>
      </c>
      <c r="J406" s="20">
        <f t="shared" si="62"/>
        <v>0</v>
      </c>
      <c r="K406" s="10">
        <f t="shared" si="65"/>
        <v>4.6582915773552003E-4</v>
      </c>
      <c r="L406" s="10">
        <f t="shared" si="66"/>
        <v>2.7949749464117879E-4</v>
      </c>
    </row>
    <row r="407" spans="1:12" x14ac:dyDescent="0.2">
      <c r="A407" s="14">
        <v>0.34200000000000003</v>
      </c>
      <c r="B407" s="10">
        <f t="shared" si="56"/>
        <v>-0.65439419426271184</v>
      </c>
      <c r="C407" s="10">
        <f t="shared" si="57"/>
        <v>0.10339428269350845</v>
      </c>
      <c r="D407" s="10">
        <f t="shared" si="58"/>
        <v>0.73273863551541496</v>
      </c>
      <c r="E407" s="10">
        <f t="shared" si="59"/>
        <v>2.080771285913682</v>
      </c>
      <c r="F407" s="10">
        <f t="shared" si="63"/>
        <v>1.0136606789963309E-3</v>
      </c>
      <c r="G407" s="10">
        <f t="shared" si="60"/>
        <v>-0.96952419189161698</v>
      </c>
      <c r="H407" s="10">
        <f t="shared" si="61"/>
        <v>0.27497535101669907</v>
      </c>
      <c r="I407" s="10">
        <f t="shared" si="64"/>
        <v>5.8283184542429201E-5</v>
      </c>
      <c r="J407" s="20">
        <f t="shared" si="62"/>
        <v>0</v>
      </c>
      <c r="K407" s="10">
        <f t="shared" si="65"/>
        <v>4.8727492138656014E-4</v>
      </c>
      <c r="L407" s="10">
        <f t="shared" si="66"/>
        <v>2.9236495283191388E-4</v>
      </c>
    </row>
    <row r="408" spans="1:12" x14ac:dyDescent="0.2">
      <c r="A408" s="14">
        <v>0.34300000000000003</v>
      </c>
      <c r="B408" s="10">
        <f t="shared" si="56"/>
        <v>-0.6499535713186706</v>
      </c>
      <c r="C408" s="10">
        <f t="shared" si="57"/>
        <v>0.10204271069703126</v>
      </c>
      <c r="D408" s="10">
        <f t="shared" si="58"/>
        <v>0.7332473337189146</v>
      </c>
      <c r="E408" s="10">
        <f t="shared" si="59"/>
        <v>2.0818300397989882</v>
      </c>
      <c r="F408" s="10">
        <f t="shared" si="63"/>
        <v>1.0587538853061851E-3</v>
      </c>
      <c r="G408" s="10">
        <f t="shared" si="60"/>
        <v>-0.9692189729695172</v>
      </c>
      <c r="H408" s="10">
        <f t="shared" si="61"/>
        <v>0.27503620483268204</v>
      </c>
      <c r="I408" s="10">
        <f t="shared" si="64"/>
        <v>6.0853815982975235E-5</v>
      </c>
      <c r="J408" s="20">
        <f t="shared" si="62"/>
        <v>0</v>
      </c>
      <c r="K408" s="10">
        <f t="shared" si="65"/>
        <v>5.0869820349963568E-4</v>
      </c>
      <c r="L408" s="10">
        <f t="shared" si="66"/>
        <v>3.0521892209978141E-4</v>
      </c>
    </row>
    <row r="409" spans="1:12" x14ac:dyDescent="0.2">
      <c r="A409" s="14">
        <v>0.34399999999999997</v>
      </c>
      <c r="B409" s="10">
        <f t="shared" si="56"/>
        <v>-0.64551913157069085</v>
      </c>
      <c r="C409" s="10">
        <f t="shared" si="57"/>
        <v>0.10070098452502779</v>
      </c>
      <c r="D409" s="10">
        <f t="shared" si="58"/>
        <v>0.73377743314439736</v>
      </c>
      <c r="E409" s="10">
        <f t="shared" si="59"/>
        <v>2.0829339092614729</v>
      </c>
      <c r="F409" s="10">
        <f t="shared" si="63"/>
        <v>1.1038694624847523E-3</v>
      </c>
      <c r="G409" s="10">
        <f t="shared" si="60"/>
        <v>-0.96890091331422745</v>
      </c>
      <c r="H409" s="10">
        <f t="shared" si="61"/>
        <v>0.27509962769541413</v>
      </c>
      <c r="I409" s="10">
        <f t="shared" si="64"/>
        <v>6.3422862732087637E-5</v>
      </c>
      <c r="J409" s="20">
        <f t="shared" si="62"/>
        <v>0</v>
      </c>
      <c r="K409" s="10">
        <f t="shared" si="65"/>
        <v>5.3009942548276623E-4</v>
      </c>
      <c r="L409" s="10">
        <f t="shared" si="66"/>
        <v>3.1805965528974856E-4</v>
      </c>
    </row>
    <row r="410" spans="1:12" x14ac:dyDescent="0.2">
      <c r="A410" s="14">
        <v>0.34499999999999997</v>
      </c>
      <c r="B410" s="10">
        <f t="shared" si="56"/>
        <v>-0.64109081860389217</v>
      </c>
      <c r="C410" s="10">
        <f t="shared" si="57"/>
        <v>9.9369076883603302E-2</v>
      </c>
      <c r="D410" s="10">
        <f t="shared" si="58"/>
        <v>0.73432891215029561</v>
      </c>
      <c r="E410" s="10">
        <f t="shared" si="59"/>
        <v>2.0840829203817388</v>
      </c>
      <c r="F410" s="10">
        <f t="shared" si="63"/>
        <v>1.1490111202658859E-3</v>
      </c>
      <c r="G410" s="10">
        <f t="shared" si="60"/>
        <v>-0.96857002591068841</v>
      </c>
      <c r="H410" s="10">
        <f t="shared" si="61"/>
        <v>0.27516561811289475</v>
      </c>
      <c r="I410" s="10">
        <f t="shared" si="64"/>
        <v>6.5990417480621399E-5</v>
      </c>
      <c r="J410" s="20">
        <f t="shared" si="62"/>
        <v>0</v>
      </c>
      <c r="K410" s="10">
        <f t="shared" si="65"/>
        <v>5.5147900589824772E-4</v>
      </c>
      <c r="L410" s="10">
        <f t="shared" si="66"/>
        <v>3.3088740353903745E-4</v>
      </c>
    </row>
    <row r="411" spans="1:12" x14ac:dyDescent="0.2">
      <c r="A411" s="14">
        <v>0.34599999999999997</v>
      </c>
      <c r="B411" s="10">
        <f t="shared" si="56"/>
        <v>-0.63666857639947461</v>
      </c>
      <c r="C411" s="10">
        <f t="shared" si="57"/>
        <v>9.8046960765519109E-2</v>
      </c>
      <c r="D411" s="10">
        <f t="shared" si="58"/>
        <v>0.73490174951080767</v>
      </c>
      <c r="E411" s="10">
        <f t="shared" si="59"/>
        <v>2.085277102944477</v>
      </c>
      <c r="F411" s="10">
        <f t="shared" si="63"/>
        <v>1.1941825627381775E-3</v>
      </c>
      <c r="G411" s="10">
        <f t="shared" si="60"/>
        <v>-0.96822632349438131</v>
      </c>
      <c r="H411" s="10">
        <f t="shared" si="61"/>
        <v>0.27523417468533501</v>
      </c>
      <c r="I411" s="10">
        <f t="shared" si="64"/>
        <v>6.8556572440259256E-5</v>
      </c>
      <c r="J411" s="20">
        <f t="shared" si="62"/>
        <v>0</v>
      </c>
      <c r="K411" s="10">
        <f t="shared" si="65"/>
        <v>5.7283736051205736E-4</v>
      </c>
      <c r="L411" s="10">
        <f t="shared" si="66"/>
        <v>3.4370241630710119E-4</v>
      </c>
    </row>
    <row r="412" spans="1:12" x14ac:dyDescent="0.2">
      <c r="A412" s="14">
        <v>0.34699999999999998</v>
      </c>
      <c r="B412" s="10">
        <f t="shared" si="56"/>
        <v>-0.63225234932957186</v>
      </c>
      <c r="C412" s="10">
        <f t="shared" si="57"/>
        <v>9.6734609447424513E-2</v>
      </c>
      <c r="D412" s="10">
        <f t="shared" si="58"/>
        <v>0.73549592441315226</v>
      </c>
      <c r="E412" s="10">
        <f t="shared" si="59"/>
        <v>2.0865164904334872</v>
      </c>
      <c r="F412" s="10">
        <f t="shared" si="63"/>
        <v>1.2393874890102019E-3</v>
      </c>
      <c r="G412" s="10">
        <f t="shared" si="60"/>
        <v>-0.96786981855297438</v>
      </c>
      <c r="H412" s="10">
        <f t="shared" si="61"/>
        <v>0.27530529610468779</v>
      </c>
      <c r="I412" s="10">
        <f t="shared" si="64"/>
        <v>7.1121419352782045E-5</v>
      </c>
      <c r="J412" s="20">
        <f t="shared" si="62"/>
        <v>0</v>
      </c>
      <c r="K412" s="10">
        <f t="shared" si="65"/>
        <v>5.9417490234459081E-4</v>
      </c>
      <c r="L412" s="10">
        <f t="shared" si="66"/>
        <v>3.5650494140693212E-4</v>
      </c>
    </row>
    <row r="413" spans="1:12" x14ac:dyDescent="0.2">
      <c r="A413" s="14">
        <v>0.34799999999999998</v>
      </c>
      <c r="B413" s="10">
        <f t="shared" si="56"/>
        <v>-0.62784208215217874</v>
      </c>
      <c r="C413" s="10">
        <f t="shared" si="57"/>
        <v>9.5431996487131188E-2</v>
      </c>
      <c r="D413" s="10">
        <f t="shared" si="58"/>
        <v>0.73611141645486888</v>
      </c>
      <c r="E413" s="10">
        <f t="shared" si="59"/>
        <v>2.087801120027351</v>
      </c>
      <c r="F413" s="10">
        <f t="shared" si="63"/>
        <v>1.2846295938637731E-3</v>
      </c>
      <c r="G413" s="10">
        <f t="shared" si="60"/>
        <v>-0.96750052332794456</v>
      </c>
      <c r="H413" s="10">
        <f t="shared" si="61"/>
        <v>0.27537898115418569</v>
      </c>
      <c r="I413" s="10">
        <f t="shared" si="64"/>
        <v>7.3685049497895783E-5</v>
      </c>
      <c r="J413" s="20">
        <f t="shared" si="62"/>
        <v>0</v>
      </c>
      <c r="K413" s="10">
        <f t="shared" si="65"/>
        <v>6.1549204171662542E-4</v>
      </c>
      <c r="L413" s="10">
        <f t="shared" si="66"/>
        <v>3.6929522502981982E-4</v>
      </c>
    </row>
    <row r="414" spans="1:12" x14ac:dyDescent="0.2">
      <c r="A414" s="14">
        <v>0.34899999999999998</v>
      </c>
      <c r="B414" s="10">
        <f t="shared" si="56"/>
        <v>-0.62343772000614217</v>
      </c>
      <c r="C414" s="10">
        <f t="shared" si="57"/>
        <v>9.4139095720927476E-2</v>
      </c>
      <c r="D414" s="10">
        <f t="shared" si="58"/>
        <v>0.73674820564116783</v>
      </c>
      <c r="E414" s="10">
        <f t="shared" si="59"/>
        <v>2.0891310325957582</v>
      </c>
      <c r="F414" s="10">
        <f t="shared" si="63"/>
        <v>1.3299125684071988E-3</v>
      </c>
      <c r="G414" s="10">
        <f t="shared" si="60"/>
        <v>-0.96711844981616524</v>
      </c>
      <c r="H414" s="10">
        <f t="shared" si="61"/>
        <v>0.27545522870788819</v>
      </c>
      <c r="I414" s="10">
        <f t="shared" si="64"/>
        <v>7.6247553702502024E-5</v>
      </c>
      <c r="J414" s="20">
        <f t="shared" si="62"/>
        <v>0</v>
      </c>
      <c r="K414" s="10">
        <f t="shared" si="65"/>
        <v>6.3678918629894721E-4</v>
      </c>
      <c r="L414" s="10">
        <f t="shared" si="66"/>
        <v>3.8207351177932392E-4</v>
      </c>
    </row>
    <row r="415" spans="1:12" x14ac:dyDescent="0.2">
      <c r="A415" s="14">
        <v>0.35</v>
      </c>
      <c r="B415" s="10">
        <f t="shared" si="56"/>
        <v>-0.61903920840622351</v>
      </c>
      <c r="C415" s="10">
        <f t="shared" si="57"/>
        <v>9.285588126093354E-2</v>
      </c>
      <c r="D415" s="10">
        <f t="shared" si="58"/>
        <v>0.73740627238232526</v>
      </c>
      <c r="E415" s="10">
        <f t="shared" si="59"/>
        <v>2.0905062726964858</v>
      </c>
      <c r="F415" s="10">
        <f t="shared" si="63"/>
        <v>1.3752401007276482E-3</v>
      </c>
      <c r="G415" s="10">
        <f t="shared" si="60"/>
        <v>-0.96672360977147065</v>
      </c>
      <c r="H415" s="10">
        <f t="shared" si="61"/>
        <v>0.2755340377302371</v>
      </c>
      <c r="I415" s="10">
        <f t="shared" si="64"/>
        <v>7.8809022348913516E-5</v>
      </c>
      <c r="J415" s="20">
        <f t="shared" si="62"/>
        <v>0</v>
      </c>
      <c r="K415" s="10">
        <f t="shared" si="65"/>
        <v>6.5806674115742592E-4</v>
      </c>
      <c r="L415" s="10">
        <f t="shared" si="66"/>
        <v>3.9484004469458878E-4</v>
      </c>
    </row>
    <row r="416" spans="1:12" x14ac:dyDescent="0.2">
      <c r="A416" s="14">
        <v>0.35099999999999998</v>
      </c>
      <c r="B416" s="10">
        <f t="shared" si="56"/>
        <v>-0.61464649323822429</v>
      </c>
      <c r="C416" s="10">
        <f t="shared" si="57"/>
        <v>9.1582327492495438E-2</v>
      </c>
      <c r="D416" s="10">
        <f t="shared" si="58"/>
        <v>0.73808559749112623</v>
      </c>
      <c r="E416" s="10">
        <f t="shared" si="59"/>
        <v>2.0919268885730196</v>
      </c>
      <c r="F416" s="10">
        <f t="shared" si="63"/>
        <v>1.4206158765337484E-3</v>
      </c>
      <c r="G416" s="10">
        <f t="shared" si="60"/>
        <v>-0.96631601470619</v>
      </c>
      <c r="H416" s="10">
        <f t="shared" si="61"/>
        <v>0.27561540727561973</v>
      </c>
      <c r="I416" s="10">
        <f t="shared" si="64"/>
        <v>8.1369545382625752E-5</v>
      </c>
      <c r="J416" s="20">
        <f t="shared" si="62"/>
        <v>0</v>
      </c>
      <c r="K416" s="10">
        <f t="shared" si="65"/>
        <v>6.7932510880097663E-4</v>
      </c>
      <c r="L416" s="10">
        <f t="shared" si="66"/>
        <v>4.0759506528065259E-4</v>
      </c>
    </row>
    <row r="417" spans="1:12" x14ac:dyDescent="0.2">
      <c r="A417" s="14">
        <v>0.35199999999999998</v>
      </c>
      <c r="B417" s="10">
        <f t="shared" si="56"/>
        <v>-0.61025952075417766</v>
      </c>
      <c r="C417" s="10">
        <f t="shared" si="57"/>
        <v>9.0318409071618311E-2</v>
      </c>
      <c r="D417" s="10">
        <f t="shared" si="58"/>
        <v>0.7387861621803522</v>
      </c>
      <c r="E417" s="10">
        <f t="shared" si="59"/>
        <v>2.0933929321528186</v>
      </c>
      <c r="F417" s="10">
        <f t="shared" si="63"/>
        <v>1.4660435797990701E-3</v>
      </c>
      <c r="G417" s="10">
        <f t="shared" si="60"/>
        <v>-0.96589567589265446</v>
      </c>
      <c r="H417" s="10">
        <f t="shared" si="61"/>
        <v>0.27569933648794115</v>
      </c>
      <c r="I417" s="10">
        <f t="shared" si="64"/>
        <v>8.392921232142081E-5</v>
      </c>
      <c r="J417" s="20">
        <f t="shared" si="62"/>
        <v>0</v>
      </c>
      <c r="K417" s="10">
        <f t="shared" si="65"/>
        <v>7.0056468922596871E-4</v>
      </c>
      <c r="L417" s="10">
        <f t="shared" si="66"/>
        <v>4.2033881353553681E-4</v>
      </c>
    </row>
    <row r="418" spans="1:12" x14ac:dyDescent="0.2">
      <c r="A418" s="14">
        <v>0.35299999999999998</v>
      </c>
      <c r="B418" s="10">
        <f t="shared" si="56"/>
        <v>-0.60587823756760384</v>
      </c>
      <c r="C418" s="10">
        <f t="shared" si="57"/>
        <v>8.9064100922437772E-2</v>
      </c>
      <c r="D418" s="10">
        <f t="shared" si="58"/>
        <v>0.7395079480603135</v>
      </c>
      <c r="E418" s="10">
        <f t="shared" si="59"/>
        <v>2.0949044590462194</v>
      </c>
      <c r="F418" s="10">
        <f t="shared" si="63"/>
        <v>1.5115268934007275E-3</v>
      </c>
      <c r="G418" s="10">
        <f t="shared" si="60"/>
        <v>-0.96546260436467779</v>
      </c>
      <c r="H418" s="10">
        <f t="shared" si="61"/>
        <v>0.27578582460020368</v>
      </c>
      <c r="I418" s="10">
        <f t="shared" si="64"/>
        <v>8.6488112262528283E-5</v>
      </c>
      <c r="J418" s="20">
        <f t="shared" si="62"/>
        <v>0</v>
      </c>
      <c r="K418" s="10">
        <f t="shared" si="65"/>
        <v>7.2178587996130084E-4</v>
      </c>
      <c r="L418" s="10">
        <f t="shared" si="66"/>
        <v>4.3307152797666948E-4</v>
      </c>
    </row>
    <row r="419" spans="1:12" x14ac:dyDescent="0.2">
      <c r="A419" s="14">
        <v>0.35399999999999998</v>
      </c>
      <c r="B419" s="10">
        <f t="shared" si="56"/>
        <v>-0.60150259064882738</v>
      </c>
      <c r="C419" s="10">
        <f t="shared" si="57"/>
        <v>8.7819378234728809E-2</v>
      </c>
      <c r="D419" s="10">
        <f t="shared" si="58"/>
        <v>0.74025093713642709</v>
      </c>
      <c r="E419" s="10">
        <f t="shared" si="59"/>
        <v>2.0964615285459773</v>
      </c>
      <c r="F419" s="10">
        <f t="shared" si="63"/>
        <v>1.5570694997579793E-3</v>
      </c>
      <c r="G419" s="10">
        <f t="shared" si="60"/>
        <v>-0.96501681091900959</v>
      </c>
      <c r="H419" s="10">
        <f t="shared" si="61"/>
        <v>0.27587487093409474</v>
      </c>
      <c r="I419" s="10">
        <f t="shared" si="64"/>
        <v>8.9046333891062979E-5</v>
      </c>
      <c r="J419" s="20">
        <f t="shared" si="62"/>
        <v>0</v>
      </c>
      <c r="K419" s="10">
        <f t="shared" si="65"/>
        <v>7.4298907611358711E-4</v>
      </c>
      <c r="L419" s="10">
        <f t="shared" si="66"/>
        <v>4.4579344566819668E-4</v>
      </c>
    </row>
    <row r="420" spans="1:12" x14ac:dyDescent="0.2">
      <c r="A420" s="14">
        <v>0.35499999999999998</v>
      </c>
      <c r="B420" s="10">
        <f t="shared" si="56"/>
        <v>-0.59713252732035671</v>
      </c>
      <c r="C420" s="10">
        <f t="shared" si="57"/>
        <v>8.658421646145173E-2</v>
      </c>
      <c r="D420" s="10">
        <f t="shared" si="58"/>
        <v>0.74101511180683688</v>
      </c>
      <c r="E420" s="10">
        <f t="shared" si="59"/>
        <v>2.0980642036274397</v>
      </c>
      <c r="F420" s="10">
        <f t="shared" si="63"/>
        <v>1.6026750814623902E-3</v>
      </c>
      <c r="G420" s="10">
        <f t="shared" si="60"/>
        <v>-0.96455830611676385</v>
      </c>
      <c r="H420" s="10">
        <f t="shared" si="61"/>
        <v>0.27596647489958237</v>
      </c>
      <c r="I420" s="10">
        <f t="shared" si="64"/>
        <v>9.1603965487629946E-5</v>
      </c>
      <c r="J420" s="20">
        <f t="shared" si="62"/>
        <v>0</v>
      </c>
      <c r="K420" s="10">
        <f t="shared" si="65"/>
        <v>7.6417467040978959E-4</v>
      </c>
      <c r="L420" s="10">
        <f t="shared" si="66"/>
        <v>4.5850480224574053E-4</v>
      </c>
    </row>
    <row r="421" spans="1:12" x14ac:dyDescent="0.2">
      <c r="A421" s="14">
        <v>0.35599999999999998</v>
      </c>
      <c r="B421" s="10">
        <f t="shared" si="56"/>
        <v>-0.59276799525232327</v>
      </c>
      <c r="C421" s="10">
        <f t="shared" si="57"/>
        <v>8.5358591316334553E-2</v>
      </c>
      <c r="D421" s="10">
        <f t="shared" si="58"/>
        <v>0.74180045486007828</v>
      </c>
      <c r="E421" s="10">
        <f t="shared" si="59"/>
        <v>2.0997125509493526</v>
      </c>
      <c r="F421" s="10">
        <f t="shared" si="63"/>
        <v>1.6483473219128797E-3</v>
      </c>
      <c r="G421" s="10">
        <f t="shared" si="60"/>
        <v>-0.96408710028481881</v>
      </c>
      <c r="H421" s="10">
        <f t="shared" si="61"/>
        <v>0.2760606359945183</v>
      </c>
      <c r="I421" s="10">
        <f t="shared" si="64"/>
        <v>9.4161094935929501E-5</v>
      </c>
      <c r="J421" s="20">
        <f t="shared" si="62"/>
        <v>0</v>
      </c>
      <c r="K421" s="10">
        <f t="shared" si="65"/>
        <v>7.8534305324140519E-4</v>
      </c>
      <c r="L421" s="10">
        <f t="shared" si="66"/>
        <v>4.7120583194504295E-4</v>
      </c>
    </row>
    <row r="422" spans="1:12" x14ac:dyDescent="0.2">
      <c r="A422" s="14">
        <v>0.35699999999999998</v>
      </c>
      <c r="B422" s="10">
        <f t="shared" si="56"/>
        <v>-0.58840894245798037</v>
      </c>
      <c r="C422" s="10">
        <f t="shared" si="57"/>
        <v>8.4142478771491197E-2</v>
      </c>
      <c r="D422" s="10">
        <f t="shared" si="58"/>
        <v>0.74260694947278505</v>
      </c>
      <c r="E422" s="10">
        <f t="shared" si="59"/>
        <v>2.1014066408552927</v>
      </c>
      <c r="F422" s="10">
        <f t="shared" si="63"/>
        <v>1.6940899059401104E-3</v>
      </c>
      <c r="G422" s="10">
        <f t="shared" si="60"/>
        <v>-0.96360320351719475</v>
      </c>
      <c r="H422" s="10">
        <f t="shared" si="61"/>
        <v>0.276157353804249</v>
      </c>
      <c r="I422" s="10">
        <f t="shared" si="64"/>
        <v>9.6717809730695325E-5</v>
      </c>
      <c r="J422" s="20">
        <f t="shared" si="62"/>
        <v>0</v>
      </c>
      <c r="K422" s="10">
        <f t="shared" si="65"/>
        <v>8.0649461270676515E-4</v>
      </c>
      <c r="L422" s="10">
        <f t="shared" si="66"/>
        <v>4.8389676762405909E-4</v>
      </c>
    </row>
    <row r="423" spans="1:12" x14ac:dyDescent="0.2">
      <c r="A423" s="14">
        <v>0.35799999999999998</v>
      </c>
      <c r="B423" s="10">
        <f t="shared" si="56"/>
        <v>-0.58405531728926097</v>
      </c>
      <c r="C423" s="10">
        <f t="shared" si="57"/>
        <v>8.2935855055075072E-2</v>
      </c>
      <c r="D423" s="10">
        <f t="shared" si="58"/>
        <v>0.74343457920743705</v>
      </c>
      <c r="E423" s="10">
        <f t="shared" si="59"/>
        <v>2.1031465473757303</v>
      </c>
      <c r="F423" s="10">
        <f t="shared" si="63"/>
        <v>1.7399065204375397E-3</v>
      </c>
      <c r="G423" s="10">
        <f t="shared" si="60"/>
        <v>-0.96310662567640359</v>
      </c>
      <c r="H423" s="10">
        <f t="shared" si="61"/>
        <v>0.27625662800123352</v>
      </c>
      <c r="I423" s="10">
        <f t="shared" si="64"/>
        <v>9.9274196984522334E-5</v>
      </c>
      <c r="J423" s="20">
        <f t="shared" si="62"/>
        <v>0</v>
      </c>
      <c r="K423" s="10">
        <f t="shared" si="65"/>
        <v>8.2762973465200229E-4</v>
      </c>
      <c r="L423" s="10">
        <f t="shared" si="66"/>
        <v>4.9657784079115697E-4</v>
      </c>
    </row>
    <row r="424" spans="1:12" x14ac:dyDescent="0.2">
      <c r="A424" s="14">
        <v>0.35899999999999999</v>
      </c>
      <c r="B424" s="10">
        <f t="shared" si="56"/>
        <v>-0.57970706843239117</v>
      </c>
      <c r="C424" s="10">
        <f t="shared" si="57"/>
        <v>8.1738696648967157E-2</v>
      </c>
      <c r="D424" s="10">
        <f t="shared" si="58"/>
        <v>0.74428332801015151</v>
      </c>
      <c r="E424" s="10">
        <f t="shared" si="59"/>
        <v>2.1049323482307134</v>
      </c>
      <c r="F424" s="10">
        <f t="shared" si="63"/>
        <v>1.7858008549831439E-3</v>
      </c>
      <c r="G424" s="10">
        <f t="shared" si="60"/>
        <v>-0.96259737639477494</v>
      </c>
      <c r="H424" s="10">
        <f t="shared" si="61"/>
        <v>0.2763584583446696</v>
      </c>
      <c r="I424" s="10">
        <f t="shared" si="64"/>
        <v>1.0183034343608233E-4</v>
      </c>
      <c r="J424" s="20">
        <f t="shared" si="62"/>
        <v>0</v>
      </c>
      <c r="K424" s="10">
        <f t="shared" si="65"/>
        <v>8.4874880271446074E-4</v>
      </c>
      <c r="L424" s="10">
        <f t="shared" si="66"/>
        <v>5.0924928162865424E-4</v>
      </c>
    </row>
    <row r="425" spans="1:12" x14ac:dyDescent="0.2">
      <c r="A425" s="14">
        <v>0.36</v>
      </c>
      <c r="B425" s="10">
        <f t="shared" si="56"/>
        <v>-0.5753641449035618</v>
      </c>
      <c r="C425" s="10">
        <f t="shared" si="57"/>
        <v>8.0550980286498666E-2</v>
      </c>
      <c r="D425" s="10">
        <f t="shared" si="58"/>
        <v>0.7451531802085134</v>
      </c>
      <c r="E425" s="10">
        <f t="shared" si="59"/>
        <v>2.1067641248331772</v>
      </c>
      <c r="F425" s="10">
        <f t="shared" si="63"/>
        <v>1.8317766024638082E-3</v>
      </c>
      <c r="G425" s="10">
        <f t="shared" si="60"/>
        <v>-0.96207546507575781</v>
      </c>
      <c r="H425" s="10">
        <f t="shared" si="61"/>
        <v>0.27646284468012611</v>
      </c>
      <c r="I425" s="10">
        <f t="shared" si="64"/>
        <v>1.0438633545650777E-4</v>
      </c>
      <c r="J425" s="20">
        <f t="shared" si="62"/>
        <v>0</v>
      </c>
      <c r="K425" s="10">
        <f t="shared" si="65"/>
        <v>8.6985219836188676E-4</v>
      </c>
      <c r="L425" s="10">
        <f t="shared" si="66"/>
        <v>5.2191131901713206E-4</v>
      </c>
    </row>
    <row r="426" spans="1:12" x14ac:dyDescent="0.2">
      <c r="A426" s="14">
        <v>0.36099999999999999</v>
      </c>
      <c r="B426" s="10">
        <f t="shared" si="56"/>
        <v>-0.57102649604465394</v>
      </c>
      <c r="C426" s="10">
        <f t="shared" si="57"/>
        <v>7.9372682950206899E-2</v>
      </c>
      <c r="D426" s="10">
        <f t="shared" si="58"/>
        <v>0.74604412050944724</v>
      </c>
      <c r="E426" s="10">
        <f t="shared" si="59"/>
        <v>2.1086419622928734</v>
      </c>
      <c r="F426" s="10">
        <f t="shared" si="63"/>
        <v>1.8778374596961633E-3</v>
      </c>
      <c r="G426" s="10">
        <f t="shared" si="60"/>
        <v>-0.96154090089519761</v>
      </c>
      <c r="H426" s="10">
        <f t="shared" si="61"/>
        <v>0.27656978693918299</v>
      </c>
      <c r="I426" s="10">
        <f t="shared" si="64"/>
        <v>1.0694225905688581E-4</v>
      </c>
      <c r="J426" s="20">
        <f t="shared" si="62"/>
        <v>0</v>
      </c>
      <c r="K426" s="10">
        <f t="shared" si="65"/>
        <v>8.9094030093384013E-4</v>
      </c>
      <c r="L426" s="10">
        <f t="shared" si="66"/>
        <v>5.3456418056019306E-4</v>
      </c>
    </row>
    <row r="427" spans="1:12" x14ac:dyDescent="0.2">
      <c r="A427" s="14">
        <v>0.36199999999999999</v>
      </c>
      <c r="B427" s="10">
        <f t="shared" si="56"/>
        <v>-0.56669407151901885</v>
      </c>
      <c r="C427" s="10">
        <f t="shared" si="57"/>
        <v>7.8203781869624608E-2</v>
      </c>
      <c r="D427" s="10">
        <f t="shared" si="58"/>
        <v>0.74695613399712846</v>
      </c>
      <c r="E427" s="10">
        <f t="shared" si="59"/>
        <v>2.1105659494209212</v>
      </c>
      <c r="F427" s="10">
        <f t="shared" si="63"/>
        <v>1.923987128047866E-3</v>
      </c>
      <c r="G427" s="10">
        <f t="shared" si="60"/>
        <v>-0.96099369280258884</v>
      </c>
      <c r="H427" s="10">
        <f t="shared" si="61"/>
        <v>0.27667928513907875</v>
      </c>
      <c r="I427" s="10">
        <f t="shared" si="64"/>
        <v>1.0949819989575227E-4</v>
      </c>
      <c r="J427" s="20">
        <f t="shared" si="62"/>
        <v>0</v>
      </c>
      <c r="K427" s="10">
        <f t="shared" si="65"/>
        <v>9.1201348768121804E-4</v>
      </c>
      <c r="L427" s="10">
        <f t="shared" si="66"/>
        <v>5.4720809260877523E-4</v>
      </c>
    </row>
    <row r="428" spans="1:12" x14ac:dyDescent="0.2">
      <c r="A428" s="14">
        <v>0.36299999999999999</v>
      </c>
      <c r="B428" s="10">
        <f t="shared" si="56"/>
        <v>-0.56236682130731264</v>
      </c>
      <c r="C428" s="10">
        <f t="shared" si="57"/>
        <v>7.7044254519101837E-2</v>
      </c>
      <c r="D428" s="10">
        <f t="shared" si="58"/>
        <v>0.74788920613093401</v>
      </c>
      <c r="E428" s="10">
        <f t="shared" si="59"/>
        <v>2.1125361787349757</v>
      </c>
      <c r="F428" s="10">
        <f t="shared" si="63"/>
        <v>1.9702293140544391E-3</v>
      </c>
      <c r="G428" s="10">
        <f t="shared" si="60"/>
        <v>-0.96043384952230548</v>
      </c>
      <c r="H428" s="10">
        <f t="shared" si="61"/>
        <v>0.27679133938236372</v>
      </c>
      <c r="I428" s="10">
        <f t="shared" si="64"/>
        <v>1.1205424328497582E-4</v>
      </c>
      <c r="J428" s="20">
        <f t="shared" si="62"/>
        <v>0</v>
      </c>
      <c r="K428" s="10">
        <f t="shared" si="65"/>
        <v>9.3307213380555698E-4</v>
      </c>
      <c r="L428" s="10">
        <f t="shared" si="66"/>
        <v>5.5984328028335639E-4</v>
      </c>
    </row>
    <row r="429" spans="1:12" x14ac:dyDescent="0.2">
      <c r="A429" s="14">
        <v>0.36399999999999999</v>
      </c>
      <c r="B429" s="10">
        <f t="shared" si="56"/>
        <v>-0.55804469570338155</v>
      </c>
      <c r="C429" s="10">
        <f t="shared" si="57"/>
        <v>7.5894078615659902E-2</v>
      </c>
      <c r="D429" s="10">
        <f t="shared" si="58"/>
        <v>0.74884332274343202</v>
      </c>
      <c r="E429" s="10">
        <f t="shared" si="59"/>
        <v>2.1145527464650158</v>
      </c>
      <c r="F429" s="10">
        <f t="shared" si="63"/>
        <v>2.0165677300401086E-3</v>
      </c>
      <c r="G429" s="10">
        <f t="shared" si="60"/>
        <v>-0.95986137955480677</v>
      </c>
      <c r="H429" s="10">
        <f t="shared" si="61"/>
        <v>0.27690594985656142</v>
      </c>
      <c r="I429" s="10">
        <f t="shared" si="64"/>
        <v>1.146104741976961E-4</v>
      </c>
      <c r="J429" s="20">
        <f t="shared" si="62"/>
        <v>0</v>
      </c>
      <c r="K429" s="10">
        <f t="shared" si="65"/>
        <v>9.5411661249800161E-4</v>
      </c>
      <c r="L429" s="10">
        <f t="shared" si="66"/>
        <v>5.7246996749871215E-4</v>
      </c>
    </row>
    <row r="430" spans="1:12" x14ac:dyDescent="0.2">
      <c r="A430" s="14">
        <v>0.36499999999999999</v>
      </c>
      <c r="B430" s="10">
        <f t="shared" si="56"/>
        <v>-0.55372764531020013</v>
      </c>
      <c r="C430" s="10">
        <f t="shared" si="57"/>
        <v>7.4753232116877025E-2</v>
      </c>
      <c r="D430" s="10">
        <f t="shared" si="58"/>
        <v>0.74981847003841007</v>
      </c>
      <c r="E430" s="10">
        <f t="shared" si="59"/>
        <v>2.1166157525597478</v>
      </c>
      <c r="F430" s="10">
        <f t="shared" si="63"/>
        <v>2.0630060947319784E-3</v>
      </c>
      <c r="G430" s="10">
        <f t="shared" si="60"/>
        <v>-0.95927629117781987</v>
      </c>
      <c r="H430" s="10">
        <f t="shared" si="61"/>
        <v>0.27702311683383568</v>
      </c>
      <c r="I430" s="10">
        <f t="shared" si="64"/>
        <v>1.171669772742634E-4</v>
      </c>
      <c r="J430" s="20">
        <f t="shared" si="62"/>
        <v>0</v>
      </c>
      <c r="K430" s="10">
        <f t="shared" si="65"/>
        <v>9.7514729497805153E-4</v>
      </c>
      <c r="L430" s="10">
        <f t="shared" si="66"/>
        <v>5.8508837698689753E-4</v>
      </c>
    </row>
    <row r="431" spans="1:12" x14ac:dyDescent="0.2">
      <c r="A431" s="14">
        <v>0.36599999999999999</v>
      </c>
      <c r="B431" s="10">
        <f t="shared" si="56"/>
        <v>-0.54941562103585972</v>
      </c>
      <c r="C431" s="10">
        <f t="shared" si="57"/>
        <v>7.3621693218805212E-2</v>
      </c>
      <c r="D431" s="10">
        <f t="shared" si="58"/>
        <v>0.75081463458894038</v>
      </c>
      <c r="E431" s="10">
        <f t="shared" si="59"/>
        <v>2.1187253006936264</v>
      </c>
      <c r="F431" s="10">
        <f t="shared" si="63"/>
        <v>2.109548133878647E-3</v>
      </c>
      <c r="G431" s="10">
        <f t="shared" si="60"/>
        <v>-0.95867859244750164</v>
      </c>
      <c r="H431" s="10">
        <f t="shared" si="61"/>
        <v>0.27714284067066491</v>
      </c>
      <c r="I431" s="10">
        <f t="shared" si="64"/>
        <v>1.1972383682923304E-4</v>
      </c>
      <c r="J431" s="20">
        <f t="shared" si="62"/>
        <v>0</v>
      </c>
      <c r="K431" s="10">
        <f t="shared" si="65"/>
        <v>9.9616455053030961E-4</v>
      </c>
      <c r="L431" s="10">
        <f t="shared" si="66"/>
        <v>5.9769873031823018E-4</v>
      </c>
    </row>
    <row r="432" spans="1:12" x14ac:dyDescent="0.2">
      <c r="A432" s="14">
        <v>0.36699999999999999</v>
      </c>
      <c r="B432" s="10">
        <f t="shared" si="56"/>
        <v>-0.54510857408960589</v>
      </c>
      <c r="C432" s="10">
        <f t="shared" si="57"/>
        <v>7.2499440353917588E-2</v>
      </c>
      <c r="D432" s="10">
        <f t="shared" si="58"/>
        <v>0.75183180333548405</v>
      </c>
      <c r="E432" s="10">
        <f t="shared" si="59"/>
        <v>2.1208814982744926</v>
      </c>
      <c r="F432" s="10">
        <f t="shared" si="63"/>
        <v>2.1561975808661593E-3</v>
      </c>
      <c r="G432" s="10">
        <f t="shared" si="60"/>
        <v>-0.95806829119957548</v>
      </c>
      <c r="H432" s="10">
        <f t="shared" si="61"/>
        <v>0.27726512180752277</v>
      </c>
      <c r="I432" s="10">
        <f t="shared" si="64"/>
        <v>1.2228113685786024E-4</v>
      </c>
      <c r="J432" s="20">
        <f t="shared" si="62"/>
        <v>0</v>
      </c>
      <c r="K432" s="10">
        <f t="shared" si="65"/>
        <v>1.017168746543673E-3</v>
      </c>
      <c r="L432" s="10">
        <f t="shared" si="66"/>
        <v>6.1030124792615936E-4</v>
      </c>
    </row>
    <row r="433" spans="1:12" x14ac:dyDescent="0.2">
      <c r="A433" s="14">
        <v>0.36799999999999999</v>
      </c>
      <c r="B433" s="10">
        <f t="shared" si="56"/>
        <v>-0.54080645597792654</v>
      </c>
      <c r="C433" s="10">
        <f t="shared" si="57"/>
        <v>7.1386452189086305E-2</v>
      </c>
      <c r="D433" s="10">
        <f t="shared" si="58"/>
        <v>0.75286996358403047</v>
      </c>
      <c r="E433" s="10">
        <f t="shared" si="59"/>
        <v>2.1230844564518252</v>
      </c>
      <c r="F433" s="10">
        <f t="shared" si="63"/>
        <v>2.2029581773326257E-3</v>
      </c>
      <c r="G433" s="10">
        <f t="shared" si="60"/>
        <v>-0.95744539505044768</v>
      </c>
      <c r="H433" s="10">
        <f t="shared" si="61"/>
        <v>0.2773899607685652</v>
      </c>
      <c r="I433" s="10">
        <f t="shared" si="64"/>
        <v>1.2483896104242831E-4</v>
      </c>
      <c r="J433" s="20">
        <f t="shared" si="62"/>
        <v>0</v>
      </c>
      <c r="K433" s="10">
        <f t="shared" si="65"/>
        <v>1.0381602485464159E-3</v>
      </c>
      <c r="L433" s="10">
        <f t="shared" si="66"/>
        <v>6.2289614912780511E-4</v>
      </c>
    </row>
    <row r="434" spans="1:12" x14ac:dyDescent="0.2">
      <c r="A434" s="14">
        <v>0.36899999999999999</v>
      </c>
      <c r="B434" s="10">
        <f t="shared" si="56"/>
        <v>-0.53650921850068589</v>
      </c>
      <c r="C434" s="10">
        <f t="shared" si="57"/>
        <v>7.028270762358986E-2</v>
      </c>
      <c r="D434" s="10">
        <f t="shared" si="58"/>
        <v>0.75392910300427518</v>
      </c>
      <c r="E434" s="10">
        <f t="shared" si="59"/>
        <v>2.1253342901256111</v>
      </c>
      <c r="F434" s="10">
        <f t="shared" si="63"/>
        <v>2.2498336737859503E-3</v>
      </c>
      <c r="G434" s="10">
        <f t="shared" si="60"/>
        <v>-0.95680991139830074</v>
      </c>
      <c r="H434" s="10">
        <f t="shared" si="61"/>
        <v>0.27751735816132395</v>
      </c>
      <c r="I434" s="10">
        <f t="shared" si="64"/>
        <v>1.2739739275874351E-4</v>
      </c>
      <c r="J434" s="20">
        <f t="shared" si="62"/>
        <v>0</v>
      </c>
      <c r="K434" s="10">
        <f t="shared" si="65"/>
        <v>1.0591394202447146E-3</v>
      </c>
      <c r="L434" s="10">
        <f t="shared" si="66"/>
        <v>6.354836521469398E-4</v>
      </c>
    </row>
    <row r="435" spans="1:12" x14ac:dyDescent="0.2">
      <c r="A435" s="14">
        <v>0.37</v>
      </c>
      <c r="B435" s="10">
        <f t="shared" si="56"/>
        <v>-0.53221681374730823</v>
      </c>
      <c r="C435" s="10">
        <f t="shared" si="57"/>
        <v>6.9188185787150067E-2</v>
      </c>
      <c r="D435" s="10">
        <f t="shared" si="58"/>
        <v>0.75500920962783169</v>
      </c>
      <c r="E435" s="10">
        <f t="shared" si="59"/>
        <v>2.1276311179558278</v>
      </c>
      <c r="F435" s="10">
        <f t="shared" si="63"/>
        <v>2.2968278302166745E-3</v>
      </c>
      <c r="G435" s="10">
        <f t="shared" si="60"/>
        <v>-0.95616184742416677</v>
      </c>
      <c r="H435" s="10">
        <f t="shared" si="61"/>
        <v>0.27764731467640624</v>
      </c>
      <c r="I435" s="10">
        <f t="shared" si="64"/>
        <v>1.2995651508229678E-4</v>
      </c>
      <c r="J435" s="20">
        <f t="shared" si="62"/>
        <v>0</v>
      </c>
      <c r="K435" s="10">
        <f t="shared" si="65"/>
        <v>1.0801066235565093E-3</v>
      </c>
      <c r="L435" s="10">
        <f t="shared" si="66"/>
        <v>6.4806397413397221E-4</v>
      </c>
    </row>
    <row r="436" spans="1:12" x14ac:dyDescent="0.2">
      <c r="A436" s="14">
        <v>0.371</v>
      </c>
      <c r="B436" s="10">
        <f t="shared" si="56"/>
        <v>-0.52792919409300532</v>
      </c>
      <c r="C436" s="10">
        <f t="shared" si="57"/>
        <v>6.8102866037997686E-2</v>
      </c>
      <c r="D436" s="10">
        <f t="shared" si="58"/>
        <v>0.75611027184648083</v>
      </c>
      <c r="E436" s="10">
        <f t="shared" si="59"/>
        <v>2.1299750623725471</v>
      </c>
      <c r="F436" s="10">
        <f t="shared" si="63"/>
        <v>2.3439444167192569E-3</v>
      </c>
      <c r="G436" s="10">
        <f t="shared" si="60"/>
        <v>-0.95550121009297728</v>
      </c>
      <c r="H436" s="10">
        <f t="shared" si="61"/>
        <v>0.27777983108720045</v>
      </c>
      <c r="I436" s="10">
        <f t="shared" si="64"/>
        <v>1.325164107942034E-4</v>
      </c>
      <c r="J436" s="20">
        <f t="shared" si="62"/>
        <v>0</v>
      </c>
      <c r="K436" s="10">
        <f t="shared" si="65"/>
        <v>1.1010622186491403E-3</v>
      </c>
      <c r="L436" s="10">
        <f t="shared" si="66"/>
        <v>6.606373311894842E-4</v>
      </c>
    </row>
    <row r="437" spans="1:12" x14ac:dyDescent="0.2">
      <c r="A437" s="14">
        <v>0.372</v>
      </c>
      <c r="B437" s="10">
        <f t="shared" si="56"/>
        <v>-0.5236463121950522</v>
      </c>
      <c r="C437" s="10">
        <f t="shared" si="57"/>
        <v>6.7026727960966689E-2</v>
      </c>
      <c r="D437" s="10">
        <f t="shared" si="58"/>
        <v>0.75723227841045448</v>
      </c>
      <c r="E437" s="10">
        <f t="shared" si="59"/>
        <v>2.1323662495866489</v>
      </c>
      <c r="F437" s="10">
        <f t="shared" si="63"/>
        <v>2.3911872141018087E-3</v>
      </c>
      <c r="G437" s="10">
        <f t="shared" si="60"/>
        <v>-0.95482800615459307</v>
      </c>
      <c r="H437" s="10">
        <f t="shared" si="61"/>
        <v>0.27791490824958848</v>
      </c>
      <c r="I437" s="10">
        <f t="shared" si="64"/>
        <v>1.3507716238803091E-4</v>
      </c>
      <c r="J437" s="20">
        <f t="shared" si="62"/>
        <v>0</v>
      </c>
      <c r="K437" s="10">
        <f t="shared" si="65"/>
        <v>1.1220065639736543E-3</v>
      </c>
      <c r="L437" s="10">
        <f t="shared" si="66"/>
        <v>6.7320393838421477E-4</v>
      </c>
    </row>
    <row r="438" spans="1:12" x14ac:dyDescent="0.2">
      <c r="A438" s="14">
        <v>0.373</v>
      </c>
      <c r="B438" s="10">
        <f t="shared" si="56"/>
        <v>-0.51936812098910512</v>
      </c>
      <c r="C438" s="10">
        <f t="shared" si="57"/>
        <v>6.5959751365616354E-2</v>
      </c>
      <c r="D438" s="10">
        <f t="shared" si="58"/>
        <v>0.75837521842675426</v>
      </c>
      <c r="E438" s="10">
        <f t="shared" si="59"/>
        <v>2.1348048096011598</v>
      </c>
      <c r="F438" s="10">
        <f t="shared" si="63"/>
        <v>2.4385600145109265E-3</v>
      </c>
      <c r="G438" s="10">
        <f t="shared" si="60"/>
        <v>-0.95414224214481336</v>
      </c>
      <c r="H438" s="10">
        <f t="shared" si="61"/>
        <v>0.27805254710166305</v>
      </c>
      <c r="I438" s="10">
        <f t="shared" si="64"/>
        <v>1.3763885207457305E-4</v>
      </c>
      <c r="J438" s="20">
        <f t="shared" si="62"/>
        <v>0</v>
      </c>
      <c r="K438" s="10">
        <f t="shared" si="65"/>
        <v>1.142940016299776E-3</v>
      </c>
      <c r="L438" s="10">
        <f t="shared" si="66"/>
        <v>6.8576400977971019E-4</v>
      </c>
    </row>
    <row r="439" spans="1:12" x14ac:dyDescent="0.2">
      <c r="A439" s="14">
        <v>0.374</v>
      </c>
      <c r="B439" s="10">
        <f t="shared" si="56"/>
        <v>-0.51509457368556666</v>
      </c>
      <c r="C439" s="10">
        <f t="shared" si="57"/>
        <v>6.4901916284381397E-2</v>
      </c>
      <c r="D439" s="10">
        <f t="shared" si="58"/>
        <v>0.75953908135750381</v>
      </c>
      <c r="E439" s="10">
        <f t="shared" si="59"/>
        <v>2.1372908762232021</v>
      </c>
      <c r="F439" s="10">
        <f t="shared" si="63"/>
        <v>2.4860666220423155E-3</v>
      </c>
      <c r="G439" s="10">
        <f t="shared" si="60"/>
        <v>-0.95344392438636349</v>
      </c>
      <c r="H439" s="10">
        <f t="shared" si="61"/>
        <v>0.27819274866345212</v>
      </c>
      <c r="I439" s="10">
        <f t="shared" si="64"/>
        <v>1.4020156178906618E-4</v>
      </c>
      <c r="J439" s="20">
        <f t="shared" si="62"/>
        <v>0</v>
      </c>
      <c r="K439" s="10">
        <f t="shared" si="65"/>
        <v>1.1638629307495485E-3</v>
      </c>
      <c r="L439" s="10">
        <f t="shared" si="66"/>
        <v>6.9831775844986232E-4</v>
      </c>
    </row>
    <row r="440" spans="1:12" x14ac:dyDescent="0.2">
      <c r="A440" s="14">
        <v>0.375</v>
      </c>
      <c r="B440" s="10">
        <f t="shared" si="56"/>
        <v>-0.51082562376599072</v>
      </c>
      <c r="C440" s="10">
        <f t="shared" si="57"/>
        <v>6.385320297074884E-2</v>
      </c>
      <c r="D440" s="10">
        <f t="shared" si="58"/>
        <v>0.76072385701833778</v>
      </c>
      <c r="E440" s="10">
        <f t="shared" si="59"/>
        <v>2.13982458707657</v>
      </c>
      <c r="F440" s="10">
        <f t="shared" si="63"/>
        <v>2.5337108533678432E-3</v>
      </c>
      <c r="G440" s="10">
        <f t="shared" si="60"/>
        <v>-0.95273305898986327</v>
      </c>
      <c r="H440" s="10">
        <f t="shared" si="61"/>
        <v>0.27833551403664814</v>
      </c>
      <c r="I440" s="10">
        <f t="shared" si="64"/>
        <v>1.4276537319601879E-4</v>
      </c>
      <c r="J440" s="20">
        <f t="shared" si="62"/>
        <v>0</v>
      </c>
      <c r="K440" s="10">
        <f t="shared" si="65"/>
        <v>1.1847756608339699E-3</v>
      </c>
      <c r="L440" s="10">
        <f t="shared" si="66"/>
        <v>7.1086539650022651E-4</v>
      </c>
    </row>
    <row r="441" spans="1:12" x14ac:dyDescent="0.2">
      <c r="A441" s="14">
        <v>0.376</v>
      </c>
      <c r="B441" s="10">
        <f t="shared" si="56"/>
        <v>-0.50656122497953315</v>
      </c>
      <c r="C441" s="10">
        <f t="shared" si="57"/>
        <v>6.2813591897462107E-2</v>
      </c>
      <c r="D441" s="10">
        <f t="shared" si="58"/>
        <v>0.76192953557682053</v>
      </c>
      <c r="E441" s="10">
        <f t="shared" si="59"/>
        <v>2.1424060836149166</v>
      </c>
      <c r="F441" s="10">
        <f t="shared" si="63"/>
        <v>2.581496538346606E-3</v>
      </c>
      <c r="G441" s="10">
        <f t="shared" si="60"/>
        <v>-0.95200965185477349</v>
      </c>
      <c r="H441" s="10">
        <f t="shared" si="61"/>
        <v>0.27848084440434334</v>
      </c>
      <c r="I441" s="10">
        <f t="shared" si="64"/>
        <v>1.4533036769520669E-4</v>
      </c>
      <c r="J441" s="20">
        <f t="shared" si="62"/>
        <v>0</v>
      </c>
      <c r="K441" s="10">
        <f t="shared" si="65"/>
        <v>1.2056785584827479E-3</v>
      </c>
      <c r="L441" s="10">
        <f t="shared" si="66"/>
        <v>7.2340713508978194E-4</v>
      </c>
    </row>
    <row r="442" spans="1:12" x14ac:dyDescent="0.2">
      <c r="A442" s="14">
        <v>0.377</v>
      </c>
      <c r="B442" s="10">
        <f t="shared" si="56"/>
        <v>-0.50230133133944233</v>
      </c>
      <c r="C442" s="10">
        <f t="shared" si="57"/>
        <v>6.1783063754751406E-2</v>
      </c>
      <c r="D442" s="10">
        <f t="shared" si="58"/>
        <v>0.76315610755090169</v>
      </c>
      <c r="E442" s="10">
        <f t="shared" si="59"/>
        <v>2.1450355111355721</v>
      </c>
      <c r="F442" s="10">
        <f t="shared" si="63"/>
        <v>2.6294275206555362E-3</v>
      </c>
      <c r="G442" s="10">
        <f t="shared" si="60"/>
        <v>-0.95127370867032479</v>
      </c>
      <c r="H442" s="10">
        <f t="shared" si="61"/>
        <v>0.27862874103077084</v>
      </c>
      <c r="I442" s="10">
        <f t="shared" si="64"/>
        <v>1.4789662642750168E-4</v>
      </c>
      <c r="J442" s="20">
        <f t="shared" si="62"/>
        <v>0</v>
      </c>
      <c r="K442" s="10">
        <f t="shared" si="65"/>
        <v>1.2265719740811587E-3</v>
      </c>
      <c r="L442" s="10">
        <f t="shared" si="66"/>
        <v>7.3594318444869522E-4</v>
      </c>
    </row>
    <row r="443" spans="1:12" x14ac:dyDescent="0.2">
      <c r="A443" s="14">
        <v>0.378</v>
      </c>
      <c r="B443" s="10">
        <f t="shared" si="56"/>
        <v>-0.49804589711959169</v>
      </c>
      <c r="C443" s="10">
        <f t="shared" si="57"/>
        <v>6.0761599448590185E-2</v>
      </c>
      <c r="D443" s="10">
        <f t="shared" si="58"/>
        <v>0.76440356380740226</v>
      </c>
      <c r="E443" s="10">
        <f t="shared" si="59"/>
        <v>2.1477130187939779</v>
      </c>
      <c r="F443" s="10">
        <f t="shared" si="63"/>
        <v>2.6775076584057977E-3</v>
      </c>
      <c r="G443" s="10">
        <f t="shared" si="60"/>
        <v>-0.95052523491642438</v>
      </c>
      <c r="H443" s="10">
        <f t="shared" si="61"/>
        <v>0.27877920526105127</v>
      </c>
      <c r="I443" s="10">
        <f t="shared" si="64"/>
        <v>1.5046423028042266E-4</v>
      </c>
      <c r="J443" s="20">
        <f t="shared" si="62"/>
        <v>0</v>
      </c>
      <c r="K443" s="10">
        <f t="shared" si="65"/>
        <v>1.2474562565005787E-3</v>
      </c>
      <c r="L443" s="10">
        <f t="shared" si="66"/>
        <v>7.4847375390041382E-4</v>
      </c>
    </row>
    <row r="444" spans="1:12" x14ac:dyDescent="0.2">
      <c r="A444" s="14">
        <v>0.379</v>
      </c>
      <c r="B444" s="10">
        <f t="shared" si="56"/>
        <v>-0.49379487685105233</v>
      </c>
      <c r="C444" s="10">
        <f t="shared" si="57"/>
        <v>5.9749180098977332E-2</v>
      </c>
      <c r="D444" s="10">
        <f t="shared" si="58"/>
        <v>0.76567189556053483</v>
      </c>
      <c r="E444" s="10">
        <f t="shared" si="59"/>
        <v>2.1504387596187495</v>
      </c>
      <c r="F444" s="10">
        <f t="shared" si="63"/>
        <v>2.7257408247716164E-3</v>
      </c>
      <c r="G444" s="10">
        <f t="shared" si="60"/>
        <v>-0.94976423586454495</v>
      </c>
      <c r="H444" s="10">
        <f t="shared" si="61"/>
        <v>0.27893223852094445</v>
      </c>
      <c r="I444" s="10">
        <f t="shared" si="64"/>
        <v>1.5303325989318717E-4</v>
      </c>
      <c r="J444" s="20">
        <f t="shared" si="62"/>
        <v>0</v>
      </c>
      <c r="K444" s="10">
        <f t="shared" si="65"/>
        <v>1.2683317531325677E-3</v>
      </c>
      <c r="L444" s="10">
        <f t="shared" si="66"/>
        <v>7.6099905187942962E-4</v>
      </c>
    </row>
    <row r="445" spans="1:12" x14ac:dyDescent="0.2">
      <c r="A445" s="14">
        <v>0.38</v>
      </c>
      <c r="B445" s="10">
        <f t="shared" si="56"/>
        <v>-0.48954822531870579</v>
      </c>
      <c r="C445" s="10">
        <f t="shared" si="57"/>
        <v>5.8745787038244693E-2</v>
      </c>
      <c r="D445" s="10">
        <f t="shared" si="58"/>
        <v>0.76696109437045457</v>
      </c>
      <c r="E445" s="10">
        <f t="shared" si="59"/>
        <v>2.1532128905273633</v>
      </c>
      <c r="F445" s="10">
        <f t="shared" si="63"/>
        <v>2.7741309086137811E-3</v>
      </c>
      <c r="G445" s="10">
        <f t="shared" si="60"/>
        <v>-0.94899071657859302</v>
      </c>
      <c r="H445" s="10">
        <f t="shared" si="61"/>
        <v>0.27908784231660722</v>
      </c>
      <c r="I445" s="10">
        <f t="shared" si="64"/>
        <v>1.5560379566276206E-4</v>
      </c>
      <c r="J445" s="20">
        <f t="shared" si="62"/>
        <v>0</v>
      </c>
      <c r="K445" s="10">
        <f t="shared" si="65"/>
        <v>1.2891988099197338E-3</v>
      </c>
      <c r="L445" s="10">
        <f t="shared" si="66"/>
        <v>7.7351928595192909E-4</v>
      </c>
    </row>
    <row r="446" spans="1:12" x14ac:dyDescent="0.2">
      <c r="A446" s="14">
        <v>0.38100000000000001</v>
      </c>
      <c r="B446" s="10">
        <f t="shared" si="56"/>
        <v>-0.48530589755789511</v>
      </c>
      <c r="C446" s="10">
        <f t="shared" si="57"/>
        <v>5.7751401809389515E-2</v>
      </c>
      <c r="D446" s="10">
        <f t="shared" si="58"/>
        <v>0.76827115214184349</v>
      </c>
      <c r="E446" s="10">
        <f t="shared" si="59"/>
        <v>2.1560355723424749</v>
      </c>
      <c r="F446" s="10">
        <f t="shared" si="63"/>
        <v>2.8226818151115829E-3</v>
      </c>
      <c r="G446" s="10">
        <f t="shared" si="60"/>
        <v>-0.94820468191575968</v>
      </c>
      <c r="H446" s="10">
        <f t="shared" si="61"/>
        <v>0.27924601823435558</v>
      </c>
      <c r="I446" s="10">
        <f t="shared" si="64"/>
        <v>1.5817591774835993E-4</v>
      </c>
      <c r="J446" s="20">
        <f t="shared" si="62"/>
        <v>0</v>
      </c>
      <c r="K446" s="10">
        <f t="shared" si="65"/>
        <v>1.3100577713889283E-3</v>
      </c>
      <c r="L446" s="10">
        <f t="shared" si="66"/>
        <v>7.8603466283333479E-4</v>
      </c>
    </row>
    <row r="447" spans="1:12" x14ac:dyDescent="0.2">
      <c r="A447" s="14">
        <v>0.38200000000000001</v>
      </c>
      <c r="B447" s="10">
        <f t="shared" si="56"/>
        <v>-0.48106784885111559</v>
      </c>
      <c r="C447" s="10">
        <f t="shared" si="57"/>
        <v>5.6766006164431636E-2</v>
      </c>
      <c r="D447" s="10">
        <f t="shared" si="58"/>
        <v>0.76960206112252472</v>
      </c>
      <c r="E447" s="10">
        <f t="shared" si="59"/>
        <v>2.1589069698088648</v>
      </c>
      <c r="F447" s="10">
        <f t="shared" si="63"/>
        <v>2.8713974663898689E-3</v>
      </c>
      <c r="G447" s="10">
        <f t="shared" si="60"/>
        <v>-0.94740613652735117</v>
      </c>
      <c r="H447" s="10">
        <f t="shared" si="61"/>
        <v>0.27940676794043301</v>
      </c>
      <c r="I447" s="10">
        <f t="shared" si="64"/>
        <v>1.6074970607743433E-4</v>
      </c>
      <c r="J447" s="20">
        <f t="shared" si="62"/>
        <v>0</v>
      </c>
      <c r="K447" s="10">
        <f t="shared" si="65"/>
        <v>1.3309089806812224E-3</v>
      </c>
      <c r="L447" s="10">
        <f t="shared" si="66"/>
        <v>7.9854538840851141E-4</v>
      </c>
    </row>
    <row r="448" spans="1:12" x14ac:dyDescent="0.2">
      <c r="A448" s="14">
        <v>0.38300000000000001</v>
      </c>
      <c r="B448" s="10">
        <f t="shared" si="56"/>
        <v>-0.47683403472474178</v>
      </c>
      <c r="C448" s="10">
        <f t="shared" si="57"/>
        <v>5.5789582062794787E-2</v>
      </c>
      <c r="D448" s="10">
        <f t="shared" si="58"/>
        <v>0.7709538139021096</v>
      </c>
      <c r="E448" s="10">
        <f t="shared" si="59"/>
        <v>2.1618272516110202</v>
      </c>
      <c r="F448" s="10">
        <f t="shared" si="63"/>
        <v>2.9202818021554222E-3</v>
      </c>
      <c r="G448" s="10">
        <f t="shared" si="60"/>
        <v>-0.94659508485960009</v>
      </c>
      <c r="H448" s="10">
        <f t="shared" si="61"/>
        <v>0.2795700931807838</v>
      </c>
      <c r="I448" s="10">
        <f t="shared" si="64"/>
        <v>1.6332524035078677E-4</v>
      </c>
      <c r="J448" s="20">
        <f t="shared" si="62"/>
        <v>0</v>
      </c>
      <c r="K448" s="10">
        <f t="shared" si="65"/>
        <v>1.3517527795848805E-3</v>
      </c>
      <c r="L448" s="10">
        <f t="shared" si="66"/>
        <v>8.1105166775108373E-4</v>
      </c>
    </row>
    <row r="449" spans="1:12" x14ac:dyDescent="0.2">
      <c r="A449" s="14">
        <v>0.38400000000000001</v>
      </c>
      <c r="B449" s="10">
        <f t="shared" si="56"/>
        <v>-0.47260441094579292</v>
      </c>
      <c r="C449" s="10">
        <f t="shared" si="57"/>
        <v>5.4822111669711973E-2</v>
      </c>
      <c r="D449" s="10">
        <f t="shared" si="58"/>
        <v>0.77232640341067427</v>
      </c>
      <c r="E449" s="10">
        <f t="shared" si="59"/>
        <v>2.1647965903913526</v>
      </c>
      <c r="F449" s="10">
        <f t="shared" si="63"/>
        <v>2.9693387803324534E-3</v>
      </c>
      <c r="G449" s="10">
        <f t="shared" si="60"/>
        <v>-0.94577153115446133</v>
      </c>
      <c r="H449" s="10">
        <f t="shared" si="61"/>
        <v>0.27973599578083042</v>
      </c>
      <c r="I449" s="10">
        <f t="shared" si="64"/>
        <v>1.6590260004661905E-4</v>
      </c>
      <c r="J449" s="20">
        <f t="shared" si="62"/>
        <v>0</v>
      </c>
      <c r="K449" s="10">
        <f t="shared" si="65"/>
        <v>1.37258950856467E-3</v>
      </c>
      <c r="L449" s="10">
        <f t="shared" si="66"/>
        <v>8.2355370513875759E-4</v>
      </c>
    </row>
    <row r="450" spans="1:12" x14ac:dyDescent="0.2">
      <c r="A450" s="14">
        <v>0.38500000000000001</v>
      </c>
      <c r="B450" s="10">
        <f t="shared" ref="B450:B513" si="67">LN(A450/(1-A450))</f>
        <v>-0.46837893351873355</v>
      </c>
      <c r="C450" s="10">
        <f t="shared" ref="C450:C513" si="68">(A450-0.5)*B450</f>
        <v>5.3863577354654357E-2</v>
      </c>
      <c r="D450" s="10">
        <f t="shared" ref="D450:D513" si="69">$B$45+$B$46*B450+$B$47*C450</f>
        <v>0.77371982291746733</v>
      </c>
      <c r="E450" s="10">
        <f t="shared" ref="E450:E513" si="70">$B$14+EXP(D450)</f>
        <v>2.1678151627690507</v>
      </c>
      <c r="F450" s="10">
        <f t="shared" si="63"/>
        <v>3.0185723776980922E-3</v>
      </c>
      <c r="G450" s="10">
        <f t="shared" ref="G450:G513" si="71">$C$45+$C$46*B450+$C$47*C450</f>
        <v>-0.94493547945038547</v>
      </c>
      <c r="H450" s="10">
        <f t="shared" ref="H450:H513" si="72">$C$14+($C$15-$C$14)/(1+EXP(-G450))</f>
        <v>0.27990447764525744</v>
      </c>
      <c r="I450" s="10">
        <f t="shared" si="64"/>
        <v>1.6848186442702806E-4</v>
      </c>
      <c r="J450" s="20">
        <f t="shared" ref="J450:J513" si="73">G450-($B$22+$B$21*D450)</f>
        <v>0</v>
      </c>
      <c r="K450" s="10">
        <f t="shared" si="65"/>
        <v>1.3934195067930588E-3</v>
      </c>
      <c r="L450" s="10">
        <f t="shared" si="66"/>
        <v>8.3605170407585749E-4</v>
      </c>
    </row>
    <row r="451" spans="1:12" x14ac:dyDescent="0.2">
      <c r="A451" s="14">
        <v>0.38600000000000001</v>
      </c>
      <c r="B451" s="10">
        <f t="shared" si="67"/>
        <v>-0.46415755868231151</v>
      </c>
      <c r="C451" s="10">
        <f t="shared" si="68"/>
        <v>5.2913961689783511E-2</v>
      </c>
      <c r="D451" s="10">
        <f t="shared" si="69"/>
        <v>0.77513406602964763</v>
      </c>
      <c r="E451" s="10">
        <f t="shared" si="70"/>
        <v>2.1708831493595762</v>
      </c>
      <c r="F451" s="10">
        <f t="shared" ref="F451:F514" si="74">E451-E450</f>
        <v>3.0679865905254289E-3</v>
      </c>
      <c r="G451" s="10">
        <f t="shared" si="71"/>
        <v>-0.94408693358307738</v>
      </c>
      <c r="H451" s="10">
        <f t="shared" si="72"/>
        <v>0.28007554075779917</v>
      </c>
      <c r="I451" s="10">
        <f t="shared" ref="I451:I514" si="75">H451-H450</f>
        <v>1.7106311254172502E-4</v>
      </c>
      <c r="J451" s="20">
        <f t="shared" si="73"/>
        <v>0</v>
      </c>
      <c r="K451" s="10">
        <f t="shared" ref="K451:K514" si="76">D451-D450</f>
        <v>1.4142431121803023E-3</v>
      </c>
      <c r="L451" s="10">
        <f t="shared" ref="L451:L514" si="77">G451-G450</f>
        <v>8.4854586730809256E-4</v>
      </c>
    </row>
    <row r="452" spans="1:12" x14ac:dyDescent="0.2">
      <c r="A452" s="14">
        <v>0.38700000000000001</v>
      </c>
      <c r="B452" s="10">
        <f t="shared" si="67"/>
        <v>-0.4599402429064296</v>
      </c>
      <c r="C452" s="10">
        <f t="shared" si="68"/>
        <v>5.1973247448426539E-2</v>
      </c>
      <c r="D452" s="10">
        <f t="shared" si="69"/>
        <v>0.77656912669105238</v>
      </c>
      <c r="E452" s="10">
        <f t="shared" si="70"/>
        <v>2.1740007347948076</v>
      </c>
      <c r="F452" s="10">
        <f t="shared" si="74"/>
        <v>3.1175854352314403E-3</v>
      </c>
      <c r="G452" s="10">
        <f t="shared" si="71"/>
        <v>-0.9432258971862344</v>
      </c>
      <c r="H452" s="10">
        <f t="shared" si="72"/>
        <v>0.28024918718103287</v>
      </c>
      <c r="I452" s="10">
        <f t="shared" si="75"/>
        <v>1.7364642323369761E-4</v>
      </c>
      <c r="J452" s="20">
        <f t="shared" si="73"/>
        <v>0</v>
      </c>
      <c r="K452" s="10">
        <f t="shared" si="76"/>
        <v>1.4350606614047523E-3</v>
      </c>
      <c r="L452" s="10">
        <f t="shared" si="77"/>
        <v>8.6103639684298461E-4</v>
      </c>
    </row>
    <row r="453" spans="1:12" x14ac:dyDescent="0.2">
      <c r="A453" s="14">
        <v>0.38800000000000001</v>
      </c>
      <c r="B453" s="10">
        <f t="shared" si="67"/>
        <v>-0.45572694288905252</v>
      </c>
      <c r="C453" s="10">
        <f t="shared" si="68"/>
        <v>5.1041417603573877E-2</v>
      </c>
      <c r="D453" s="10">
        <f t="shared" si="69"/>
        <v>0.77802499918099466</v>
      </c>
      <c r="E453" s="10">
        <f t="shared" si="70"/>
        <v>2.1771681077438263</v>
      </c>
      <c r="F453" s="10">
        <f t="shared" si="74"/>
        <v>3.1673729490186986E-3</v>
      </c>
      <c r="G453" s="10">
        <f t="shared" si="71"/>
        <v>-0.9423523736922691</v>
      </c>
      <c r="H453" s="10">
        <f t="shared" si="72"/>
        <v>0.28042541905617635</v>
      </c>
      <c r="I453" s="10">
        <f t="shared" si="75"/>
        <v>1.7623187514348437E-4</v>
      </c>
      <c r="J453" s="20">
        <f t="shared" si="73"/>
        <v>0</v>
      </c>
      <c r="K453" s="10">
        <f t="shared" si="76"/>
        <v>1.4558724899422781E-3</v>
      </c>
      <c r="L453" s="10">
        <f t="shared" si="77"/>
        <v>8.7352349396530027E-4</v>
      </c>
    </row>
    <row r="454" spans="1:12" x14ac:dyDescent="0.2">
      <c r="A454" s="14">
        <v>0.38900000000000001</v>
      </c>
      <c r="B454" s="10">
        <f t="shared" si="67"/>
        <v>-0.45151761555314895</v>
      </c>
      <c r="C454" s="10">
        <f t="shared" si="68"/>
        <v>5.0118455326399532E-2</v>
      </c>
      <c r="D454" s="10">
        <f t="shared" si="69"/>
        <v>0.77950167811308924</v>
      </c>
      <c r="E454" s="10">
        <f t="shared" si="70"/>
        <v>2.1803854609343549</v>
      </c>
      <c r="F454" s="10">
        <f t="shared" si="74"/>
        <v>3.2173531905286268E-3</v>
      </c>
      <c r="G454" s="10">
        <f t="shared" si="71"/>
        <v>-0.94146636633301239</v>
      </c>
      <c r="H454" s="10">
        <f t="shared" si="72"/>
        <v>0.2806042386028903</v>
      </c>
      <c r="I454" s="10">
        <f t="shared" si="75"/>
        <v>1.7881954671394862E-4</v>
      </c>
      <c r="J454" s="20">
        <f t="shared" si="73"/>
        <v>0</v>
      </c>
      <c r="K454" s="10">
        <f t="shared" si="76"/>
        <v>1.4766789320945772E-3</v>
      </c>
      <c r="L454" s="10">
        <f t="shared" si="77"/>
        <v>8.8600735925670193E-4</v>
      </c>
    </row>
    <row r="455" spans="1:12" x14ac:dyDescent="0.2">
      <c r="A455" s="14">
        <v>0.39</v>
      </c>
      <c r="B455" s="10">
        <f t="shared" si="67"/>
        <v>-0.44731221804366478</v>
      </c>
      <c r="C455" s="10">
        <f t="shared" si="68"/>
        <v>4.9204343984803119E-2</v>
      </c>
      <c r="D455" s="10">
        <f t="shared" si="69"/>
        <v>0.78099915843411016</v>
      </c>
      <c r="E455" s="10">
        <f t="shared" si="70"/>
        <v>2.1836529911748559</v>
      </c>
      <c r="F455" s="10">
        <f t="shared" si="74"/>
        <v>3.267530240500971E-3</v>
      </c>
      <c r="G455" s="10">
        <f t="shared" si="71"/>
        <v>-0.94056787814039988</v>
      </c>
      <c r="H455" s="10">
        <f t="shared" si="72"/>
        <v>0.28078564811908546</v>
      </c>
      <c r="I455" s="10">
        <f t="shared" si="75"/>
        <v>1.8140951619516343E-4</v>
      </c>
      <c r="J455" s="20">
        <f t="shared" si="73"/>
        <v>0</v>
      </c>
      <c r="K455" s="10">
        <f t="shared" si="76"/>
        <v>1.4974803210209275E-3</v>
      </c>
      <c r="L455" s="10">
        <f t="shared" si="77"/>
        <v>8.9848819261251212E-4</v>
      </c>
    </row>
    <row r="456" spans="1:12" x14ac:dyDescent="0.2">
      <c r="A456" s="14">
        <v>0.39100000000000001</v>
      </c>
      <c r="B456" s="10">
        <f t="shared" si="67"/>
        <v>-0.44311070772453126</v>
      </c>
      <c r="C456" s="10">
        <f t="shared" si="68"/>
        <v>4.8299067141973899E-2</v>
      </c>
      <c r="D456" s="10">
        <f t="shared" si="69"/>
        <v>0.78251743542287355</v>
      </c>
      <c r="E456" s="10">
        <f t="shared" si="70"/>
        <v>2.1869708993772776</v>
      </c>
      <c r="F456" s="10">
        <f t="shared" si="74"/>
        <v>3.3179082024217266E-3</v>
      </c>
      <c r="G456" s="10">
        <f t="shared" si="71"/>
        <v>-0.93965691194714185</v>
      </c>
      <c r="H456" s="10">
        <f t="shared" si="72"/>
        <v>0.28096964998073443</v>
      </c>
      <c r="I456" s="10">
        <f t="shared" si="75"/>
        <v>1.8400186164896359E-4</v>
      </c>
      <c r="J456" s="20">
        <f t="shared" si="73"/>
        <v>0</v>
      </c>
      <c r="K456" s="10">
        <f t="shared" si="76"/>
        <v>1.5182769887633896E-3</v>
      </c>
      <c r="L456" s="10">
        <f t="shared" si="77"/>
        <v>9.1096619325803374E-4</v>
      </c>
    </row>
    <row r="457" spans="1:12" x14ac:dyDescent="0.2">
      <c r="A457" s="14">
        <v>0.39200000000000002</v>
      </c>
      <c r="B457" s="10">
        <f t="shared" si="67"/>
        <v>-0.43891304217570448</v>
      </c>
      <c r="C457" s="10">
        <f t="shared" si="68"/>
        <v>4.7402608554976078E-2</v>
      </c>
      <c r="D457" s="10">
        <f t="shared" si="69"/>
        <v>0.784056504689152</v>
      </c>
      <c r="E457" s="10">
        <f t="shared" si="70"/>
        <v>2.1903393905804753</v>
      </c>
      <c r="F457" s="10">
        <f t="shared" si="74"/>
        <v>3.3684912031977099E-3</v>
      </c>
      <c r="G457" s="10">
        <f t="shared" si="71"/>
        <v>-0.93873347038737465</v>
      </c>
      <c r="H457" s="10">
        <f t="shared" si="72"/>
        <v>0.28115624664168731</v>
      </c>
      <c r="I457" s="10">
        <f t="shared" si="75"/>
        <v>1.8659666095288685E-4</v>
      </c>
      <c r="J457" s="20">
        <f t="shared" si="73"/>
        <v>0</v>
      </c>
      <c r="K457" s="10">
        <f t="shared" si="76"/>
        <v>1.5390692662784478E-3</v>
      </c>
      <c r="L457" s="10">
        <f t="shared" si="77"/>
        <v>9.2344155976720188E-4</v>
      </c>
    </row>
    <row r="458" spans="1:12" x14ac:dyDescent="0.2">
      <c r="A458" s="14">
        <v>0.39300000000000002</v>
      </c>
      <c r="B458" s="10">
        <f t="shared" si="67"/>
        <v>-0.43471917919023695</v>
      </c>
      <c r="C458" s="10">
        <f t="shared" si="68"/>
        <v>4.6514952173355349E-2</v>
      </c>
      <c r="D458" s="10">
        <f t="shared" si="69"/>
        <v>0.78561636217261532</v>
      </c>
      <c r="E458" s="10">
        <f t="shared" si="70"/>
        <v>2.1937586739742878</v>
      </c>
      <c r="F458" s="10">
        <f t="shared" si="74"/>
        <v>3.4192833938124778E-3</v>
      </c>
      <c r="G458" s="10">
        <f t="shared" si="71"/>
        <v>-0.93779755589729663</v>
      </c>
      <c r="H458" s="10">
        <f t="shared" si="72"/>
        <v>0.28134544063349254</v>
      </c>
      <c r="I458" s="10">
        <f t="shared" si="75"/>
        <v>1.8919399180522545E-4</v>
      </c>
      <c r="J458" s="20">
        <f t="shared" si="73"/>
        <v>0</v>
      </c>
      <c r="K458" s="10">
        <f t="shared" si="76"/>
        <v>1.5598574834633228E-3</v>
      </c>
      <c r="L458" s="10">
        <f t="shared" si="77"/>
        <v>9.3591449007801586E-4</v>
      </c>
    </row>
    <row r="459" spans="1:12" x14ac:dyDescent="0.2">
      <c r="A459" s="14">
        <v>0.39400000000000002</v>
      </c>
      <c r="B459" s="10">
        <f t="shared" si="67"/>
        <v>-0.43052907677138047</v>
      </c>
      <c r="C459" s="10">
        <f t="shared" si="68"/>
        <v>4.5636082137766321E-2</v>
      </c>
      <c r="D459" s="10">
        <f t="shared" si="69"/>
        <v>0.78719700414180049</v>
      </c>
      <c r="E459" s="10">
        <f t="shared" si="70"/>
        <v>2.1972289629242927</v>
      </c>
      <c r="F459" s="10">
        <f t="shared" si="74"/>
        <v>3.4702889500048961E-3</v>
      </c>
      <c r="G459" s="10">
        <f t="shared" si="71"/>
        <v>-0.93684917071578555</v>
      </c>
      <c r="H459" s="10">
        <f t="shared" si="72"/>
        <v>0.28153723456522173</v>
      </c>
      <c r="I459" s="10">
        <f t="shared" si="75"/>
        <v>1.9179393172918946E-4</v>
      </c>
      <c r="J459" s="20">
        <f t="shared" si="73"/>
        <v>0</v>
      </c>
      <c r="K459" s="10">
        <f t="shared" si="76"/>
        <v>1.5806419691851703E-3</v>
      </c>
      <c r="L459" s="10">
        <f t="shared" si="77"/>
        <v>9.4838518151107998E-4</v>
      </c>
    </row>
    <row r="460" spans="1:12" x14ac:dyDescent="0.2">
      <c r="A460" s="14">
        <v>0.39500000000000002</v>
      </c>
      <c r="B460" s="10">
        <f t="shared" si="67"/>
        <v>-0.42634269312971951</v>
      </c>
      <c r="C460" s="10">
        <f t="shared" si="68"/>
        <v>4.4765982778620539E-2</v>
      </c>
      <c r="D460" s="10">
        <f t="shared" si="69"/>
        <v>0.78879842719310822</v>
      </c>
      <c r="E460" s="10">
        <f t="shared" si="70"/>
        <v>2.2007504749972324</v>
      </c>
      <c r="F460" s="10">
        <f t="shared" si="74"/>
        <v>3.5215120729397142E-3</v>
      </c>
      <c r="G460" s="10">
        <f t="shared" si="71"/>
        <v>-0.93588831688500096</v>
      </c>
      <c r="H460" s="10">
        <f t="shared" si="72"/>
        <v>0.28173163112329874</v>
      </c>
      <c r="I460" s="10">
        <f t="shared" si="75"/>
        <v>1.9439655807701461E-4</v>
      </c>
      <c r="J460" s="20">
        <f t="shared" si="73"/>
        <v>0</v>
      </c>
      <c r="K460" s="10">
        <f t="shared" si="76"/>
        <v>1.6014230513077266E-3</v>
      </c>
      <c r="L460" s="10">
        <f t="shared" si="77"/>
        <v>9.6085383078459152E-4</v>
      </c>
    </row>
    <row r="461" spans="1:12" x14ac:dyDescent="0.2">
      <c r="A461" s="14">
        <v>0.39600000000000002</v>
      </c>
      <c r="B461" s="10">
        <f t="shared" si="67"/>
        <v>-0.42215998668033439</v>
      </c>
      <c r="C461" s="10">
        <f t="shared" si="68"/>
        <v>4.3904638614754771E-2</v>
      </c>
      <c r="D461" s="10">
        <f t="shared" si="69"/>
        <v>0.79042062824982806</v>
      </c>
      <c r="E461" s="10">
        <f t="shared" si="70"/>
        <v>2.2043234319871217</v>
      </c>
      <c r="F461" s="10">
        <f t="shared" si="74"/>
        <v>3.5729569898892422E-3</v>
      </c>
      <c r="G461" s="10">
        <f t="shared" si="71"/>
        <v>-0.93491499625096908</v>
      </c>
      <c r="H461" s="10">
        <f t="shared" si="72"/>
        <v>0.28192863307133326</v>
      </c>
      <c r="I461" s="10">
        <f t="shared" si="75"/>
        <v>1.9700194803451421E-4</v>
      </c>
      <c r="J461" s="20">
        <f t="shared" si="73"/>
        <v>0</v>
      </c>
      <c r="K461" s="10">
        <f t="shared" si="76"/>
        <v>1.6222010567198408E-3</v>
      </c>
      <c r="L461" s="10">
        <f t="shared" si="77"/>
        <v>9.7332063403188229E-4</v>
      </c>
    </row>
    <row r="462" spans="1:12" x14ac:dyDescent="0.2">
      <c r="A462" s="14">
        <v>0.39700000000000002</v>
      </c>
      <c r="B462" s="10">
        <f t="shared" si="67"/>
        <v>-0.41798091603999504</v>
      </c>
      <c r="C462" s="10">
        <f t="shared" si="68"/>
        <v>4.3052034352119482E-2</v>
      </c>
      <c r="D462" s="10">
        <f t="shared" si="69"/>
        <v>0.7920636045611904</v>
      </c>
      <c r="E462" s="10">
        <f t="shared" si="70"/>
        <v>2.2079480599420398</v>
      </c>
      <c r="F462" s="10">
        <f t="shared" si="74"/>
        <v>3.6246279549181359E-3</v>
      </c>
      <c r="G462" s="10">
        <f t="shared" si="71"/>
        <v>-0.93392921046415145</v>
      </c>
      <c r="H462" s="10">
        <f t="shared" si="72"/>
        <v>0.28212824324995794</v>
      </c>
      <c r="I462" s="10">
        <f t="shared" si="75"/>
        <v>1.9961017862468733E-4</v>
      </c>
      <c r="J462" s="20">
        <f t="shared" si="73"/>
        <v>0</v>
      </c>
      <c r="K462" s="10">
        <f t="shared" si="76"/>
        <v>1.642976311362343E-3</v>
      </c>
      <c r="L462" s="10">
        <f t="shared" si="77"/>
        <v>9.8578578681762785E-4</v>
      </c>
    </row>
    <row r="463" spans="1:12" x14ac:dyDescent="0.2">
      <c r="A463" s="14">
        <v>0.39800000000000002</v>
      </c>
      <c r="B463" s="10">
        <f t="shared" si="67"/>
        <v>-0.41380544002438319</v>
      </c>
      <c r="C463" s="10">
        <f t="shared" si="68"/>
        <v>4.2208154882487074E-2</v>
      </c>
      <c r="D463" s="10">
        <f t="shared" si="69"/>
        <v>0.79372735370144565</v>
      </c>
      <c r="E463" s="10">
        <f t="shared" si="70"/>
        <v>2.2116245891916142</v>
      </c>
      <c r="F463" s="10">
        <f t="shared" si="74"/>
        <v>3.6765292495744006E-3</v>
      </c>
      <c r="G463" s="10">
        <f t="shared" si="71"/>
        <v>-0.93293096097999839</v>
      </c>
      <c r="H463" s="10">
        <f t="shared" si="72"/>
        <v>0.28233046457667044</v>
      </c>
      <c r="I463" s="10">
        <f t="shared" si="75"/>
        <v>2.0222132671249282E-4</v>
      </c>
      <c r="J463" s="20">
        <f t="shared" si="73"/>
        <v>0</v>
      </c>
      <c r="K463" s="10">
        <f t="shared" si="76"/>
        <v>1.663749140255244E-3</v>
      </c>
      <c r="L463" s="10">
        <f t="shared" si="77"/>
        <v>9.9824948415305759E-4</v>
      </c>
    </row>
    <row r="464" spans="1:12" x14ac:dyDescent="0.2">
      <c r="A464" s="14">
        <v>0.39900000000000002</v>
      </c>
      <c r="B464" s="10">
        <f t="shared" si="67"/>
        <v>-0.409633517645344</v>
      </c>
      <c r="C464" s="10">
        <f t="shared" si="68"/>
        <v>4.1372985282179739E-2</v>
      </c>
      <c r="D464" s="10">
        <f t="shared" si="69"/>
        <v>0.79541187356896881</v>
      </c>
      <c r="E464" s="10">
        <f t="shared" si="70"/>
        <v>2.2153532543751933</v>
      </c>
      <c r="F464" s="10">
        <f t="shared" si="74"/>
        <v>3.7286651835790607E-3</v>
      </c>
      <c r="G464" s="10">
        <f t="shared" si="71"/>
        <v>-0.93192024905948467</v>
      </c>
      <c r="H464" s="10">
        <f t="shared" si="72"/>
        <v>0.28253530004567856</v>
      </c>
      <c r="I464" s="10">
        <f t="shared" si="75"/>
        <v>2.0483546900812444E-4</v>
      </c>
      <c r="J464" s="20">
        <f t="shared" si="73"/>
        <v>0</v>
      </c>
      <c r="K464" s="10">
        <f t="shared" si="76"/>
        <v>1.6845198675231599E-3</v>
      </c>
      <c r="L464" s="10">
        <f t="shared" si="77"/>
        <v>1.0107119205137183E-3</v>
      </c>
    </row>
    <row r="465" spans="1:12" x14ac:dyDescent="0.2">
      <c r="A465" s="14">
        <v>0.4</v>
      </c>
      <c r="B465" s="10">
        <f t="shared" si="67"/>
        <v>-0.40546510810816427</v>
      </c>
      <c r="C465" s="10">
        <f t="shared" si="68"/>
        <v>4.0546510810816422E-2</v>
      </c>
      <c r="D465" s="10">
        <f t="shared" si="69"/>
        <v>0.79711716238539321</v>
      </c>
      <c r="E465" s="10">
        <f t="shared" si="70"/>
        <v>2.2191342944707282</v>
      </c>
      <c r="F465" s="10">
        <f t="shared" si="74"/>
        <v>3.7810400955349266E-3</v>
      </c>
      <c r="G465" s="10">
        <f t="shared" si="71"/>
        <v>-0.93089707576962999</v>
      </c>
      <c r="H465" s="10">
        <f t="shared" si="72"/>
        <v>0.28274275272775018</v>
      </c>
      <c r="I465" s="10">
        <f t="shared" si="75"/>
        <v>2.0745268207161827E-4</v>
      </c>
      <c r="J465" s="20">
        <f t="shared" si="73"/>
        <v>0</v>
      </c>
      <c r="K465" s="10">
        <f t="shared" si="76"/>
        <v>1.7052888164243996E-3</v>
      </c>
      <c r="L465" s="10">
        <f t="shared" si="77"/>
        <v>1.0231732898546841E-3</v>
      </c>
    </row>
    <row r="466" spans="1:12" x14ac:dyDescent="0.2">
      <c r="A466" s="14">
        <v>0.40100000000000002</v>
      </c>
      <c r="B466" s="10">
        <f t="shared" si="67"/>
        <v>-0.40130017080888003</v>
      </c>
      <c r="C466" s="10">
        <f t="shared" si="68"/>
        <v>3.9728716910079113E-2</v>
      </c>
      <c r="D466" s="10">
        <f t="shared" si="69"/>
        <v>0.79884321869476893</v>
      </c>
      <c r="E466" s="10">
        <f t="shared" si="70"/>
        <v>2.2229679528243542</v>
      </c>
      <c r="F466" s="10">
        <f t="shared" si="74"/>
        <v>3.8336583536260349E-3</v>
      </c>
      <c r="G466" s="10">
        <f t="shared" si="71"/>
        <v>-0.92986144198400444</v>
      </c>
      <c r="H466" s="10">
        <f t="shared" si="72"/>
        <v>0.28295282577006664</v>
      </c>
      <c r="I466" s="10">
        <f t="shared" si="75"/>
        <v>2.1007304231646096E-4</v>
      </c>
      <c r="J466" s="20">
        <f t="shared" si="73"/>
        <v>0</v>
      </c>
      <c r="K466" s="10">
        <f t="shared" si="76"/>
        <v>1.7260563093757231E-3</v>
      </c>
      <c r="L466" s="10">
        <f t="shared" si="77"/>
        <v>1.0356337856255449E-3</v>
      </c>
    </row>
    <row r="467" spans="1:12" x14ac:dyDescent="0.2">
      <c r="A467" s="14">
        <v>0.40200000000000002</v>
      </c>
      <c r="B467" s="10">
        <f t="shared" si="67"/>
        <v>-0.39713866533161052</v>
      </c>
      <c r="C467" s="10">
        <f t="shared" si="68"/>
        <v>3.8919589202497822E-2</v>
      </c>
      <c r="D467" s="10">
        <f t="shared" si="69"/>
        <v>0.80059004136274758</v>
      </c>
      <c r="E467" s="10">
        <f t="shared" si="70"/>
        <v>2.2268544771806855</v>
      </c>
      <c r="F467" s="10">
        <f t="shared" si="74"/>
        <v>3.8865243563313001E-3</v>
      </c>
      <c r="G467" s="10">
        <f t="shared" si="71"/>
        <v>-0.92881334838321727</v>
      </c>
      <c r="H467" s="10">
        <f t="shared" si="72"/>
        <v>0.28316552239607962</v>
      </c>
      <c r="I467" s="10">
        <f t="shared" si="75"/>
        <v>2.126966260129759E-4</v>
      </c>
      <c r="J467" s="20">
        <f t="shared" si="73"/>
        <v>0</v>
      </c>
      <c r="K467" s="10">
        <f t="shared" si="76"/>
        <v>1.7468226679786536E-3</v>
      </c>
      <c r="L467" s="10">
        <f t="shared" si="77"/>
        <v>1.04809360078717E-3</v>
      </c>
    </row>
    <row r="468" spans="1:12" x14ac:dyDescent="0.2">
      <c r="A468" s="14">
        <v>0.40300000000000002</v>
      </c>
      <c r="B468" s="10">
        <f t="shared" si="67"/>
        <v>-0.39298055144591898</v>
      </c>
      <c r="C468" s="10">
        <f t="shared" si="68"/>
        <v>3.8119113490254132E-2</v>
      </c>
      <c r="D468" s="10">
        <f t="shared" si="69"/>
        <v>0.80235762957579293</v>
      </c>
      <c r="E468" s="10">
        <f t="shared" si="70"/>
        <v>2.230794119713829</v>
      </c>
      <c r="F468" s="10">
        <f t="shared" si="74"/>
        <v>3.9396425331434948E-3</v>
      </c>
      <c r="G468" s="10">
        <f t="shared" si="71"/>
        <v>-0.92775279545539013</v>
      </c>
      <c r="H468" s="10">
        <f t="shared" si="72"/>
        <v>0.28338084590537266</v>
      </c>
      <c r="I468" s="10">
        <f t="shared" si="75"/>
        <v>2.1532350929304167E-4</v>
      </c>
      <c r="J468" s="20">
        <f t="shared" si="73"/>
        <v>0</v>
      </c>
      <c r="K468" s="10">
        <f t="shared" si="76"/>
        <v>1.7675882130453457E-3</v>
      </c>
      <c r="L468" s="10">
        <f t="shared" si="77"/>
        <v>1.0605529278271408E-3</v>
      </c>
    </row>
    <row r="469" spans="1:12" x14ac:dyDescent="0.2">
      <c r="A469" s="14">
        <v>0.40400000000000003</v>
      </c>
      <c r="B469" s="10">
        <f t="shared" si="67"/>
        <v>-0.38882578910419968</v>
      </c>
      <c r="C469" s="10">
        <f t="shared" si="68"/>
        <v>3.7327275754003159E-2</v>
      </c>
      <c r="D469" s="10">
        <f t="shared" si="69"/>
        <v>0.80414598284041816</v>
      </c>
      <c r="E469" s="10">
        <f t="shared" si="70"/>
        <v>2.2347871370591204</v>
      </c>
      <c r="F469" s="10">
        <f t="shared" si="74"/>
        <v>3.9930173452913387E-3</v>
      </c>
      <c r="G469" s="10">
        <f t="shared" si="71"/>
        <v>-0.92667978349661495</v>
      </c>
      <c r="H469" s="10">
        <f t="shared" si="72"/>
        <v>0.28359879967352553</v>
      </c>
      <c r="I469" s="10">
        <f t="shared" si="75"/>
        <v>2.179537681528676E-4</v>
      </c>
      <c r="J469" s="20">
        <f t="shared" si="73"/>
        <v>0</v>
      </c>
      <c r="K469" s="10">
        <f t="shared" si="76"/>
        <v>1.7883532646252309E-3</v>
      </c>
      <c r="L469" s="10">
        <f t="shared" si="77"/>
        <v>1.073011958775183E-3</v>
      </c>
    </row>
    <row r="470" spans="1:12" x14ac:dyDescent="0.2">
      <c r="A470" s="14">
        <v>0.40500000000000003</v>
      </c>
      <c r="B470" s="10">
        <f t="shared" si="67"/>
        <v>-0.3846743384390906</v>
      </c>
      <c r="C470" s="10">
        <f t="shared" si="68"/>
        <v>3.6544062151713595E-2</v>
      </c>
      <c r="D470" s="10">
        <f t="shared" si="69"/>
        <v>0.8059551009824476</v>
      </c>
      <c r="E470" s="10">
        <f t="shared" si="70"/>
        <v>2.2388337903455922</v>
      </c>
      <c r="F470" s="10">
        <f t="shared" si="74"/>
        <v>4.0466532864718019E-3</v>
      </c>
      <c r="G470" s="10">
        <f t="shared" si="71"/>
        <v>-0.92559431261139724</v>
      </c>
      <c r="H470" s="10">
        <f t="shared" si="72"/>
        <v>0.28381938715198257</v>
      </c>
      <c r="I470" s="10">
        <f t="shared" si="75"/>
        <v>2.2058747845704607E-4</v>
      </c>
      <c r="J470" s="20">
        <f t="shared" si="73"/>
        <v>0</v>
      </c>
      <c r="K470" s="10">
        <f t="shared" si="76"/>
        <v>1.8091181420294422E-3</v>
      </c>
      <c r="L470" s="10">
        <f t="shared" si="77"/>
        <v>1.0854708852177097E-3</v>
      </c>
    </row>
    <row r="471" spans="1:12" x14ac:dyDescent="0.2">
      <c r="A471" s="14">
        <v>0.40600000000000003</v>
      </c>
      <c r="B471" s="10">
        <f t="shared" si="67"/>
        <v>-0.38052615976091214</v>
      </c>
      <c r="C471" s="10">
        <f t="shared" si="68"/>
        <v>3.5769459017525727E-2</v>
      </c>
      <c r="D471" s="10">
        <f t="shared" si="69"/>
        <v>0.80778498414630473</v>
      </c>
      <c r="E471" s="10">
        <f t="shared" si="70"/>
        <v>2.2429343452291755</v>
      </c>
      <c r="F471" s="10">
        <f t="shared" si="74"/>
        <v>4.1005548835832961E-3</v>
      </c>
      <c r="G471" s="10">
        <f t="shared" si="71"/>
        <v>-0.9244963827130831</v>
      </c>
      <c r="H471" s="10">
        <f t="shared" si="72"/>
        <v>0.28404261186792457</v>
      </c>
      <c r="I471" s="10">
        <f t="shared" si="75"/>
        <v>2.2322471594199422E-4</v>
      </c>
      <c r="J471" s="20">
        <f t="shared" si="73"/>
        <v>0</v>
      </c>
      <c r="K471" s="10">
        <f t="shared" si="76"/>
        <v>1.8298831638571267E-3</v>
      </c>
      <c r="L471" s="10">
        <f t="shared" si="77"/>
        <v>1.0979298983141428E-3</v>
      </c>
    </row>
    <row r="472" spans="1:12" x14ac:dyDescent="0.2">
      <c r="A472" s="14">
        <v>0.40699999999999997</v>
      </c>
      <c r="B472" s="10">
        <f t="shared" si="67"/>
        <v>-0.37638121355513054</v>
      </c>
      <c r="C472" s="10">
        <f t="shared" si="68"/>
        <v>3.500345286062715E-2</v>
      </c>
      <c r="D472" s="10">
        <f t="shared" si="69"/>
        <v>0.80963563279432371</v>
      </c>
      <c r="E472" s="10">
        <f t="shared" si="70"/>
        <v>2.2470890719266485</v>
      </c>
      <c r="F472" s="10">
        <f t="shared" si="74"/>
        <v>4.1547266974730768E-3</v>
      </c>
      <c r="G472" s="10">
        <f t="shared" si="71"/>
        <v>-0.92338599352427164</v>
      </c>
      <c r="H472" s="10">
        <f t="shared" si="72"/>
        <v>0.28426847742414435</v>
      </c>
      <c r="I472" s="10">
        <f t="shared" si="75"/>
        <v>2.2586555621978421E-4</v>
      </c>
      <c r="J472" s="20">
        <f t="shared" si="73"/>
        <v>0</v>
      </c>
      <c r="K472" s="10">
        <f t="shared" si="76"/>
        <v>1.8506486480189821E-3</v>
      </c>
      <c r="L472" s="10">
        <f t="shared" si="77"/>
        <v>1.1103891888114559E-3</v>
      </c>
    </row>
    <row r="473" spans="1:12" x14ac:dyDescent="0.2">
      <c r="A473" s="14">
        <v>0.40799999999999997</v>
      </c>
      <c r="B473" s="10">
        <f t="shared" si="67"/>
        <v>-0.37223946047984419</v>
      </c>
      <c r="C473" s="10">
        <f t="shared" si="68"/>
        <v>3.4246030364145676E-2</v>
      </c>
      <c r="D473" s="10">
        <f t="shared" si="69"/>
        <v>0.81150704770608939</v>
      </c>
      <c r="E473" s="10">
        <f t="shared" si="70"/>
        <v>2.251298245250335</v>
      </c>
      <c r="F473" s="10">
        <f t="shared" si="74"/>
        <v>4.2091733236864215E-3</v>
      </c>
      <c r="G473" s="10">
        <f t="shared" si="71"/>
        <v>-0.92226314457721226</v>
      </c>
      <c r="H473" s="10">
        <f t="shared" si="72"/>
        <v>0.28449698749892527</v>
      </c>
      <c r="I473" s="10">
        <f t="shared" si="75"/>
        <v>2.2851007478091878E-4</v>
      </c>
      <c r="J473" s="20">
        <f t="shared" si="73"/>
        <v>0</v>
      </c>
      <c r="K473" s="10">
        <f t="shared" si="76"/>
        <v>1.8714149117656786E-3</v>
      </c>
      <c r="L473" s="10">
        <f t="shared" si="77"/>
        <v>1.122848947059385E-3</v>
      </c>
    </row>
    <row r="474" spans="1:12" x14ac:dyDescent="0.2">
      <c r="A474" s="14">
        <v>0.40899999999999997</v>
      </c>
      <c r="B474" s="10">
        <f t="shared" si="67"/>
        <v>-0.36810086136329639</v>
      </c>
      <c r="C474" s="10">
        <f t="shared" si="68"/>
        <v>3.3497178384059981E-2</v>
      </c>
      <c r="D474" s="10">
        <f t="shared" si="69"/>
        <v>0.81339922997779834</v>
      </c>
      <c r="E474" s="10">
        <f t="shared" si="70"/>
        <v>2.2555621446435579</v>
      </c>
      <c r="F474" s="10">
        <f t="shared" si="74"/>
        <v>4.2638993932229141E-3</v>
      </c>
      <c r="G474" s="10">
        <f t="shared" si="71"/>
        <v>-0.92112783521418695</v>
      </c>
      <c r="H474" s="10">
        <f t="shared" si="72"/>
        <v>0.28472814584592354</v>
      </c>
      <c r="I474" s="10">
        <f t="shared" si="75"/>
        <v>2.3115834699827253E-4</v>
      </c>
      <c r="J474" s="20">
        <f t="shared" si="73"/>
        <v>0</v>
      </c>
      <c r="K474" s="10">
        <f t="shared" si="76"/>
        <v>1.8921822717089531E-3</v>
      </c>
      <c r="L474" s="10">
        <f t="shared" si="77"/>
        <v>1.1353093630253053E-3</v>
      </c>
    </row>
    <row r="475" spans="1:12" x14ac:dyDescent="0.2">
      <c r="A475" s="14">
        <v>0.41</v>
      </c>
      <c r="B475" s="10">
        <f t="shared" si="67"/>
        <v>-0.36396537720141192</v>
      </c>
      <c r="C475" s="10">
        <f t="shared" si="68"/>
        <v>3.2756883948127084E-2</v>
      </c>
      <c r="D475" s="10">
        <f t="shared" si="69"/>
        <v>0.8153121810216456</v>
      </c>
      <c r="E475" s="10">
        <f t="shared" si="70"/>
        <v>2.2598810542168599</v>
      </c>
      <c r="F475" s="10">
        <f t="shared" si="74"/>
        <v>4.3189095733020544E-3</v>
      </c>
      <c r="G475" s="10">
        <f t="shared" si="71"/>
        <v>-0.91998006458787851</v>
      </c>
      <c r="H475" s="10">
        <f t="shared" si="72"/>
        <v>0.28496195629405374</v>
      </c>
      <c r="I475" s="10">
        <f t="shared" si="75"/>
        <v>2.3381044813020058E-4</v>
      </c>
      <c r="J475" s="20">
        <f t="shared" si="73"/>
        <v>0</v>
      </c>
      <c r="K475" s="10">
        <f t="shared" si="76"/>
        <v>1.9129510438472552E-3</v>
      </c>
      <c r="L475" s="10">
        <f t="shared" si="77"/>
        <v>1.147770626308442E-3</v>
      </c>
    </row>
    <row r="476" spans="1:12" x14ac:dyDescent="0.2">
      <c r="A476" s="14">
        <v>0.41099999999999998</v>
      </c>
      <c r="B476" s="10">
        <f t="shared" si="67"/>
        <v>-0.35983296915535207</v>
      </c>
      <c r="C476" s="10">
        <f t="shared" si="68"/>
        <v>3.2025134254826344E-2</v>
      </c>
      <c r="D476" s="10">
        <f t="shared" si="69"/>
        <v>0.81724590256523932</v>
      </c>
      <c r="E476" s="10">
        <f t="shared" si="70"/>
        <v>2.2642552627849981</v>
      </c>
      <c r="F476" s="10">
        <f t="shared" si="74"/>
        <v>4.3742085681381937E-3</v>
      </c>
      <c r="G476" s="10">
        <f t="shared" si="71"/>
        <v>-0.91881983166172232</v>
      </c>
      <c r="H476" s="10">
        <f t="shared" si="72"/>
        <v>0.28519842274737772</v>
      </c>
      <c r="I476" s="10">
        <f t="shared" si="75"/>
        <v>2.364664533239802E-4</v>
      </c>
      <c r="J476" s="20">
        <f t="shared" si="73"/>
        <v>0</v>
      </c>
      <c r="K476" s="10">
        <f t="shared" si="76"/>
        <v>1.9337215435937249E-3</v>
      </c>
      <c r="L476" s="10">
        <f t="shared" si="77"/>
        <v>1.1602329261561906E-3</v>
      </c>
    </row>
    <row r="477" spans="1:12" x14ac:dyDescent="0.2">
      <c r="A477" s="14">
        <v>0.41199999999999998</v>
      </c>
      <c r="B477" s="10">
        <f t="shared" si="67"/>
        <v>-0.35570359854910066</v>
      </c>
      <c r="C477" s="10">
        <f t="shared" si="68"/>
        <v>3.1301916672320865E-2</v>
      </c>
      <c r="D477" s="10">
        <f t="shared" si="69"/>
        <v>0.81920039665103261</v>
      </c>
      <c r="E477" s="10">
        <f t="shared" si="70"/>
        <v>2.2686850639047123</v>
      </c>
      <c r="F477" s="10">
        <f t="shared" si="74"/>
        <v>4.4298011197141385E-3</v>
      </c>
      <c r="G477" s="10">
        <f t="shared" si="71"/>
        <v>-0.91764713521024632</v>
      </c>
      <c r="H477" s="10">
        <f t="shared" si="72"/>
        <v>0.28543754918499592</v>
      </c>
      <c r="I477" s="10">
        <f t="shared" si="75"/>
        <v>2.3912643761819785E-4</v>
      </c>
      <c r="J477" s="20">
        <f t="shared" si="73"/>
        <v>0</v>
      </c>
      <c r="K477" s="10">
        <f t="shared" si="76"/>
        <v>1.9544940857932902E-3</v>
      </c>
      <c r="L477" s="10">
        <f t="shared" si="77"/>
        <v>1.1726964514759963E-3</v>
      </c>
    </row>
    <row r="478" spans="1:12" x14ac:dyDescent="0.2">
      <c r="A478" s="14">
        <v>0.41299999999999998</v>
      </c>
      <c r="B478" s="10">
        <f t="shared" si="67"/>
        <v>-0.35157722686706372</v>
      </c>
      <c r="C478" s="10">
        <f t="shared" si="68"/>
        <v>3.058721873743455E-2</v>
      </c>
      <c r="D478" s="10">
        <f t="shared" si="69"/>
        <v>0.82117566563578803</v>
      </c>
      <c r="E478" s="10">
        <f t="shared" si="70"/>
        <v>2.2731707559132901</v>
      </c>
      <c r="F478" s="10">
        <f t="shared" si="74"/>
        <v>4.4856920085778462E-3</v>
      </c>
      <c r="G478" s="10">
        <f t="shared" si="71"/>
        <v>-0.91646197381939309</v>
      </c>
      <c r="H478" s="10">
        <f t="shared" si="72"/>
        <v>0.28567933966094328</v>
      </c>
      <c r="I478" s="10">
        <f t="shared" si="75"/>
        <v>2.4179047594735659E-4</v>
      </c>
      <c r="J478" s="20">
        <f t="shared" si="73"/>
        <v>0</v>
      </c>
      <c r="K478" s="10">
        <f t="shared" si="76"/>
        <v>1.9752689847554183E-3</v>
      </c>
      <c r="L478" s="10">
        <f t="shared" si="77"/>
        <v>1.1851613908532288E-3</v>
      </c>
    </row>
    <row r="479" spans="1:12" x14ac:dyDescent="0.2">
      <c r="A479" s="14">
        <v>0.41399999999999998</v>
      </c>
      <c r="B479" s="10">
        <f t="shared" si="67"/>
        <v>-0.34745381575169842</v>
      </c>
      <c r="C479" s="10">
        <f t="shared" si="68"/>
        <v>2.9881028154646071E-2</v>
      </c>
      <c r="D479" s="10">
        <f t="shared" si="69"/>
        <v>0.82317171219005936</v>
      </c>
      <c r="E479" s="10">
        <f t="shared" si="70"/>
        <v>2.2777126419679234</v>
      </c>
      <c r="F479" s="10">
        <f t="shared" si="74"/>
        <v>4.5418860546333484E-3</v>
      </c>
      <c r="G479" s="10">
        <f t="shared" si="71"/>
        <v>-0.91526434588683026</v>
      </c>
      <c r="H479" s="10">
        <f t="shared" si="72"/>
        <v>0.28592379830408676</v>
      </c>
      <c r="I479" s="10">
        <f t="shared" si="75"/>
        <v>2.4445864314348587E-4</v>
      </c>
      <c r="J479" s="20">
        <f t="shared" si="73"/>
        <v>0</v>
      </c>
      <c r="K479" s="10">
        <f t="shared" si="76"/>
        <v>1.9960465542713246E-3</v>
      </c>
      <c r="L479" s="10">
        <f t="shared" si="77"/>
        <v>1.1976279325628392E-3</v>
      </c>
    </row>
    <row r="480" spans="1:12" x14ac:dyDescent="0.2">
      <c r="A480" s="14">
        <v>0.41499999999999998</v>
      </c>
      <c r="B480" s="10">
        <f t="shared" si="67"/>
        <v>-0.34333332700115815</v>
      </c>
      <c r="C480" s="10">
        <f t="shared" si="68"/>
        <v>2.9183332795098448E-2</v>
      </c>
      <c r="D480" s="10">
        <f t="shared" si="69"/>
        <v>0.8251885392977012</v>
      </c>
      <c r="E480" s="10">
        <f t="shared" si="70"/>
        <v>2.2823110300858698</v>
      </c>
      <c r="F480" s="10">
        <f t="shared" si="74"/>
        <v>4.5983881179463282E-3</v>
      </c>
      <c r="G480" s="10">
        <f t="shared" si="71"/>
        <v>-0.91405424962224513</v>
      </c>
      <c r="H480" s="10">
        <f t="shared" si="72"/>
        <v>0.28617092931802685</v>
      </c>
      <c r="I480" s="10">
        <f t="shared" si="75"/>
        <v>2.4713101394008286E-4</v>
      </c>
      <c r="J480" s="20">
        <f t="shared" si="73"/>
        <v>0</v>
      </c>
      <c r="K480" s="10">
        <f t="shared" si="76"/>
        <v>2.0168271076418387E-3</v>
      </c>
      <c r="L480" s="10">
        <f t="shared" si="77"/>
        <v>1.2100962645851254E-3</v>
      </c>
    </row>
    <row r="481" spans="1:12" x14ac:dyDescent="0.2">
      <c r="A481" s="14">
        <v>0.41599999999999998</v>
      </c>
      <c r="B481" s="10">
        <f t="shared" si="67"/>
        <v>-0.33921572256696397</v>
      </c>
      <c r="C481" s="10">
        <f t="shared" si="68"/>
        <v>2.8494120695624979E-2</v>
      </c>
      <c r="D481" s="10">
        <f t="shared" si="69"/>
        <v>0.82722615025539958</v>
      </c>
      <c r="E481" s="10">
        <f t="shared" si="70"/>
        <v>2.2869662331854261</v>
      </c>
      <c r="F481" s="10">
        <f t="shared" si="74"/>
        <v>4.6552030995563598E-3</v>
      </c>
      <c r="G481" s="10">
        <f t="shared" si="71"/>
        <v>-0.91283168304762607</v>
      </c>
      <c r="H481" s="10">
        <f t="shared" si="72"/>
        <v>0.28642073698100118</v>
      </c>
      <c r="I481" s="10">
        <f t="shared" si="75"/>
        <v>2.4980766297433288E-4</v>
      </c>
      <c r="J481" s="20">
        <f t="shared" si="73"/>
        <v>0</v>
      </c>
      <c r="K481" s="10">
        <f t="shared" si="76"/>
        <v>2.0376109576983881E-3</v>
      </c>
      <c r="L481" s="10">
        <f t="shared" si="77"/>
        <v>1.222566574619055E-3</v>
      </c>
    </row>
    <row r="482" spans="1:12" x14ac:dyDescent="0.2">
      <c r="A482" s="14">
        <v>0.41699999999999998</v>
      </c>
      <c r="B482" s="10">
        <f t="shared" si="67"/>
        <v>-0.33510096455169086</v>
      </c>
      <c r="C482" s="10">
        <f t="shared" si="68"/>
        <v>2.7813380057790348E-2</v>
      </c>
      <c r="D482" s="10">
        <f t="shared" si="69"/>
        <v>0.82928454867223</v>
      </c>
      <c r="E482" s="10">
        <f t="shared" si="70"/>
        <v>2.2916785691277326</v>
      </c>
      <c r="F482" s="10">
        <f t="shared" si="74"/>
        <v>4.712335942306467E-3</v>
      </c>
      <c r="G482" s="10">
        <f t="shared" si="71"/>
        <v>-0.91159664399752793</v>
      </c>
      <c r="H482" s="10">
        <f t="shared" si="72"/>
        <v>0.28667322564579217</v>
      </c>
      <c r="I482" s="10">
        <f t="shared" si="75"/>
        <v>2.5248866479099519E-4</v>
      </c>
      <c r="J482" s="20">
        <f t="shared" si="73"/>
        <v>0</v>
      </c>
      <c r="K482" s="10">
        <f t="shared" si="76"/>
        <v>2.0583984168304204E-3</v>
      </c>
      <c r="L482" s="10">
        <f t="shared" si="77"/>
        <v>1.2350390500981412E-3</v>
      </c>
    </row>
    <row r="483" spans="1:12" x14ac:dyDescent="0.2">
      <c r="A483" s="14">
        <v>0.41799999999999998</v>
      </c>
      <c r="B483" s="10">
        <f t="shared" si="67"/>
        <v>-0.33098901520668167</v>
      </c>
      <c r="C483" s="10">
        <f t="shared" si="68"/>
        <v>2.7141099246947901E-2</v>
      </c>
      <c r="D483" s="10">
        <f t="shared" si="69"/>
        <v>0.83136373846923317</v>
      </c>
      <c r="E483" s="10">
        <f t="shared" si="70"/>
        <v>2.296448360759392</v>
      </c>
      <c r="F483" s="10">
        <f t="shared" si="74"/>
        <v>4.7697916316593592E-3</v>
      </c>
      <c r="G483" s="10">
        <f t="shared" si="71"/>
        <v>-0.91034913011932606</v>
      </c>
      <c r="H483" s="10">
        <f t="shared" si="72"/>
        <v>0.28692839973963624</v>
      </c>
      <c r="I483" s="10">
        <f t="shared" si="75"/>
        <v>2.5517409384406831E-4</v>
      </c>
      <c r="J483" s="20">
        <f t="shared" si="73"/>
        <v>0</v>
      </c>
      <c r="K483" s="10">
        <f t="shared" si="76"/>
        <v>2.079189797003167E-3</v>
      </c>
      <c r="L483" s="10">
        <f t="shared" si="77"/>
        <v>1.247513878201878E-3</v>
      </c>
    </row>
    <row r="484" spans="1:12" x14ac:dyDescent="0.2">
      <c r="A484" s="14">
        <v>0.41899999999999998</v>
      </c>
      <c r="B484" s="10">
        <f t="shared" si="67"/>
        <v>-0.32687983692977346</v>
      </c>
      <c r="C484" s="10">
        <f t="shared" si="68"/>
        <v>2.6477266791311654E-2</v>
      </c>
      <c r="D484" s="10">
        <f t="shared" si="69"/>
        <v>0.83346372387902112</v>
      </c>
      <c r="E484" s="10">
        <f t="shared" si="70"/>
        <v>2.3012759359559474</v>
      </c>
      <c r="F484" s="10">
        <f t="shared" si="74"/>
        <v>4.8275751965554115E-3</v>
      </c>
      <c r="G484" s="10">
        <f t="shared" si="71"/>
        <v>-0.90908913887345322</v>
      </c>
      <c r="H484" s="10">
        <f t="shared" si="72"/>
        <v>0.28718626376413675</v>
      </c>
      <c r="I484" s="10">
        <f t="shared" si="75"/>
        <v>2.5786402450050927E-4</v>
      </c>
      <c r="J484" s="20">
        <f t="shared" si="73"/>
        <v>0</v>
      </c>
      <c r="K484" s="10">
        <f t="shared" si="76"/>
        <v>2.0999854097879522E-3</v>
      </c>
      <c r="L484" s="10">
        <f t="shared" si="77"/>
        <v>1.259991245872838E-3</v>
      </c>
    </row>
    <row r="485" spans="1:12" x14ac:dyDescent="0.2">
      <c r="A485" s="14">
        <v>0.42</v>
      </c>
      <c r="B485" s="10">
        <f t="shared" si="67"/>
        <v>-0.32277339226305118</v>
      </c>
      <c r="C485" s="10">
        <f t="shared" si="68"/>
        <v>2.5821871381044099E-2</v>
      </c>
      <c r="D485" s="10">
        <f t="shared" si="69"/>
        <v>0.83558450944539997</v>
      </c>
      <c r="E485" s="10">
        <f t="shared" si="70"/>
        <v>2.3061616276661976</v>
      </c>
      <c r="F485" s="10">
        <f t="shared" si="74"/>
        <v>4.8856917102502173E-3</v>
      </c>
      <c r="G485" s="10">
        <f t="shared" si="71"/>
        <v>-0.90781666753362589</v>
      </c>
      <c r="H485" s="10">
        <f t="shared" si="72"/>
        <v>0.28744682229517904</v>
      </c>
      <c r="I485" s="10">
        <f t="shared" si="75"/>
        <v>2.6055853104228754E-4</v>
      </c>
      <c r="J485" s="20">
        <f t="shared" si="73"/>
        <v>0</v>
      </c>
      <c r="K485" s="10">
        <f t="shared" si="76"/>
        <v>2.1207855663788466E-3</v>
      </c>
      <c r="L485" s="10">
        <f t="shared" si="77"/>
        <v>1.2724713398273302E-3</v>
      </c>
    </row>
    <row r="486" spans="1:12" x14ac:dyDescent="0.2">
      <c r="A486" s="14">
        <v>0.42099999999999999</v>
      </c>
      <c r="B486" s="10">
        <f t="shared" si="67"/>
        <v>-0.31866964389061386</v>
      </c>
      <c r="C486" s="10">
        <f t="shared" si="68"/>
        <v>2.5174901867358501E-2</v>
      </c>
      <c r="D486" s="10">
        <f t="shared" si="69"/>
        <v>0.83772610002302061</v>
      </c>
      <c r="E486" s="10">
        <f t="shared" si="70"/>
        <v>2.3111057739573768</v>
      </c>
      <c r="F486" s="10">
        <f t="shared" si="74"/>
        <v>4.94414629117923E-3</v>
      </c>
      <c r="G486" s="10">
        <f t="shared" si="71"/>
        <v>-0.9065317131870535</v>
      </c>
      <c r="H486" s="10">
        <f t="shared" si="72"/>
        <v>0.28771007998284859</v>
      </c>
      <c r="I486" s="10">
        <f t="shared" si="75"/>
        <v>2.6325768766954916E-4</v>
      </c>
      <c r="J486" s="20">
        <f t="shared" si="73"/>
        <v>0</v>
      </c>
      <c r="K486" s="10">
        <f t="shared" si="76"/>
        <v>2.1415905776206445E-3</v>
      </c>
      <c r="L486" s="10">
        <f t="shared" si="77"/>
        <v>1.2849543465723867E-3</v>
      </c>
    </row>
    <row r="487" spans="1:12" x14ac:dyDescent="0.2">
      <c r="A487" s="14">
        <v>0.42199999999999999</v>
      </c>
      <c r="B487" s="10">
        <f t="shared" si="67"/>
        <v>-0.31456855463636585</v>
      </c>
      <c r="C487" s="10">
        <f t="shared" si="68"/>
        <v>2.4536347261636539E-2</v>
      </c>
      <c r="D487" s="10">
        <f t="shared" si="69"/>
        <v>0.83988850077704924</v>
      </c>
      <c r="E487" s="10">
        <f t="shared" si="70"/>
        <v>2.3161087180612028</v>
      </c>
      <c r="F487" s="10">
        <f t="shared" si="74"/>
        <v>5.002944103825957E-3</v>
      </c>
      <c r="G487" s="10">
        <f t="shared" si="71"/>
        <v>-0.9052342727346363</v>
      </c>
      <c r="H487" s="10">
        <f t="shared" si="72"/>
        <v>0.28797604155135137</v>
      </c>
      <c r="I487" s="10">
        <f t="shared" si="75"/>
        <v>2.6596156850278163E-4</v>
      </c>
      <c r="J487" s="20">
        <f t="shared" si="73"/>
        <v>0</v>
      </c>
      <c r="K487" s="10">
        <f t="shared" si="76"/>
        <v>2.1624007540286261E-3</v>
      </c>
      <c r="L487" s="10">
        <f t="shared" si="77"/>
        <v>1.2974404524171979E-3</v>
      </c>
    </row>
    <row r="488" spans="1:12" x14ac:dyDescent="0.2">
      <c r="A488" s="14">
        <v>0.42299999999999999</v>
      </c>
      <c r="B488" s="10">
        <f t="shared" si="67"/>
        <v>-0.31047008746182153</v>
      </c>
      <c r="C488" s="10">
        <f t="shared" si="68"/>
        <v>2.3906196734560261E-2</v>
      </c>
      <c r="D488" s="10">
        <f t="shared" si="69"/>
        <v>0.84207171718286367</v>
      </c>
      <c r="E488" s="10">
        <f t="shared" si="70"/>
        <v>2.3211708084208076</v>
      </c>
      <c r="F488" s="10">
        <f t="shared" si="74"/>
        <v>5.0620903596048095E-3</v>
      </c>
      <c r="G488" s="10">
        <f t="shared" si="71"/>
        <v>-0.90392434289114776</v>
      </c>
      <c r="H488" s="10">
        <f t="shared" si="72"/>
        <v>0.2882447117989369</v>
      </c>
      <c r="I488" s="10">
        <f t="shared" si="75"/>
        <v>2.6867024758553404E-4</v>
      </c>
      <c r="J488" s="20">
        <f t="shared" si="73"/>
        <v>0</v>
      </c>
      <c r="K488" s="10">
        <f t="shared" si="76"/>
        <v>2.1832164058144254E-3</v>
      </c>
      <c r="L488" s="10">
        <f t="shared" si="77"/>
        <v>1.3099298434885442E-3</v>
      </c>
    </row>
    <row r="489" spans="1:12" x14ac:dyDescent="0.2">
      <c r="A489" s="14">
        <v>0.42399999999999999</v>
      </c>
      <c r="B489" s="10">
        <f t="shared" si="67"/>
        <v>-0.30637420546393357</v>
      </c>
      <c r="C489" s="10">
        <f t="shared" si="68"/>
        <v>2.3284439615258955E-2</v>
      </c>
      <c r="D489" s="10">
        <f t="shared" si="69"/>
        <v>0.84427575502576835</v>
      </c>
      <c r="E489" s="10">
        <f t="shared" si="70"/>
        <v>2.3262923987385533</v>
      </c>
      <c r="F489" s="10">
        <f t="shared" si="74"/>
        <v>5.1215903177457278E-3</v>
      </c>
      <c r="G489" s="10">
        <f t="shared" si="71"/>
        <v>-0.90260192018540486</v>
      </c>
      <c r="H489" s="10">
        <f t="shared" si="72"/>
        <v>0.28851609559782404</v>
      </c>
      <c r="I489" s="10">
        <f t="shared" si="75"/>
        <v>2.7138379888713704E-4</v>
      </c>
      <c r="J489" s="20">
        <f t="shared" si="73"/>
        <v>0</v>
      </c>
      <c r="K489" s="10">
        <f t="shared" si="76"/>
        <v>2.2040378429046825E-3</v>
      </c>
      <c r="L489" s="10">
        <f t="shared" si="77"/>
        <v>1.3224227057428983E-3</v>
      </c>
    </row>
    <row r="490" spans="1:12" x14ac:dyDescent="0.2">
      <c r="A490" s="14">
        <v>0.42499999999999999</v>
      </c>
      <c r="B490" s="10">
        <f t="shared" si="67"/>
        <v>-0.30228087187293351</v>
      </c>
      <c r="C490" s="10">
        <f t="shared" si="68"/>
        <v>2.2671065390470018E-2</v>
      </c>
      <c r="D490" s="10">
        <f t="shared" si="69"/>
        <v>0.84650062040073715</v>
      </c>
      <c r="E490" s="10">
        <f t="shared" si="70"/>
        <v>2.3314738480247557</v>
      </c>
      <c r="F490" s="10">
        <f t="shared" si="74"/>
        <v>5.1814492862023442E-3</v>
      </c>
      <c r="G490" s="10">
        <f t="shared" si="71"/>
        <v>-0.90126700096042367</v>
      </c>
      <c r="H490" s="10">
        <f t="shared" si="72"/>
        <v>0.28879019789412846</v>
      </c>
      <c r="I490" s="10">
        <f t="shared" si="75"/>
        <v>2.7410229630442373E-4</v>
      </c>
      <c r="J490" s="20">
        <f t="shared" si="73"/>
        <v>0</v>
      </c>
      <c r="K490" s="10">
        <f t="shared" si="76"/>
        <v>2.2248653749687985E-3</v>
      </c>
      <c r="L490" s="10">
        <f t="shared" si="77"/>
        <v>1.3349192249811903E-3</v>
      </c>
    </row>
    <row r="491" spans="1:12" x14ac:dyDescent="0.2">
      <c r="A491" s="14">
        <v>0.42599999999999999</v>
      </c>
      <c r="B491" s="10">
        <f t="shared" si="67"/>
        <v>-0.29819005005019611</v>
      </c>
      <c r="C491" s="10">
        <f t="shared" si="68"/>
        <v>2.2066063703714514E-2</v>
      </c>
      <c r="D491" s="10">
        <f t="shared" si="69"/>
        <v>0.84874631971217396</v>
      </c>
      <c r="E491" s="10">
        <f t="shared" si="70"/>
        <v>2.3367155206473122</v>
      </c>
      <c r="F491" s="10">
        <f t="shared" si="74"/>
        <v>5.2416726225565924E-3</v>
      </c>
      <c r="G491" s="10">
        <f t="shared" si="71"/>
        <v>-0.89991958137356143</v>
      </c>
      <c r="H491" s="10">
        <f t="shared" si="72"/>
        <v>0.28906702370779347</v>
      </c>
      <c r="I491" s="10">
        <f t="shared" si="75"/>
        <v>2.7682581366500481E-4</v>
      </c>
      <c r="J491" s="20">
        <f t="shared" si="73"/>
        <v>0</v>
      </c>
      <c r="K491" s="10">
        <f t="shared" si="76"/>
        <v>2.2456993114368107E-3</v>
      </c>
      <c r="L491" s="10">
        <f t="shared" si="77"/>
        <v>1.3474195868622418E-3</v>
      </c>
    </row>
    <row r="492" spans="1:12" x14ac:dyDescent="0.2">
      <c r="A492" s="14">
        <v>0.42699999999999999</v>
      </c>
      <c r="B492" s="10">
        <f t="shared" si="67"/>
        <v>-0.29410170348611503</v>
      </c>
      <c r="C492" s="10">
        <f t="shared" si="68"/>
        <v>2.1469424354486399E-2</v>
      </c>
      <c r="D492" s="10">
        <f t="shared" si="69"/>
        <v>0.8510128596737</v>
      </c>
      <c r="E492" s="10">
        <f t="shared" si="70"/>
        <v>2.3420177863822635</v>
      </c>
      <c r="F492" s="10">
        <f t="shared" si="74"/>
        <v>5.3022657349512947E-3</v>
      </c>
      <c r="G492" s="10">
        <f t="shared" si="71"/>
        <v>-0.89855965739664589</v>
      </c>
      <c r="H492" s="10">
        <f t="shared" si="72"/>
        <v>0.28934657813252224</v>
      </c>
      <c r="I492" s="10">
        <f t="shared" si="75"/>
        <v>2.7955442472876735E-4</v>
      </c>
      <c r="J492" s="20">
        <f t="shared" si="73"/>
        <v>0</v>
      </c>
      <c r="K492" s="10">
        <f t="shared" si="76"/>
        <v>2.2665399615260373E-3</v>
      </c>
      <c r="L492" s="10">
        <f t="shared" si="77"/>
        <v>1.3599239769155336E-3</v>
      </c>
    </row>
    <row r="493" spans="1:12" x14ac:dyDescent="0.2">
      <c r="A493" s="14">
        <v>0.42799999999999999</v>
      </c>
      <c r="B493" s="10">
        <f t="shared" si="67"/>
        <v>-0.2900157957980013</v>
      </c>
      <c r="C493" s="10">
        <f t="shared" si="68"/>
        <v>2.0881137297456095E-2</v>
      </c>
      <c r="D493" s="10">
        <f t="shared" si="69"/>
        <v>0.85330024730795873</v>
      </c>
      <c r="E493" s="10">
        <f t="shared" si="70"/>
        <v>2.3473810204652756</v>
      </c>
      <c r="F493" s="10">
        <f t="shared" si="74"/>
        <v>5.3632340830120917E-3</v>
      </c>
      <c r="G493" s="10">
        <f t="shared" si="71"/>
        <v>-0.89718722481609059</v>
      </c>
      <c r="H493" s="10">
        <f t="shared" si="72"/>
        <v>0.28962886633571266</v>
      </c>
      <c r="I493" s="10">
        <f t="shared" si="75"/>
        <v>2.8228820319042836E-4</v>
      </c>
      <c r="J493" s="20">
        <f t="shared" si="73"/>
        <v>0</v>
      </c>
      <c r="K493" s="10">
        <f t="shared" si="76"/>
        <v>2.2873876342587307E-3</v>
      </c>
      <c r="L493" s="10">
        <f t="shared" si="77"/>
        <v>1.372432580555305E-3</v>
      </c>
    </row>
    <row r="494" spans="1:12" x14ac:dyDescent="0.2">
      <c r="A494" s="14">
        <v>0.42899999999999999</v>
      </c>
      <c r="B494" s="10">
        <f t="shared" si="67"/>
        <v>-0.28593229072799314</v>
      </c>
      <c r="C494" s="10">
        <f t="shared" si="68"/>
        <v>2.0301192641687515E-2</v>
      </c>
      <c r="D494" s="10">
        <f t="shared" si="69"/>
        <v>0.85560848994644867</v>
      </c>
      <c r="E494" s="10">
        <f t="shared" si="70"/>
        <v>2.3528056036440828</v>
      </c>
      <c r="F494" s="10">
        <f t="shared" si="74"/>
        <v>5.4245831788071186E-3</v>
      </c>
      <c r="G494" s="10">
        <f t="shared" si="71"/>
        <v>-0.89580227923299671</v>
      </c>
      <c r="H494" s="10">
        <f t="shared" si="72"/>
        <v>0.28991389355839475</v>
      </c>
      <c r="I494" s="10">
        <f t="shared" si="75"/>
        <v>2.8502722268208824E-4</v>
      </c>
      <c r="J494" s="20">
        <f t="shared" si="73"/>
        <v>0</v>
      </c>
      <c r="K494" s="10">
        <f t="shared" si="76"/>
        <v>2.3082426384899435E-3</v>
      </c>
      <c r="L494" s="10">
        <f t="shared" si="77"/>
        <v>1.3849455830938773E-3</v>
      </c>
    </row>
    <row r="495" spans="1:12" x14ac:dyDescent="0.2">
      <c r="A495" s="14">
        <v>0.43</v>
      </c>
      <c r="B495" s="10">
        <f t="shared" si="67"/>
        <v>-0.28185115214098788</v>
      </c>
      <c r="C495" s="10">
        <f t="shared" si="68"/>
        <v>1.9729580649869155E-2</v>
      </c>
      <c r="D495" s="10">
        <f t="shared" si="69"/>
        <v>0.85793759522937263</v>
      </c>
      <c r="E495" s="10">
        <f t="shared" si="70"/>
        <v>2.3582919222318766</v>
      </c>
      <c r="F495" s="10">
        <f t="shared" si="74"/>
        <v>5.4863185877938037E-3</v>
      </c>
      <c r="G495" s="10">
        <f t="shared" si="71"/>
        <v>-0.89440481606324229</v>
      </c>
      <c r="H495" s="10">
        <f t="shared" si="72"/>
        <v>0.29020166511516909</v>
      </c>
      <c r="I495" s="10">
        <f t="shared" si="75"/>
        <v>2.8777155677434108E-4</v>
      </c>
      <c r="J495" s="20">
        <f t="shared" si="73"/>
        <v>0</v>
      </c>
      <c r="K495" s="10">
        <f t="shared" si="76"/>
        <v>2.32910528292396E-3</v>
      </c>
      <c r="L495" s="10">
        <f t="shared" si="77"/>
        <v>1.3974631697544204E-3</v>
      </c>
    </row>
    <row r="496" spans="1:12" x14ac:dyDescent="0.2">
      <c r="A496" s="14">
        <v>0.43099999999999999</v>
      </c>
      <c r="B496" s="10">
        <f t="shared" si="67"/>
        <v>-0.277772344022583</v>
      </c>
      <c r="C496" s="10">
        <f t="shared" si="68"/>
        <v>1.9166291737558228E-2</v>
      </c>
      <c r="D496" s="10">
        <f t="shared" si="69"/>
        <v>0.86028757110551479</v>
      </c>
      <c r="E496" s="10">
        <f t="shared" si="70"/>
        <v>2.3638403681616764</v>
      </c>
      <c r="F496" s="10">
        <f t="shared" si="74"/>
        <v>5.5484459297998612E-3</v>
      </c>
      <c r="G496" s="10">
        <f t="shared" si="71"/>
        <v>-0.89299483053755691</v>
      </c>
      <c r="H496" s="10">
        <f t="shared" si="72"/>
        <v>0.29049218639414875</v>
      </c>
      <c r="I496" s="10">
        <f t="shared" si="75"/>
        <v>2.9052127897966074E-4</v>
      </c>
      <c r="J496" s="20">
        <f t="shared" si="73"/>
        <v>0</v>
      </c>
      <c r="K496" s="10">
        <f t="shared" si="76"/>
        <v>2.349975876142163E-3</v>
      </c>
      <c r="L496" s="10">
        <f t="shared" si="77"/>
        <v>1.4099855256853866E-3</v>
      </c>
    </row>
    <row r="497" spans="1:12" x14ac:dyDescent="0.2">
      <c r="A497" s="14">
        <v>0.432</v>
      </c>
      <c r="B497" s="10">
        <f t="shared" si="67"/>
        <v>-0.27369583047704121</v>
      </c>
      <c r="C497" s="10">
        <f t="shared" si="68"/>
        <v>1.8611316472438803E-2</v>
      </c>
      <c r="D497" s="10">
        <f t="shared" si="69"/>
        <v>0.86265842583213437</v>
      </c>
      <c r="E497" s="10">
        <f t="shared" si="70"/>
        <v>2.3694513390416732</v>
      </c>
      <c r="F497" s="10">
        <f t="shared" si="74"/>
        <v>5.6109708799967351E-3</v>
      </c>
      <c r="G497" s="10">
        <f t="shared" si="71"/>
        <v>-0.89157231770158529</v>
      </c>
      <c r="H497" s="10">
        <f t="shared" si="72"/>
        <v>0.29078546285690193</v>
      </c>
      <c r="I497" s="10">
        <f t="shared" si="75"/>
        <v>2.9327646275317809E-4</v>
      </c>
      <c r="J497" s="20">
        <f t="shared" si="73"/>
        <v>0</v>
      </c>
      <c r="K497" s="10">
        <f t="shared" si="76"/>
        <v>2.3708547266195756E-3</v>
      </c>
      <c r="L497" s="10">
        <f t="shared" si="77"/>
        <v>1.4225128359716122E-3</v>
      </c>
    </row>
    <row r="498" spans="1:12" x14ac:dyDescent="0.2">
      <c r="A498" s="14">
        <v>0.433</v>
      </c>
      <c r="B498" s="10">
        <f t="shared" si="67"/>
        <v>-0.26962157572526219</v>
      </c>
      <c r="C498" s="10">
        <f t="shared" si="68"/>
        <v>1.8064645573592567E-2</v>
      </c>
      <c r="D498" s="10">
        <f t="shared" si="69"/>
        <v>0.86505016797488632</v>
      </c>
      <c r="E498" s="10">
        <f t="shared" si="70"/>
        <v>2.3751252382115764</v>
      </c>
      <c r="F498" s="10">
        <f t="shared" si="74"/>
        <v>5.6738991699032404E-3</v>
      </c>
      <c r="G498" s="10">
        <f t="shared" si="71"/>
        <v>-0.8901372724159341</v>
      </c>
      <c r="H498" s="10">
        <f t="shared" si="72"/>
        <v>0.29108150003839744</v>
      </c>
      <c r="I498" s="10">
        <f t="shared" si="75"/>
        <v>2.9603718149551206E-4</v>
      </c>
      <c r="J498" s="20">
        <f t="shared" si="73"/>
        <v>0</v>
      </c>
      <c r="K498" s="10">
        <f t="shared" si="76"/>
        <v>2.3917421427519514E-3</v>
      </c>
      <c r="L498" s="10">
        <f t="shared" si="77"/>
        <v>1.435045285651193E-3</v>
      </c>
    </row>
    <row r="499" spans="1:12" x14ac:dyDescent="0.2">
      <c r="A499" s="14">
        <v>0.434</v>
      </c>
      <c r="B499" s="10">
        <f t="shared" si="67"/>
        <v>-0.2655495441027782</v>
      </c>
      <c r="C499" s="10">
        <f t="shared" si="68"/>
        <v>1.7526269910783362E-2</v>
      </c>
      <c r="D499" s="10">
        <f t="shared" si="69"/>
        <v>0.86746280640775919</v>
      </c>
      <c r="E499" s="10">
        <f t="shared" si="70"/>
        <v>2.3808624747999643</v>
      </c>
      <c r="F499" s="10">
        <f t="shared" si="74"/>
        <v>5.7372365883878729E-3</v>
      </c>
      <c r="G499" s="10">
        <f t="shared" si="71"/>
        <v>-0.88868968935621029</v>
      </c>
      <c r="H499" s="10">
        <f t="shared" si="72"/>
        <v>0.29138030354695149</v>
      </c>
      <c r="I499" s="10">
        <f t="shared" si="75"/>
        <v>2.9880350855404636E-4</v>
      </c>
      <c r="J499" s="20">
        <f t="shared" si="73"/>
        <v>0</v>
      </c>
      <c r="K499" s="10">
        <f t="shared" si="76"/>
        <v>2.4126384328728712E-3</v>
      </c>
      <c r="L499" s="10">
        <f t="shared" si="77"/>
        <v>1.4475830597238115E-3</v>
      </c>
    </row>
    <row r="500" spans="1:12" x14ac:dyDescent="0.2">
      <c r="A500" s="14">
        <v>0.435</v>
      </c>
      <c r="B500" s="10">
        <f t="shared" si="67"/>
        <v>-0.26147970005775673</v>
      </c>
      <c r="C500" s="10">
        <f t="shared" si="68"/>
        <v>1.6996180503754187E-2</v>
      </c>
      <c r="D500" s="10">
        <f t="shared" si="69"/>
        <v>0.86989635031303969</v>
      </c>
      <c r="E500" s="10">
        <f t="shared" si="70"/>
        <v>2.3866634637826629</v>
      </c>
      <c r="F500" s="10">
        <f t="shared" si="74"/>
        <v>5.8009889826986516E-3</v>
      </c>
      <c r="G500" s="10">
        <f t="shared" si="71"/>
        <v>-0.88722956301304212</v>
      </c>
      <c r="H500" s="10">
        <f t="shared" si="72"/>
        <v>0.29168187906417664</v>
      </c>
      <c r="I500" s="10">
        <f t="shared" si="75"/>
        <v>3.0157551722514997E-4</v>
      </c>
      <c r="J500" s="20">
        <f t="shared" si="73"/>
        <v>0</v>
      </c>
      <c r="K500" s="10">
        <f t="shared" si="76"/>
        <v>2.4335439052804997E-3</v>
      </c>
      <c r="L500" s="10">
        <f t="shared" si="77"/>
        <v>1.4601263431681666E-3</v>
      </c>
    </row>
    <row r="501" spans="1:12" x14ac:dyDescent="0.2">
      <c r="A501" s="14">
        <v>0.436</v>
      </c>
      <c r="B501" s="10">
        <f t="shared" si="67"/>
        <v>-0.25741200814902471</v>
      </c>
      <c r="C501" s="10">
        <f t="shared" si="68"/>
        <v>1.647436852153758E-2</v>
      </c>
      <c r="D501" s="10">
        <f t="shared" si="69"/>
        <v>0.87235080918129371</v>
      </c>
      <c r="E501" s="10">
        <f t="shared" si="70"/>
        <v>2.3925286260421514</v>
      </c>
      <c r="F501" s="10">
        <f t="shared" si="74"/>
        <v>5.8651622594885211E-3</v>
      </c>
      <c r="G501" s="10">
        <f t="shared" si="71"/>
        <v>-0.88575688769208971</v>
      </c>
      <c r="H501" s="10">
        <f t="shared" si="72"/>
        <v>0.29198623234493248</v>
      </c>
      <c r="I501" s="10">
        <f t="shared" si="75"/>
        <v>3.0435328075584245E-4</v>
      </c>
      <c r="J501" s="20">
        <f t="shared" si="73"/>
        <v>0</v>
      </c>
      <c r="K501" s="10">
        <f t="shared" si="76"/>
        <v>2.4544588682540169E-3</v>
      </c>
      <c r="L501" s="10">
        <f t="shared" si="77"/>
        <v>1.4726753209524102E-3</v>
      </c>
    </row>
    <row r="502" spans="1:12" x14ac:dyDescent="0.2">
      <c r="A502" s="14">
        <v>0.437</v>
      </c>
      <c r="B502" s="10">
        <f t="shared" si="67"/>
        <v>-0.25334643304410021</v>
      </c>
      <c r="C502" s="10">
        <f t="shared" si="68"/>
        <v>1.5960825281778314E-2</v>
      </c>
      <c r="D502" s="10">
        <f t="shared" si="69"/>
        <v>0.87482619281137519</v>
      </c>
      <c r="E502" s="10">
        <f t="shared" si="70"/>
        <v>2.3984583884280313</v>
      </c>
      <c r="F502" s="10">
        <f t="shared" si="74"/>
        <v>5.9297623858798332E-3</v>
      </c>
      <c r="G502" s="10">
        <f t="shared" si="71"/>
        <v>-0.88427165751404069</v>
      </c>
      <c r="H502" s="10">
        <f t="shared" si="72"/>
        <v>0.29229336921727783</v>
      </c>
      <c r="I502" s="10">
        <f t="shared" si="75"/>
        <v>3.0713687234534826E-4</v>
      </c>
      <c r="J502" s="20">
        <f t="shared" si="73"/>
        <v>0</v>
      </c>
      <c r="K502" s="10">
        <f t="shared" si="76"/>
        <v>2.4753836300814847E-3</v>
      </c>
      <c r="L502" s="10">
        <f t="shared" si="77"/>
        <v>1.485230178049024E-3</v>
      </c>
    </row>
    <row r="503" spans="1:12" x14ac:dyDescent="0.2">
      <c r="A503" s="14">
        <v>0.438</v>
      </c>
      <c r="B503" s="10">
        <f t="shared" si="67"/>
        <v>-0.24928293951724503</v>
      </c>
      <c r="C503" s="10">
        <f t="shared" si="68"/>
        <v>1.5455542250069192E-2</v>
      </c>
      <c r="D503" s="10">
        <f t="shared" si="69"/>
        <v>0.87732251131045058</v>
      </c>
      <c r="E503" s="10">
        <f t="shared" si="70"/>
        <v>2.4044531838185428</v>
      </c>
      <c r="F503" s="10">
        <f t="shared" si="74"/>
        <v>5.9947953905115092E-3</v>
      </c>
      <c r="G503" s="10">
        <f t="shared" si="71"/>
        <v>-0.88277386641459554</v>
      </c>
      <c r="H503" s="10">
        <f t="shared" si="72"/>
        <v>0.29260329558242465</v>
      </c>
      <c r="I503" s="10">
        <f t="shared" si="75"/>
        <v>3.099263651468176E-4</v>
      </c>
      <c r="J503" s="20">
        <f t="shared" si="73"/>
        <v>0</v>
      </c>
      <c r="K503" s="10">
        <f t="shared" si="76"/>
        <v>2.4963184990753895E-3</v>
      </c>
      <c r="L503" s="10">
        <f t="shared" si="77"/>
        <v>1.4977910994451449E-3</v>
      </c>
    </row>
    <row r="504" spans="1:12" x14ac:dyDescent="0.2">
      <c r="A504" s="14">
        <v>0.439</v>
      </c>
      <c r="B504" s="10">
        <f t="shared" si="67"/>
        <v>-0.24522149244752489</v>
      </c>
      <c r="C504" s="10">
        <f t="shared" si="68"/>
        <v>1.4958511039299018E-2</v>
      </c>
      <c r="D504" s="10">
        <f t="shared" si="69"/>
        <v>0.87983977509404954</v>
      </c>
      <c r="E504" s="10">
        <f t="shared" si="70"/>
        <v>2.4105134511831738</v>
      </c>
      <c r="F504" s="10">
        <f t="shared" si="74"/>
        <v>6.0602673646310556E-3</v>
      </c>
      <c r="G504" s="10">
        <f t="shared" si="71"/>
        <v>-0.8812635081444361</v>
      </c>
      <c r="H504" s="10">
        <f t="shared" si="72"/>
        <v>0.29291601741469386</v>
      </c>
      <c r="I504" s="10">
        <f t="shared" si="75"/>
        <v>3.127218322692138E-4</v>
      </c>
      <c r="J504" s="20">
        <f t="shared" si="73"/>
        <v>0</v>
      </c>
      <c r="K504" s="10">
        <f t="shared" si="76"/>
        <v>2.5172637835989553E-3</v>
      </c>
      <c r="L504" s="10">
        <f t="shared" si="77"/>
        <v>1.5103582701594398E-3</v>
      </c>
    </row>
    <row r="505" spans="1:12" x14ac:dyDescent="0.2">
      <c r="A505" s="14">
        <v>0.44</v>
      </c>
      <c r="B505" s="10">
        <f t="shared" si="67"/>
        <v>-0.2411620568168881</v>
      </c>
      <c r="C505" s="10">
        <f t="shared" si="68"/>
        <v>1.4469723409013285E-2</v>
      </c>
      <c r="D505" s="10">
        <f t="shared" si="69"/>
        <v>0.88237799488613411</v>
      </c>
      <c r="E505" s="10">
        <f t="shared" si="70"/>
        <v>2.4166396356463546</v>
      </c>
      <c r="F505" s="10">
        <f t="shared" si="74"/>
        <v>6.126184463180806E-3</v>
      </c>
      <c r="G505" s="10">
        <f t="shared" si="71"/>
        <v>-0.87974057626918534</v>
      </c>
      <c r="H505" s="10">
        <f t="shared" si="72"/>
        <v>0.29323154076147195</v>
      </c>
      <c r="I505" s="10">
        <f t="shared" si="75"/>
        <v>3.1552334677809046E-4</v>
      </c>
      <c r="J505" s="20">
        <f t="shared" si="73"/>
        <v>0</v>
      </c>
      <c r="K505" s="10">
        <f t="shared" si="76"/>
        <v>2.5382197920845728E-3</v>
      </c>
      <c r="L505" s="10">
        <f t="shared" si="77"/>
        <v>1.5229318752507659E-3</v>
      </c>
    </row>
    <row r="506" spans="1:12" x14ac:dyDescent="0.2">
      <c r="A506" s="14">
        <v>0.441</v>
      </c>
      <c r="B506" s="10">
        <f t="shared" si="67"/>
        <v>-0.2371045977082531</v>
      </c>
      <c r="C506" s="10">
        <f t="shared" si="68"/>
        <v>1.3989171264786932E-2</v>
      </c>
      <c r="D506" s="10">
        <f t="shared" si="69"/>
        <v>0.88493718171919267</v>
      </c>
      <c r="E506" s="10">
        <f t="shared" si="70"/>
        <v>2.4228321885522672</v>
      </c>
      <c r="F506" s="10">
        <f t="shared" si="74"/>
        <v>6.192552905912585E-3</v>
      </c>
      <c r="G506" s="10">
        <f t="shared" si="71"/>
        <v>-0.87820506416935029</v>
      </c>
      <c r="H506" s="10">
        <f t="shared" si="72"/>
        <v>0.29354987174316993</v>
      </c>
      <c r="I506" s="10">
        <f t="shared" si="75"/>
        <v>3.1833098169797847E-4</v>
      </c>
      <c r="J506" s="20">
        <f t="shared" si="73"/>
        <v>0</v>
      </c>
      <c r="K506" s="10">
        <f t="shared" si="76"/>
        <v>2.5591868330585577E-3</v>
      </c>
      <c r="L506" s="10">
        <f t="shared" si="77"/>
        <v>1.5355120998350458E-3</v>
      </c>
    </row>
    <row r="507" spans="1:12" x14ac:dyDescent="0.2">
      <c r="A507" s="14">
        <v>0.442</v>
      </c>
      <c r="B507" s="10">
        <f t="shared" si="67"/>
        <v>-0.2330490803036129</v>
      </c>
      <c r="C507" s="10">
        <f t="shared" si="68"/>
        <v>1.3516846657609547E-2</v>
      </c>
      <c r="D507" s="10">
        <f t="shared" si="69"/>
        <v>0.88751734693435136</v>
      </c>
      <c r="E507" s="10">
        <f t="shared" si="70"/>
        <v>2.4290915675307692</v>
      </c>
      <c r="F507" s="10">
        <f t="shared" si="74"/>
        <v>6.2593789785019283E-3</v>
      </c>
      <c r="G507" s="10">
        <f t="shared" si="71"/>
        <v>-0.87665696504025514</v>
      </c>
      <c r="H507" s="10">
        <f t="shared" si="72"/>
        <v>0.29387101655318321</v>
      </c>
      <c r="I507" s="10">
        <f t="shared" si="75"/>
        <v>3.2114481001327411E-4</v>
      </c>
      <c r="J507" s="20">
        <f t="shared" si="73"/>
        <v>0</v>
      </c>
      <c r="K507" s="10">
        <f t="shared" si="76"/>
        <v>2.5801652151586918E-3</v>
      </c>
      <c r="L507" s="10">
        <f t="shared" si="77"/>
        <v>1.5480991290951485E-3</v>
      </c>
    </row>
    <row r="508" spans="1:12" x14ac:dyDescent="0.2">
      <c r="A508" s="14">
        <v>0.443</v>
      </c>
      <c r="B508" s="10">
        <f t="shared" si="67"/>
        <v>-0.22899546988214825</v>
      </c>
      <c r="C508" s="10">
        <f t="shared" si="68"/>
        <v>1.3052741783282449E-2</v>
      </c>
      <c r="D508" s="10">
        <f t="shared" si="69"/>
        <v>0.89011850218151078</v>
      </c>
      <c r="E508" s="10">
        <f t="shared" si="70"/>
        <v>2.4354182365644688</v>
      </c>
      <c r="F508" s="10">
        <f t="shared" si="74"/>
        <v>6.3266690336996056E-3</v>
      </c>
      <c r="G508" s="10">
        <f t="shared" si="71"/>
        <v>-0.87509627189195938</v>
      </c>
      <c r="H508" s="10">
        <f t="shared" si="72"/>
        <v>0.29419498145785267</v>
      </c>
      <c r="I508" s="10">
        <f t="shared" si="75"/>
        <v>3.2396490466946037E-4</v>
      </c>
      <c r="J508" s="20">
        <f t="shared" si="73"/>
        <v>0</v>
      </c>
      <c r="K508" s="10">
        <f t="shared" si="76"/>
        <v>2.6011552471594257E-3</v>
      </c>
      <c r="L508" s="10">
        <f t="shared" si="77"/>
        <v>1.5606931482957664E-3</v>
      </c>
    </row>
    <row r="509" spans="1:12" x14ac:dyDescent="0.2">
      <c r="A509" s="14">
        <v>0.44400000000000001</v>
      </c>
      <c r="B509" s="10">
        <f t="shared" si="67"/>
        <v>-0.22494373181835772</v>
      </c>
      <c r="C509" s="10">
        <f t="shared" si="68"/>
        <v>1.2596848981828031E-2</v>
      </c>
      <c r="D509" s="10">
        <f t="shared" si="69"/>
        <v>0.89274065941950143</v>
      </c>
      <c r="E509" s="10">
        <f t="shared" si="70"/>
        <v>2.4418126660569461</v>
      </c>
      <c r="F509" s="10">
        <f t="shared" si="74"/>
        <v>6.3944294924773715E-3</v>
      </c>
      <c r="G509" s="10">
        <f t="shared" si="71"/>
        <v>-0.87352297754916508</v>
      </c>
      <c r="H509" s="10">
        <f t="shared" si="72"/>
        <v>0.29452177279642722</v>
      </c>
      <c r="I509" s="10">
        <f t="shared" si="75"/>
        <v>3.2679133857455023E-4</v>
      </c>
      <c r="J509" s="20">
        <f t="shared" si="73"/>
        <v>0</v>
      </c>
      <c r="K509" s="10">
        <f t="shared" si="76"/>
        <v>2.622157237990641E-3</v>
      </c>
      <c r="L509" s="10">
        <f t="shared" si="77"/>
        <v>1.5732943427942958E-3</v>
      </c>
    </row>
    <row r="510" spans="1:12" x14ac:dyDescent="0.2">
      <c r="A510" s="14">
        <v>0.44500000000000001</v>
      </c>
      <c r="B510" s="10">
        <f t="shared" si="67"/>
        <v>-0.22089383158019413</v>
      </c>
      <c r="C510" s="10">
        <f t="shared" si="68"/>
        <v>1.2149160736910676E-2</v>
      </c>
      <c r="D510" s="10">
        <f t="shared" si="69"/>
        <v>0.89538383091626306</v>
      </c>
      <c r="E510" s="10">
        <f t="shared" si="70"/>
        <v>2.4482753329021585</v>
      </c>
      <c r="F510" s="10">
        <f t="shared" si="74"/>
        <v>6.4626668452123504E-3</v>
      </c>
      <c r="G510" s="10">
        <f t="shared" si="71"/>
        <v>-0.87193707465110804</v>
      </c>
      <c r="H510" s="10">
        <f t="shared" si="72"/>
        <v>0.29485139698102808</v>
      </c>
      <c r="I510" s="10">
        <f t="shared" si="75"/>
        <v>3.2962418460086296E-4</v>
      </c>
      <c r="J510" s="20">
        <f t="shared" si="73"/>
        <v>0</v>
      </c>
      <c r="K510" s="10">
        <f t="shared" si="76"/>
        <v>2.6431714967616315E-3</v>
      </c>
      <c r="L510" s="10">
        <f t="shared" si="77"/>
        <v>1.5859028980570455E-3</v>
      </c>
    </row>
    <row r="511" spans="1:12" x14ac:dyDescent="0.2">
      <c r="A511" s="14">
        <v>0.44600000000000001</v>
      </c>
      <c r="B511" s="10">
        <f t="shared" si="67"/>
        <v>-0.21684573472721988</v>
      </c>
      <c r="C511" s="10">
        <f t="shared" si="68"/>
        <v>1.1709669675269872E-2</v>
      </c>
      <c r="D511" s="10">
        <f t="shared" si="69"/>
        <v>0.89804802924904115</v>
      </c>
      <c r="E511" s="10">
        <f t="shared" si="70"/>
        <v>2.4548067205550161</v>
      </c>
      <c r="F511" s="10">
        <f t="shared" si="74"/>
        <v>6.5313876528576564E-3</v>
      </c>
      <c r="G511" s="10">
        <f t="shared" si="71"/>
        <v>-0.87033855565144114</v>
      </c>
      <c r="H511" s="10">
        <f t="shared" si="72"/>
        <v>0.29518386049661288</v>
      </c>
      <c r="I511" s="10">
        <f t="shared" si="75"/>
        <v>3.3246351558480214E-4</v>
      </c>
      <c r="J511" s="20">
        <f t="shared" si="73"/>
        <v>0</v>
      </c>
      <c r="K511" s="10">
        <f t="shared" si="76"/>
        <v>2.6641983327780894E-3</v>
      </c>
      <c r="L511" s="10">
        <f t="shared" si="77"/>
        <v>1.598518999666898E-3</v>
      </c>
    </row>
    <row r="512" spans="1:12" x14ac:dyDescent="0.2">
      <c r="A512" s="14">
        <v>0.44700000000000001</v>
      </c>
      <c r="B512" s="10">
        <f t="shared" si="67"/>
        <v>-0.21279940690876589</v>
      </c>
      <c r="C512" s="10">
        <f t="shared" si="68"/>
        <v>1.1278368566164591E-2</v>
      </c>
      <c r="D512" s="10">
        <f t="shared" si="69"/>
        <v>0.90073326730461178</v>
      </c>
      <c r="E512" s="10">
        <f t="shared" si="70"/>
        <v>2.4614073191031904</v>
      </c>
      <c r="F512" s="10">
        <f t="shared" si="74"/>
        <v>6.6005985481742968E-3</v>
      </c>
      <c r="G512" s="10">
        <f t="shared" si="71"/>
        <v>-0.86872741281809884</v>
      </c>
      <c r="H512" s="10">
        <f t="shared" si="72"/>
        <v>0.29551916990094262</v>
      </c>
      <c r="I512" s="10">
        <f t="shared" si="75"/>
        <v>3.3530940432974221E-4</v>
      </c>
      <c r="J512" s="20">
        <f t="shared" si="73"/>
        <v>0</v>
      </c>
      <c r="K512" s="10">
        <f t="shared" si="76"/>
        <v>2.6852380555706379E-3</v>
      </c>
      <c r="L512" s="10">
        <f t="shared" si="77"/>
        <v>1.6111428333422939E-3</v>
      </c>
    </row>
    <row r="513" spans="1:12" x14ac:dyDescent="0.2">
      <c r="A513" s="14">
        <v>0.44800000000000001</v>
      </c>
      <c r="B513" s="10">
        <f t="shared" si="67"/>
        <v>-0.20875481386211023</v>
      </c>
      <c r="C513" s="10">
        <f t="shared" si="68"/>
        <v>1.0855250320829729E-2</v>
      </c>
      <c r="D513" s="10">
        <f t="shared" si="69"/>
        <v>0.90343955827951916</v>
      </c>
      <c r="E513" s="10">
        <f t="shared" si="70"/>
        <v>2.4680776253401193</v>
      </c>
      <c r="F513" s="10">
        <f t="shared" si="74"/>
        <v>6.6703062369288801E-3</v>
      </c>
      <c r="G513" s="10">
        <f t="shared" si="71"/>
        <v>-0.86710363823315439</v>
      </c>
      <c r="H513" s="10">
        <f t="shared" si="72"/>
        <v>0.2958573318245481</v>
      </c>
      <c r="I513" s="10">
        <f t="shared" si="75"/>
        <v>3.3816192360547337E-4</v>
      </c>
      <c r="J513" s="20">
        <f t="shared" si="73"/>
        <v>0</v>
      </c>
      <c r="K513" s="10">
        <f t="shared" si="76"/>
        <v>2.7062909749073771E-3</v>
      </c>
      <c r="L513" s="10">
        <f t="shared" si="77"/>
        <v>1.6237745849444485E-3</v>
      </c>
    </row>
    <row r="514" spans="1:12" x14ac:dyDescent="0.2">
      <c r="A514" s="14">
        <v>0.44900000000000001</v>
      </c>
      <c r="B514" s="10">
        <f t="shared" ref="B514:B577" si="78">LN(A514/(1-A514))</f>
        <v>-0.20471192141066002</v>
      </c>
      <c r="C514" s="10">
        <f t="shared" ref="C514:C577" si="79">(A514-0.5)*B514</f>
        <v>1.0440307991943659E-2</v>
      </c>
      <c r="D514" s="10">
        <f t="shared" ref="D514:D577" si="80">$B$45+$B$46*B514+$B$47*C514</f>
        <v>0.90616691568034258</v>
      </c>
      <c r="E514" s="10">
        <f t="shared" ref="E514:E577" si="81">$B$14+EXP(D514)</f>
        <v>2.474818142839275</v>
      </c>
      <c r="F514" s="10">
        <f t="shared" si="74"/>
        <v>6.7405174991557182E-3</v>
      </c>
      <c r="G514" s="10">
        <f t="shared" ref="G514:G577" si="82">$C$45+$C$46*B514+$C$47*C514</f>
        <v>-0.86546722379266028</v>
      </c>
      <c r="H514" s="10">
        <f t="shared" ref="H514:H577" si="83">$C$14+($C$15-$C$14)/(1+EXP(-G514))</f>
        <v>0.29619835297069824</v>
      </c>
      <c r="I514" s="10">
        <f t="shared" si="75"/>
        <v>3.4102114615014445E-4</v>
      </c>
      <c r="J514" s="20">
        <f t="shared" ref="J514:J577" si="84">G514-($B$22+$B$21*D514)</f>
        <v>0</v>
      </c>
      <c r="K514" s="10">
        <f t="shared" si="76"/>
        <v>2.7273574008234158E-3</v>
      </c>
      <c r="L514" s="10">
        <f t="shared" si="77"/>
        <v>1.6364144404941161E-3</v>
      </c>
    </row>
    <row r="515" spans="1:12" x14ac:dyDescent="0.2">
      <c r="A515" s="14">
        <v>0.45</v>
      </c>
      <c r="B515" s="10">
        <f t="shared" si="78"/>
        <v>-0.20067069546215124</v>
      </c>
      <c r="C515" s="10">
        <f t="shared" si="79"/>
        <v>1.0033534773107561E-2</v>
      </c>
      <c r="D515" s="10">
        <f t="shared" si="80"/>
        <v>0.90891535332397844</v>
      </c>
      <c r="E515" s="10">
        <f t="shared" si="81"/>
        <v>2.4816293820296798</v>
      </c>
      <c r="F515" s="10">
        <f t="shared" ref="F515:F578" si="85">E515-E514</f>
        <v>6.8112391904047165E-3</v>
      </c>
      <c r="G515" s="10">
        <f t="shared" si="82"/>
        <v>-0.86381816120647892</v>
      </c>
      <c r="H515" s="10">
        <f t="shared" si="83"/>
        <v>0.29654224011536884</v>
      </c>
      <c r="I515" s="10">
        <f t="shared" ref="I515:I578" si="86">H515-H514</f>
        <v>3.43887144670596E-4</v>
      </c>
      <c r="J515" s="20">
        <f t="shared" si="84"/>
        <v>0</v>
      </c>
      <c r="K515" s="10">
        <f t="shared" ref="K515:K578" si="87">D515-D514</f>
        <v>2.7484376436358593E-3</v>
      </c>
      <c r="L515" s="10">
        <f t="shared" ref="L515:L578" si="88">G515-G514</f>
        <v>1.6490625861813601E-3</v>
      </c>
    </row>
    <row r="516" spans="1:12" x14ac:dyDescent="0.2">
      <c r="A516" s="14">
        <v>0.45100000000000001</v>
      </c>
      <c r="B516" s="10">
        <f t="shared" si="78"/>
        <v>-0.19663110200685208</v>
      </c>
      <c r="C516" s="10">
        <f t="shared" si="79"/>
        <v>9.6349239983357492E-3</v>
      </c>
      <c r="D516" s="10">
        <f t="shared" si="80"/>
        <v>0.91168488533794834</v>
      </c>
      <c r="E516" s="10">
        <f t="shared" si="81"/>
        <v>2.4885118602727077</v>
      </c>
      <c r="F516" s="10">
        <f t="shared" si="85"/>
        <v>6.8824782430279008E-3</v>
      </c>
      <c r="G516" s="10">
        <f t="shared" si="82"/>
        <v>-0.86215644199809682</v>
      </c>
      <c r="H516" s="10">
        <f t="shared" si="83"/>
        <v>0.29688900010721281</v>
      </c>
      <c r="I516" s="10">
        <f t="shared" si="86"/>
        <v>3.4675999184397011E-4</v>
      </c>
      <c r="J516" s="20">
        <f t="shared" si="84"/>
        <v>0</v>
      </c>
      <c r="K516" s="10">
        <f t="shared" si="87"/>
        <v>2.7695320139698998E-3</v>
      </c>
      <c r="L516" s="10">
        <f t="shared" si="88"/>
        <v>1.6617192083820953E-3</v>
      </c>
    </row>
    <row r="517" spans="1:12" x14ac:dyDescent="0.2">
      <c r="A517" s="14">
        <v>0.45200000000000001</v>
      </c>
      <c r="B517" s="10">
        <f t="shared" si="78"/>
        <v>-0.19259310711578437</v>
      </c>
      <c r="C517" s="10">
        <f t="shared" si="79"/>
        <v>9.2444691415576475E-3</v>
      </c>
      <c r="D517" s="10">
        <f t="shared" si="80"/>
        <v>0.91447552616072436</v>
      </c>
      <c r="E517" s="10">
        <f t="shared" si="81"/>
        <v>2.4954661019401767</v>
      </c>
      <c r="F517" s="10">
        <f t="shared" si="85"/>
        <v>6.9542416674690521E-3</v>
      </c>
      <c r="G517" s="10">
        <f t="shared" si="82"/>
        <v>-0.86048205750443119</v>
      </c>
      <c r="H517" s="10">
        <f t="shared" si="83"/>
        <v>0.29723863986753019</v>
      </c>
      <c r="I517" s="10">
        <f t="shared" si="86"/>
        <v>3.4963976031737731E-4</v>
      </c>
      <c r="J517" s="20">
        <f t="shared" si="84"/>
        <v>0</v>
      </c>
      <c r="K517" s="10">
        <f t="shared" si="87"/>
        <v>2.7906408227760249E-3</v>
      </c>
      <c r="L517" s="10">
        <f t="shared" si="88"/>
        <v>1.6743844936656371E-3</v>
      </c>
    </row>
    <row r="518" spans="1:12" x14ac:dyDescent="0.2">
      <c r="A518" s="14">
        <v>0.45300000000000001</v>
      </c>
      <c r="B518" s="10">
        <f t="shared" si="78"/>
        <v>-0.18855667693894701</v>
      </c>
      <c r="C518" s="10">
        <f t="shared" si="79"/>
        <v>8.8621638161305062E-3</v>
      </c>
      <c r="D518" s="10">
        <f t="shared" si="80"/>
        <v>0.91728729054208014</v>
      </c>
      <c r="E518" s="10">
        <f t="shared" si="81"/>
        <v>2.5024926384937687</v>
      </c>
      <c r="F518" s="10">
        <f t="shared" si="85"/>
        <v>7.0265365535919777E-3</v>
      </c>
      <c r="G518" s="10">
        <f t="shared" si="82"/>
        <v>-0.85879499887561783</v>
      </c>
      <c r="H518" s="10">
        <f t="shared" si="83"/>
        <v>0.29759116639023991</v>
      </c>
      <c r="I518" s="10">
        <f t="shared" si="86"/>
        <v>3.5252652270972851E-4</v>
      </c>
      <c r="J518" s="20">
        <f t="shared" si="84"/>
        <v>0</v>
      </c>
      <c r="K518" s="10">
        <f t="shared" si="87"/>
        <v>2.8117643813557747E-3</v>
      </c>
      <c r="L518" s="10">
        <f t="shared" si="88"/>
        <v>1.6870586288133538E-3</v>
      </c>
    </row>
    <row r="519" spans="1:12" x14ac:dyDescent="0.2">
      <c r="A519" s="14">
        <v>0.45400000000000001</v>
      </c>
      <c r="B519" s="10">
        <f t="shared" si="78"/>
        <v>-0.18452177770355713</v>
      </c>
      <c r="C519" s="10">
        <f t="shared" si="79"/>
        <v>8.4880017743636255E-3</v>
      </c>
      <c r="D519" s="10">
        <f t="shared" si="80"/>
        <v>0.92012019354345742</v>
      </c>
      <c r="E519" s="10">
        <f t="shared" si="81"/>
        <v>2.5095920085657708</v>
      </c>
      <c r="F519" s="10">
        <f t="shared" si="85"/>
        <v>7.0993700720021202E-3</v>
      </c>
      <c r="G519" s="10">
        <f t="shared" si="82"/>
        <v>-0.85709525707479139</v>
      </c>
      <c r="H519" s="10">
        <f t="shared" si="83"/>
        <v>0.29794658674185165</v>
      </c>
      <c r="I519" s="10">
        <f t="shared" si="86"/>
        <v>3.5542035161173491E-4</v>
      </c>
      <c r="J519" s="20">
        <f t="shared" si="84"/>
        <v>0</v>
      </c>
      <c r="K519" s="10">
        <f t="shared" si="87"/>
        <v>2.8329030013772849E-3</v>
      </c>
      <c r="L519" s="10">
        <f t="shared" si="88"/>
        <v>1.6997418008264376E-3</v>
      </c>
    </row>
    <row r="520" spans="1:12" x14ac:dyDescent="0.2">
      <c r="A520" s="14">
        <v>0.45500000000000002</v>
      </c>
      <c r="B520" s="10">
        <f t="shared" si="78"/>
        <v>-0.18048837571229354</v>
      </c>
      <c r="C520" s="10">
        <f t="shared" si="79"/>
        <v>8.1219769070532064E-3</v>
      </c>
      <c r="D520" s="10">
        <f t="shared" si="80"/>
        <v>0.92297425053836091</v>
      </c>
      <c r="E520" s="10">
        <f t="shared" si="81"/>
        <v>2.5167647580411918</v>
      </c>
      <c r="F520" s="10">
        <f t="shared" si="85"/>
        <v>7.1727494754210142E-3</v>
      </c>
      <c r="G520" s="10">
        <f t="shared" si="82"/>
        <v>-0.85538282287784928</v>
      </c>
      <c r="H520" s="10">
        <f t="shared" si="83"/>
        <v>0.29830490806143833</v>
      </c>
      <c r="I520" s="10">
        <f t="shared" si="86"/>
        <v>3.5832131958668523E-4</v>
      </c>
      <c r="J520" s="20">
        <f t="shared" si="84"/>
        <v>0</v>
      </c>
      <c r="K520" s="10">
        <f t="shared" si="87"/>
        <v>2.8540569949034866E-3</v>
      </c>
      <c r="L520" s="10">
        <f t="shared" si="88"/>
        <v>1.7124341969421142E-3</v>
      </c>
    </row>
    <row r="521" spans="1:12" x14ac:dyDescent="0.2">
      <c r="A521" s="14">
        <v>0.45600000000000002</v>
      </c>
      <c r="B521" s="10">
        <f t="shared" si="78"/>
        <v>-0.17645643734155653</v>
      </c>
      <c r="C521" s="10">
        <f t="shared" si="79"/>
        <v>7.7640832430284842E-3</v>
      </c>
      <c r="D521" s="10">
        <f t="shared" si="80"/>
        <v>0.925849477212768</v>
      </c>
      <c r="E521" s="10">
        <f t="shared" si="81"/>
        <v>2.524011440141241</v>
      </c>
      <c r="F521" s="10">
        <f t="shared" si="85"/>
        <v>7.2466821000491954E-3</v>
      </c>
      <c r="G521" s="10">
        <f t="shared" si="82"/>
        <v>-0.8536576868732052</v>
      </c>
      <c r="H521" s="10">
        <f t="shared" si="83"/>
        <v>0.29866613756060895</v>
      </c>
      <c r="I521" s="10">
        <f t="shared" si="86"/>
        <v>3.612294991706122E-4</v>
      </c>
      <c r="J521" s="20">
        <f t="shared" si="84"/>
        <v>0</v>
      </c>
      <c r="K521" s="10">
        <f t="shared" si="87"/>
        <v>2.8752266744070942E-3</v>
      </c>
      <c r="L521" s="10">
        <f t="shared" si="88"/>
        <v>1.7251360046440789E-3</v>
      </c>
    </row>
    <row r="522" spans="1:12" x14ac:dyDescent="0.2">
      <c r="A522" s="14">
        <v>0.45700000000000002</v>
      </c>
      <c r="B522" s="10">
        <f t="shared" si="78"/>
        <v>-0.17242592903973053</v>
      </c>
      <c r="C522" s="10">
        <f t="shared" si="79"/>
        <v>7.4143149487084095E-3</v>
      </c>
      <c r="D522" s="10">
        <f t="shared" si="80"/>
        <v>0.92874588956556414</v>
      </c>
      <c r="E522" s="10">
        <f t="shared" si="81"/>
        <v>2.5313326155082141</v>
      </c>
      <c r="F522" s="10">
        <f t="shared" si="85"/>
        <v>7.3211753669730761E-3</v>
      </c>
      <c r="G522" s="10">
        <f t="shared" si="82"/>
        <v>-0.85191983946152738</v>
      </c>
      <c r="H522" s="10">
        <f t="shared" si="83"/>
        <v>0.29903028252348279</v>
      </c>
      <c r="I522" s="10">
        <f t="shared" si="86"/>
        <v>3.641449628738469E-4</v>
      </c>
      <c r="J522" s="20">
        <f t="shared" si="84"/>
        <v>0</v>
      </c>
      <c r="K522" s="10">
        <f t="shared" si="87"/>
        <v>2.8964123527961405E-3</v>
      </c>
      <c r="L522" s="10">
        <f t="shared" si="88"/>
        <v>1.7378474116778175E-3</v>
      </c>
    </row>
    <row r="523" spans="1:12" x14ac:dyDescent="0.2">
      <c r="A523" s="14">
        <v>0.45800000000000002</v>
      </c>
      <c r="B523" s="10">
        <f t="shared" si="78"/>
        <v>-0.16839681732546127</v>
      </c>
      <c r="C523" s="10">
        <f t="shared" si="79"/>
        <v>7.0726663276693708E-3</v>
      </c>
      <c r="D523" s="10">
        <f t="shared" si="80"/>
        <v>0.9316635039089971</v>
      </c>
      <c r="E523" s="10">
        <f t="shared" si="81"/>
        <v>2.5387288522917957</v>
      </c>
      <c r="F523" s="10">
        <f t="shared" si="85"/>
        <v>7.396236783581589E-3</v>
      </c>
      <c r="G523" s="10">
        <f t="shared" si="82"/>
        <v>-0.85016927085546756</v>
      </c>
      <c r="H523" s="10">
        <f t="shared" si="83"/>
        <v>0.29939735030666265</v>
      </c>
      <c r="I523" s="10">
        <f t="shared" si="86"/>
        <v>3.67067783179853E-4</v>
      </c>
      <c r="J523" s="20">
        <f t="shared" si="84"/>
        <v>0</v>
      </c>
      <c r="K523" s="10">
        <f t="shared" si="87"/>
        <v>2.9176143434329616E-3</v>
      </c>
      <c r="L523" s="10">
        <f t="shared" si="88"/>
        <v>1.7505686060598213E-3</v>
      </c>
    </row>
    <row r="524" spans="1:12" x14ac:dyDescent="0.2">
      <c r="A524" s="14">
        <v>0.45900000000000002</v>
      </c>
      <c r="B524" s="10">
        <f t="shared" si="78"/>
        <v>-0.16436906878593613</v>
      </c>
      <c r="C524" s="10">
        <f t="shared" si="79"/>
        <v>6.7391318202233786E-3</v>
      </c>
      <c r="D524" s="10">
        <f t="shared" si="80"/>
        <v>0.93460233686915517</v>
      </c>
      <c r="E524" s="10">
        <f t="shared" si="81"/>
        <v>2.5462007262368087</v>
      </c>
      <c r="F524" s="10">
        <f t="shared" si="85"/>
        <v>7.47187394501303E-3</v>
      </c>
      <c r="G524" s="10">
        <f t="shared" si="82"/>
        <v>-0.84840597107937288</v>
      </c>
      <c r="H524" s="10">
        <f t="shared" si="83"/>
        <v>0.29976734833920932</v>
      </c>
      <c r="I524" s="10">
        <f t="shared" si="86"/>
        <v>3.6999803254667007E-4</v>
      </c>
      <c r="J524" s="20">
        <f t="shared" si="84"/>
        <v>0</v>
      </c>
      <c r="K524" s="10">
        <f t="shared" si="87"/>
        <v>2.9388329601580665E-3</v>
      </c>
      <c r="L524" s="10">
        <f t="shared" si="88"/>
        <v>1.7632997760946845E-3</v>
      </c>
    </row>
    <row r="525" spans="1:12" x14ac:dyDescent="0.2">
      <c r="A525" s="14">
        <v>0.46</v>
      </c>
      <c r="B525" s="10">
        <f t="shared" si="78"/>
        <v>-0.16034265007517937</v>
      </c>
      <c r="C525" s="10">
        <f t="shared" si="79"/>
        <v>6.4137060030071717E-3</v>
      </c>
      <c r="D525" s="10">
        <f t="shared" si="80"/>
        <v>0.93756240538646241</v>
      </c>
      <c r="E525" s="10">
        <f t="shared" si="81"/>
        <v>2.5537488207724177</v>
      </c>
      <c r="F525" s="10">
        <f t="shared" si="85"/>
        <v>7.5480945356090068E-3</v>
      </c>
      <c r="G525" s="10">
        <f t="shared" si="82"/>
        <v>-0.84662992996898845</v>
      </c>
      <c r="H525" s="10">
        <f t="shared" si="83"/>
        <v>0.30014028412261629</v>
      </c>
      <c r="I525" s="10">
        <f t="shared" si="86"/>
        <v>3.7293578340696909E-4</v>
      </c>
      <c r="J525" s="20">
        <f t="shared" si="84"/>
        <v>0</v>
      </c>
      <c r="K525" s="10">
        <f t="shared" si="87"/>
        <v>2.960068517307235E-3</v>
      </c>
      <c r="L525" s="10">
        <f t="shared" si="88"/>
        <v>1.7760411103844298E-3</v>
      </c>
    </row>
    <row r="526" spans="1:12" x14ac:dyDescent="0.2">
      <c r="A526" s="14">
        <v>0.46100000000000002</v>
      </c>
      <c r="B526" s="10">
        <f t="shared" si="78"/>
        <v>-0.15631752791234846</v>
      </c>
      <c r="C526" s="10">
        <f t="shared" si="79"/>
        <v>6.0963835885815866E-3</v>
      </c>
      <c r="D526" s="10">
        <f t="shared" si="80"/>
        <v>0.94054372671620134</v>
      </c>
      <c r="E526" s="10">
        <f t="shared" si="81"/>
        <v>2.5613737271028332</v>
      </c>
      <c r="F526" s="10">
        <f t="shared" si="85"/>
        <v>7.6249063304154596E-3</v>
      </c>
      <c r="G526" s="10">
        <f t="shared" si="82"/>
        <v>-0.84484113717114517</v>
      </c>
      <c r="H526" s="10">
        <f t="shared" si="83"/>
        <v>0.30051616523078434</v>
      </c>
      <c r="I526" s="10">
        <f t="shared" si="86"/>
        <v>3.7588110816805242E-4</v>
      </c>
      <c r="J526" s="20">
        <f t="shared" si="84"/>
        <v>0</v>
      </c>
      <c r="K526" s="10">
        <f t="shared" si="87"/>
        <v>2.9813213297389396E-3</v>
      </c>
      <c r="L526" s="10">
        <f t="shared" si="88"/>
        <v>1.7887927978432749E-3</v>
      </c>
    </row>
    <row r="527" spans="1:12" x14ac:dyDescent="0.2">
      <c r="A527" s="14">
        <v>0.46200000000000002</v>
      </c>
      <c r="B527" s="10">
        <f t="shared" si="78"/>
        <v>-0.15229366908004557</v>
      </c>
      <c r="C527" s="10">
        <f t="shared" si="79"/>
        <v>5.7871594250417284E-3</v>
      </c>
      <c r="D527" s="10">
        <f t="shared" si="80"/>
        <v>0.94354631842905068</v>
      </c>
      <c r="E527" s="10">
        <f t="shared" si="81"/>
        <v>2.569076044299512</v>
      </c>
      <c r="F527" s="10">
        <f t="shared" si="85"/>
        <v>7.7023171966787984E-3</v>
      </c>
      <c r="G527" s="10">
        <f t="shared" si="82"/>
        <v>-0.84303958214343544</v>
      </c>
      <c r="H527" s="10">
        <f t="shared" si="83"/>
        <v>0.30089499930999614</v>
      </c>
      <c r="I527" s="10">
        <f t="shared" si="86"/>
        <v>3.7883407921179835E-4</v>
      </c>
      <c r="J527" s="20">
        <f t="shared" si="84"/>
        <v>0</v>
      </c>
      <c r="K527" s="10">
        <f t="shared" si="87"/>
        <v>3.002591712849334E-3</v>
      </c>
      <c r="L527" s="10">
        <f t="shared" si="88"/>
        <v>1.8015550277097336E-3</v>
      </c>
    </row>
    <row r="528" spans="1:12" x14ac:dyDescent="0.2">
      <c r="A528" s="14">
        <v>0.46300000000000002</v>
      </c>
      <c r="B528" s="10">
        <f t="shared" si="78"/>
        <v>-0.14827104042263045</v>
      </c>
      <c r="C528" s="10">
        <f t="shared" si="79"/>
        <v>5.4860284956373233E-3</v>
      </c>
      <c r="D528" s="10">
        <f t="shared" si="80"/>
        <v>0.94657019841165058</v>
      </c>
      <c r="E528" s="10">
        <f t="shared" si="81"/>
        <v>2.5768563793949051</v>
      </c>
      <c r="F528" s="10">
        <f t="shared" si="85"/>
        <v>7.7803350953931094E-3</v>
      </c>
      <c r="G528" s="10">
        <f t="shared" si="82"/>
        <v>-0.84122525415387561</v>
      </c>
      <c r="H528" s="10">
        <f t="shared" si="83"/>
        <v>0.30127679407889141</v>
      </c>
      <c r="I528" s="10">
        <f t="shared" si="86"/>
        <v>3.8179476889527164E-4</v>
      </c>
      <c r="J528" s="20">
        <f t="shared" si="84"/>
        <v>0</v>
      </c>
      <c r="K528" s="10">
        <f t="shared" si="87"/>
        <v>3.0238799825998974E-3</v>
      </c>
      <c r="L528" s="10">
        <f t="shared" si="88"/>
        <v>1.8143279895598274E-3</v>
      </c>
    </row>
    <row r="529" spans="1:12" x14ac:dyDescent="0.2">
      <c r="A529" s="14">
        <v>0.46400000000000002</v>
      </c>
      <c r="B529" s="10">
        <f t="shared" si="78"/>
        <v>-0.14424960884454679</v>
      </c>
      <c r="C529" s="10">
        <f t="shared" si="79"/>
        <v>5.192985918403681E-3</v>
      </c>
      <c r="D529" s="10">
        <f t="shared" si="80"/>
        <v>0.94961538486718322</v>
      </c>
      <c r="E529" s="10">
        <f t="shared" si="81"/>
        <v>2.5847153474777498</v>
      </c>
      <c r="F529" s="10">
        <f t="shared" si="85"/>
        <v>7.8589680828446973E-3</v>
      </c>
      <c r="G529" s="10">
        <f t="shared" si="82"/>
        <v>-0.83939814228055598</v>
      </c>
      <c r="H529" s="10">
        <f t="shared" si="83"/>
        <v>0.30166155732844147</v>
      </c>
      <c r="I529" s="10">
        <f t="shared" si="86"/>
        <v>3.8476324955005747E-4</v>
      </c>
      <c r="J529" s="20">
        <f t="shared" si="84"/>
        <v>0</v>
      </c>
      <c r="K529" s="10">
        <f t="shared" si="87"/>
        <v>3.0451864555326447E-3</v>
      </c>
      <c r="L529" s="10">
        <f t="shared" si="88"/>
        <v>1.8271118733196312E-3</v>
      </c>
    </row>
    <row r="530" spans="1:12" x14ac:dyDescent="0.2">
      <c r="A530" s="14">
        <v>0.46500000000000002</v>
      </c>
      <c r="B530" s="10">
        <f t="shared" si="78"/>
        <v>-0.14022934130865</v>
      </c>
      <c r="C530" s="10">
        <f t="shared" si="79"/>
        <v>4.9080269458027462E-3</v>
      </c>
      <c r="D530" s="10">
        <f t="shared" si="80"/>
        <v>0.95268189631598188</v>
      </c>
      <c r="E530" s="10">
        <f t="shared" si="81"/>
        <v>2.5926535717899593</v>
      </c>
      <c r="F530" s="10">
        <f t="shared" si="85"/>
        <v>7.9382243122094742E-3</v>
      </c>
      <c r="G530" s="10">
        <f t="shared" si="82"/>
        <v>-0.83755823541127683</v>
      </c>
      <c r="H530" s="10">
        <f t="shared" si="83"/>
        <v>0.3020492969219245</v>
      </c>
      <c r="I530" s="10">
        <f t="shared" si="86"/>
        <v>3.8773959348303855E-4</v>
      </c>
      <c r="J530" s="20">
        <f t="shared" si="84"/>
        <v>0</v>
      </c>
      <c r="K530" s="10">
        <f t="shared" si="87"/>
        <v>3.0665114487986589E-3</v>
      </c>
      <c r="L530" s="10">
        <f t="shared" si="88"/>
        <v>1.8399068692791509E-3</v>
      </c>
    </row>
    <row r="531" spans="1:12" x14ac:dyDescent="0.2">
      <c r="A531" s="14">
        <v>0.46600000000000003</v>
      </c>
      <c r="B531" s="10">
        <f t="shared" si="78"/>
        <v>-0.13621020483454893</v>
      </c>
      <c r="C531" s="10">
        <f t="shared" si="79"/>
        <v>4.63114696437466E-3</v>
      </c>
      <c r="D531" s="10">
        <f t="shared" si="80"/>
        <v>0.95576975159615407</v>
      </c>
      <c r="E531" s="10">
        <f t="shared" si="81"/>
        <v>2.6006716838251034</v>
      </c>
      <c r="F531" s="10">
        <f t="shared" si="85"/>
        <v>8.0181120351441315E-3</v>
      </c>
      <c r="G531" s="10">
        <f t="shared" si="82"/>
        <v>-0.8357055222431734</v>
      </c>
      <c r="H531" s="10">
        <f t="shared" si="83"/>
        <v>0.30244002079489951</v>
      </c>
      <c r="I531" s="10">
        <f t="shared" si="86"/>
        <v>3.9072387297500732E-4</v>
      </c>
      <c r="J531" s="20">
        <f t="shared" si="84"/>
        <v>0</v>
      </c>
      <c r="K531" s="10">
        <f t="shared" si="87"/>
        <v>3.0878552801721915E-3</v>
      </c>
      <c r="L531" s="10">
        <f t="shared" si="88"/>
        <v>1.8527131681034259E-3</v>
      </c>
    </row>
    <row r="532" spans="1:12" x14ac:dyDescent="0.2">
      <c r="A532" s="14">
        <v>0.46700000000000003</v>
      </c>
      <c r="B532" s="10">
        <f t="shared" si="78"/>
        <v>-0.13219216649694704</v>
      </c>
      <c r="C532" s="10">
        <f t="shared" si="79"/>
        <v>4.3623414943992486E-3</v>
      </c>
      <c r="D532" s="10">
        <f t="shared" si="80"/>
        <v>0.95887896986423371</v>
      </c>
      <c r="E532" s="10">
        <f t="shared" si="81"/>
        <v>2.608770323428542</v>
      </c>
      <c r="F532" s="10">
        <f t="shared" si="85"/>
        <v>8.0986396034385955E-3</v>
      </c>
      <c r="G532" s="10">
        <f t="shared" si="82"/>
        <v>-0.83383999128232567</v>
      </c>
      <c r="H532" s="10">
        <f t="shared" si="83"/>
        <v>0.30283373695518112</v>
      </c>
      <c r="I532" s="10">
        <f t="shared" si="86"/>
        <v>3.9371616028160972E-4</v>
      </c>
      <c r="J532" s="20">
        <f t="shared" si="84"/>
        <v>0</v>
      </c>
      <c r="K532" s="10">
        <f t="shared" si="87"/>
        <v>3.1092182680796387E-3</v>
      </c>
      <c r="L532" s="10">
        <f t="shared" si="88"/>
        <v>1.8655309608477388E-3</v>
      </c>
    </row>
    <row r="533" spans="1:12" x14ac:dyDescent="0.2">
      <c r="A533" s="14">
        <v>0.46800000000000003</v>
      </c>
      <c r="B533" s="10">
        <f t="shared" si="78"/>
        <v>-0.12817519342399764</v>
      </c>
      <c r="C533" s="10">
        <f t="shared" si="79"/>
        <v>4.1016061895679211E-3</v>
      </c>
      <c r="D533" s="10">
        <f t="shared" si="80"/>
        <v>0.96200957059584846</v>
      </c>
      <c r="E533" s="10">
        <f t="shared" si="81"/>
        <v>2.6169501388991985</v>
      </c>
      <c r="F533" s="10">
        <f t="shared" si="85"/>
        <v>8.1798154706564929E-3</v>
      </c>
      <c r="G533" s="10">
        <f t="shared" si="82"/>
        <v>-0.83196163084335684</v>
      </c>
      <c r="H533" s="10">
        <f t="shared" si="83"/>
        <v>0.30323045348281341</v>
      </c>
      <c r="I533" s="10">
        <f t="shared" si="86"/>
        <v>3.9671652763229037E-4</v>
      </c>
      <c r="J533" s="20">
        <f t="shared" si="84"/>
        <v>0</v>
      </c>
      <c r="K533" s="10">
        <f t="shared" si="87"/>
        <v>3.1306007316147522E-3</v>
      </c>
      <c r="L533" s="10">
        <f t="shared" si="88"/>
        <v>1.8783604389688291E-3</v>
      </c>
    </row>
    <row r="534" spans="1:12" x14ac:dyDescent="0.2">
      <c r="A534" s="14">
        <v>0.46899999999999997</v>
      </c>
      <c r="B534" s="10">
        <f t="shared" si="78"/>
        <v>-0.12415925279565959</v>
      </c>
      <c r="C534" s="10">
        <f t="shared" si="79"/>
        <v>3.8489368366654507E-3</v>
      </c>
      <c r="D534" s="10">
        <f t="shared" si="80"/>
        <v>0.96516157358641386</v>
      </c>
      <c r="E534" s="10">
        <f t="shared" si="81"/>
        <v>2.6252117870930367</v>
      </c>
      <c r="F534" s="10">
        <f t="shared" si="85"/>
        <v>8.2616481938382336E-3</v>
      </c>
      <c r="G534" s="10">
        <f t="shared" si="82"/>
        <v>-0.83007042904901751</v>
      </c>
      <c r="H534" s="10">
        <f t="shared" si="83"/>
        <v>0.30363017853004398</v>
      </c>
      <c r="I534" s="10">
        <f t="shared" si="86"/>
        <v>3.9972504723057023E-4</v>
      </c>
      <c r="J534" s="20">
        <f t="shared" si="84"/>
        <v>0</v>
      </c>
      <c r="K534" s="10">
        <f t="shared" si="87"/>
        <v>3.1520029905653946E-3</v>
      </c>
      <c r="L534" s="10">
        <f t="shared" si="88"/>
        <v>1.8912017943393256E-3</v>
      </c>
    </row>
    <row r="535" spans="1:12" x14ac:dyDescent="0.2">
      <c r="A535" s="14">
        <v>0.47</v>
      </c>
      <c r="B535" s="10">
        <f t="shared" si="78"/>
        <v>-0.12014431184206334</v>
      </c>
      <c r="C535" s="10">
        <f t="shared" si="79"/>
        <v>3.6043293552619035E-3</v>
      </c>
      <c r="D535" s="10">
        <f t="shared" si="80"/>
        <v>0.96833499895184638</v>
      </c>
      <c r="E535" s="10">
        <f t="shared" si="81"/>
        <v>2.6335559335282399</v>
      </c>
      <c r="F535" s="10">
        <f t="shared" si="85"/>
        <v>8.3441464352032035E-3</v>
      </c>
      <c r="G535" s="10">
        <f t="shared" si="82"/>
        <v>-0.82816637382975811</v>
      </c>
      <c r="H535" s="10">
        <f t="shared" si="83"/>
        <v>0.30403292032129653</v>
      </c>
      <c r="I535" s="10">
        <f t="shared" si="86"/>
        <v>4.0274179125254772E-4</v>
      </c>
      <c r="J535" s="20">
        <f t="shared" si="84"/>
        <v>0</v>
      </c>
      <c r="K535" s="10">
        <f t="shared" si="87"/>
        <v>3.1734253654325251E-3</v>
      </c>
      <c r="L535" s="10">
        <f t="shared" si="88"/>
        <v>1.904055219259404E-3</v>
      </c>
    </row>
    <row r="536" spans="1:12" x14ac:dyDescent="0.2">
      <c r="A536" s="14">
        <v>0.47099999999999997</v>
      </c>
      <c r="B536" s="10">
        <f t="shared" si="78"/>
        <v>-0.11613033784188169</v>
      </c>
      <c r="C536" s="10">
        <f t="shared" si="79"/>
        <v>3.3677797974145719E-3</v>
      </c>
      <c r="D536" s="10">
        <f t="shared" si="80"/>
        <v>0.97152986712929867</v>
      </c>
      <c r="E536" s="10">
        <f t="shared" si="81"/>
        <v>2.6419832524921354</v>
      </c>
      <c r="F536" s="10">
        <f t="shared" si="85"/>
        <v>8.4273189638954804E-3</v>
      </c>
      <c r="G536" s="10">
        <f t="shared" si="82"/>
        <v>-0.82624945292328666</v>
      </c>
      <c r="H536" s="10">
        <f t="shared" si="83"/>
        <v>0.30443868715314426</v>
      </c>
      <c r="I536" s="10">
        <f t="shared" si="86"/>
        <v>4.0576683184773144E-4</v>
      </c>
      <c r="J536" s="20">
        <f t="shared" si="84"/>
        <v>0</v>
      </c>
      <c r="K536" s="10">
        <f t="shared" si="87"/>
        <v>3.1948681774522925E-3</v>
      </c>
      <c r="L536" s="10">
        <f t="shared" si="88"/>
        <v>1.9169209064714421E-3</v>
      </c>
    </row>
    <row r="537" spans="1:12" x14ac:dyDescent="0.2">
      <c r="A537" s="14">
        <v>0.47199999999999998</v>
      </c>
      <c r="B537" s="10">
        <f t="shared" si="78"/>
        <v>-0.11211729812070624</v>
      </c>
      <c r="C537" s="10">
        <f t="shared" si="79"/>
        <v>3.1392843473797777E-3</v>
      </c>
      <c r="D537" s="10">
        <f t="shared" si="80"/>
        <v>0.97474619887791769</v>
      </c>
      <c r="E537" s="10">
        <f t="shared" si="81"/>
        <v>2.6504944271498889</v>
      </c>
      <c r="F537" s="10">
        <f t="shared" si="85"/>
        <v>8.5111746577535285E-3</v>
      </c>
      <c r="G537" s="10">
        <f t="shared" si="82"/>
        <v>-0.82431965387411521</v>
      </c>
      <c r="H537" s="10">
        <f t="shared" si="83"/>
        <v>0.30484748739428141</v>
      </c>
      <c r="I537" s="10">
        <f t="shared" si="86"/>
        <v>4.0880024113715274E-4</v>
      </c>
      <c r="J537" s="20">
        <f t="shared" si="84"/>
        <v>0</v>
      </c>
      <c r="K537" s="10">
        <f t="shared" si="87"/>
        <v>3.2163317486190168E-3</v>
      </c>
      <c r="L537" s="10">
        <f t="shared" si="88"/>
        <v>1.9297990491714545E-3</v>
      </c>
    </row>
    <row r="538" spans="1:12" x14ac:dyDescent="0.2">
      <c r="A538" s="14">
        <v>0.47299999999999998</v>
      </c>
      <c r="B538" s="10">
        <f t="shared" si="78"/>
        <v>-0.10810516004942944</v>
      </c>
      <c r="C538" s="10">
        <f t="shared" si="79"/>
        <v>2.9188393213345973E-3</v>
      </c>
      <c r="D538" s="10">
        <f t="shared" si="80"/>
        <v>0.97798401527962475</v>
      </c>
      <c r="E538" s="10">
        <f t="shared" si="81"/>
        <v>2.659090149654999</v>
      </c>
      <c r="F538" s="10">
        <f t="shared" si="85"/>
        <v>8.5957225051100927E-3</v>
      </c>
      <c r="G538" s="10">
        <f t="shared" si="82"/>
        <v>-0.82237696403309102</v>
      </c>
      <c r="H538" s="10">
        <f t="shared" si="83"/>
        <v>0.30525932948549511</v>
      </c>
      <c r="I538" s="10">
        <f t="shared" si="86"/>
        <v>4.1184209121369886E-4</v>
      </c>
      <c r="J538" s="20">
        <f t="shared" si="84"/>
        <v>0</v>
      </c>
      <c r="K538" s="10">
        <f t="shared" si="87"/>
        <v>3.237816401707061E-3</v>
      </c>
      <c r="L538" s="10">
        <f t="shared" si="88"/>
        <v>1.9426898410241922E-3</v>
      </c>
    </row>
    <row r="539" spans="1:12" x14ac:dyDescent="0.2">
      <c r="A539" s="14">
        <v>0.47399999999999998</v>
      </c>
      <c r="B539" s="10">
        <f t="shared" si="78"/>
        <v>-0.10409389104263345</v>
      </c>
      <c r="C539" s="10">
        <f t="shared" si="79"/>
        <v>2.706441167108472E-3</v>
      </c>
      <c r="D539" s="10">
        <f t="shared" si="80"/>
        <v>0.9812433377399159</v>
      </c>
      <c r="E539" s="10">
        <f t="shared" si="81"/>
        <v>2.6677711212616146</v>
      </c>
      <c r="F539" s="10">
        <f t="shared" si="85"/>
        <v>8.6809716066156284E-3</v>
      </c>
      <c r="G539" s="10">
        <f t="shared" si="82"/>
        <v>-0.82042137055691644</v>
      </c>
      <c r="H539" s="10">
        <f t="shared" si="83"/>
        <v>0.30567422193963589</v>
      </c>
      <c r="I539" s="10">
        <f t="shared" si="86"/>
        <v>4.1489245414078058E-4</v>
      </c>
      <c r="J539" s="20">
        <f t="shared" si="84"/>
        <v>0</v>
      </c>
      <c r="K539" s="10">
        <f t="shared" si="87"/>
        <v>3.2593224602911475E-3</v>
      </c>
      <c r="L539" s="10">
        <f t="shared" si="88"/>
        <v>1.9555934761745775E-3</v>
      </c>
    </row>
    <row r="540" spans="1:12" x14ac:dyDescent="0.2">
      <c r="A540" s="14">
        <v>0.47499999999999998</v>
      </c>
      <c r="B540" s="10">
        <f t="shared" si="78"/>
        <v>-0.10008345855698265</v>
      </c>
      <c r="C540" s="10">
        <f t="shared" si="79"/>
        <v>2.5020864639245686E-3</v>
      </c>
      <c r="D540" s="10">
        <f t="shared" si="80"/>
        <v>0.98452418798868657</v>
      </c>
      <c r="E540" s="10">
        <f t="shared" si="81"/>
        <v>2.6765380524387159</v>
      </c>
      <c r="F540" s="10">
        <f t="shared" si="85"/>
        <v>8.7669311771012559E-3</v>
      </c>
      <c r="G540" s="10">
        <f t="shared" si="82"/>
        <v>-0.81845286040765397</v>
      </c>
      <c r="H540" s="10">
        <f t="shared" si="83"/>
        <v>0.30609217334158734</v>
      </c>
      <c r="I540" s="10">
        <f t="shared" si="86"/>
        <v>4.1795140195144409E-4</v>
      </c>
      <c r="J540" s="20">
        <f t="shared" si="84"/>
        <v>0</v>
      </c>
      <c r="K540" s="10">
        <f t="shared" si="87"/>
        <v>3.2808502487706726E-3</v>
      </c>
      <c r="L540" s="10">
        <f t="shared" si="88"/>
        <v>1.9685101492624701E-3</v>
      </c>
    </row>
    <row r="541" spans="1:12" x14ac:dyDescent="0.2">
      <c r="A541" s="14">
        <v>0.47599999999999998</v>
      </c>
      <c r="B541" s="10">
        <f t="shared" si="78"/>
        <v>-9.6073830089622211E-2</v>
      </c>
      <c r="C541" s="10">
        <f t="shared" si="79"/>
        <v>2.3057719221509353E-3</v>
      </c>
      <c r="D541" s="10">
        <f t="shared" si="80"/>
        <v>0.98782658808107771</v>
      </c>
      <c r="E541" s="10">
        <f t="shared" si="81"/>
        <v>2.6853916629861811</v>
      </c>
      <c r="F541" s="10">
        <f t="shared" si="85"/>
        <v>8.8536105474652516E-3</v>
      </c>
      <c r="G541" s="10">
        <f t="shared" si="82"/>
        <v>-0.81647142035221931</v>
      </c>
      <c r="H541" s="10">
        <f t="shared" si="83"/>
        <v>0.30651319234823554</v>
      </c>
      <c r="I541" s="10">
        <f t="shared" si="86"/>
        <v>4.2101900664820446E-4</v>
      </c>
      <c r="J541" s="20">
        <f t="shared" si="84"/>
        <v>0</v>
      </c>
      <c r="K541" s="10">
        <f t="shared" si="87"/>
        <v>3.3024000923911334E-3</v>
      </c>
      <c r="L541" s="10">
        <f t="shared" si="88"/>
        <v>1.9814400554346578E-3</v>
      </c>
    </row>
    <row r="542" spans="1:12" x14ac:dyDescent="0.2">
      <c r="A542" s="14">
        <v>0.47699999999999998</v>
      </c>
      <c r="B542" s="10">
        <f t="shared" si="78"/>
        <v>-9.2064973176581799E-2</v>
      </c>
      <c r="C542" s="10">
        <f t="shared" si="79"/>
        <v>2.1174943830613831E-3</v>
      </c>
      <c r="D542" s="10">
        <f t="shared" si="80"/>
        <v>0.99115056039834304</v>
      </c>
      <c r="E542" s="10">
        <f t="shared" si="81"/>
        <v>2.6943326821527744</v>
      </c>
      <c r="F542" s="10">
        <f t="shared" si="85"/>
        <v>8.9410191665932892E-3</v>
      </c>
      <c r="G542" s="10">
        <f t="shared" si="82"/>
        <v>-0.81447703696186013</v>
      </c>
      <c r="H542" s="10">
        <f t="shared" si="83"/>
        <v>0.30693728768843631</v>
      </c>
      <c r="I542" s="10">
        <f t="shared" si="86"/>
        <v>4.2409534020076967E-4</v>
      </c>
      <c r="J542" s="20">
        <f t="shared" si="84"/>
        <v>0</v>
      </c>
      <c r="K542" s="10">
        <f t="shared" si="87"/>
        <v>3.3239723172653335E-3</v>
      </c>
      <c r="L542" s="10">
        <f t="shared" si="88"/>
        <v>1.9943833903591779E-3</v>
      </c>
    </row>
    <row r="543" spans="1:12" x14ac:dyDescent="0.2">
      <c r="A543" s="14">
        <v>0.47799999999999998</v>
      </c>
      <c r="B543" s="10">
        <f t="shared" si="78"/>
        <v>-8.8056855391182798E-2</v>
      </c>
      <c r="C543" s="10">
        <f t="shared" si="79"/>
        <v>1.9372508186060232E-3</v>
      </c>
      <c r="D543" s="10">
        <f t="shared" si="80"/>
        <v>0.99449612764874085</v>
      </c>
      <c r="E543" s="10">
        <f t="shared" si="81"/>
        <v>2.703361848756086</v>
      </c>
      <c r="F543" s="10">
        <f t="shared" si="85"/>
        <v>9.0291666033115447E-3</v>
      </c>
      <c r="G543" s="10">
        <f t="shared" si="82"/>
        <v>-0.81246969661162138</v>
      </c>
      <c r="H543" s="10">
        <f t="shared" si="83"/>
        <v>0.30736446816298285</v>
      </c>
      <c r="I543" s="10">
        <f t="shared" si="86"/>
        <v>4.2718047454654018E-4</v>
      </c>
      <c r="J543" s="20">
        <f t="shared" si="84"/>
        <v>0</v>
      </c>
      <c r="K543" s="10">
        <f t="shared" si="87"/>
        <v>3.3455672503978073E-3</v>
      </c>
      <c r="L543" s="10">
        <f t="shared" si="88"/>
        <v>2.007340350238751E-3</v>
      </c>
    </row>
    <row r="544" spans="1:12" x14ac:dyDescent="0.2">
      <c r="A544" s="14">
        <v>0.47899999999999998</v>
      </c>
      <c r="B544" s="10">
        <f t="shared" si="78"/>
        <v>-8.4049444342451707E-2</v>
      </c>
      <c r="C544" s="10">
        <f t="shared" si="79"/>
        <v>1.7650383311914875E-3</v>
      </c>
      <c r="D544" s="10">
        <f t="shared" si="80"/>
        <v>0.99786331286844587</v>
      </c>
      <c r="E544" s="10">
        <f t="shared" si="81"/>
        <v>2.7124799113044551</v>
      </c>
      <c r="F544" s="10">
        <f t="shared" si="85"/>
        <v>9.1180625483691102E-3</v>
      </c>
      <c r="G544" s="10">
        <f t="shared" si="82"/>
        <v>-0.81044938547979839</v>
      </c>
      <c r="H544" s="10">
        <f t="shared" si="83"/>
        <v>0.30779474264457068</v>
      </c>
      <c r="I544" s="10">
        <f t="shared" si="86"/>
        <v>4.3027448158783344E-4</v>
      </c>
      <c r="J544" s="20">
        <f t="shared" si="84"/>
        <v>0</v>
      </c>
      <c r="K544" s="10">
        <f t="shared" si="87"/>
        <v>3.3671852197050267E-3</v>
      </c>
      <c r="L544" s="10">
        <f t="shared" si="88"/>
        <v>2.0203111318229938E-3</v>
      </c>
    </row>
    <row r="545" spans="1:12" x14ac:dyDescent="0.2">
      <c r="A545" s="14">
        <v>0.48</v>
      </c>
      <c r="B545" s="10">
        <f t="shared" si="78"/>
        <v>-8.0042707673536495E-2</v>
      </c>
      <c r="C545" s="10">
        <f t="shared" si="79"/>
        <v>1.6008541534707314E-3</v>
      </c>
      <c r="D545" s="10">
        <f t="shared" si="80"/>
        <v>1.0012521394224858</v>
      </c>
      <c r="E545" s="10">
        <f t="shared" si="81"/>
        <v>2.7216876281209137</v>
      </c>
      <c r="F545" s="10">
        <f t="shared" si="85"/>
        <v>9.2077168164585999E-3</v>
      </c>
      <c r="G545" s="10">
        <f t="shared" si="82"/>
        <v>-0.80841608954737432</v>
      </c>
      <c r="H545" s="10">
        <f t="shared" si="83"/>
        <v>0.30822812007776307</v>
      </c>
      <c r="I545" s="10">
        <f t="shared" si="86"/>
        <v>4.3337743319238342E-4</v>
      </c>
      <c r="J545" s="20">
        <f t="shared" si="84"/>
        <v>0</v>
      </c>
      <c r="K545" s="10">
        <f t="shared" si="87"/>
        <v>3.3888265540399365E-3</v>
      </c>
      <c r="L545" s="10">
        <f t="shared" si="88"/>
        <v>2.0332959324240729E-3</v>
      </c>
    </row>
    <row r="546" spans="1:12" x14ac:dyDescent="0.2">
      <c r="A546" s="14">
        <v>0.48099999999999998</v>
      </c>
      <c r="B546" s="10">
        <f t="shared" si="78"/>
        <v>-7.6036613060127572E-2</v>
      </c>
      <c r="C546" s="10">
        <f t="shared" si="79"/>
        <v>1.4446956481424251E-3</v>
      </c>
      <c r="D546" s="10">
        <f t="shared" si="80"/>
        <v>1.0046626310056992</v>
      </c>
      <c r="E546" s="10">
        <f t="shared" si="81"/>
        <v>2.7309857674691789</v>
      </c>
      <c r="F546" s="10">
        <f t="shared" si="85"/>
        <v>9.2981393482651775E-3</v>
      </c>
      <c r="G546" s="10">
        <f t="shared" si="82"/>
        <v>-0.8063697945974464</v>
      </c>
      <c r="H546" s="10">
        <f t="shared" si="83"/>
        <v>0.30866460947895324</v>
      </c>
      <c r="I546" s="10">
        <f t="shared" si="86"/>
        <v>4.3648940119017654E-4</v>
      </c>
      <c r="J546" s="20">
        <f t="shared" si="84"/>
        <v>0</v>
      </c>
      <c r="K546" s="10">
        <f t="shared" si="87"/>
        <v>3.410491583213382E-3</v>
      </c>
      <c r="L546" s="10">
        <f t="shared" si="88"/>
        <v>2.0462949499279182E-3</v>
      </c>
    </row>
    <row r="547" spans="1:12" x14ac:dyDescent="0.2">
      <c r="A547" s="14">
        <v>0.48199999999999998</v>
      </c>
      <c r="B547" s="10">
        <f t="shared" si="78"/>
        <v>-7.2031128208882841E-2</v>
      </c>
      <c r="C547" s="10">
        <f t="shared" si="79"/>
        <v>1.2965603077598922E-3</v>
      </c>
      <c r="D547" s="10">
        <f t="shared" si="80"/>
        <v>1.0080948116437158</v>
      </c>
      <c r="E547" s="10">
        <f t="shared" si="81"/>
        <v>2.7403751076817322</v>
      </c>
      <c r="F547" s="10">
        <f t="shared" si="85"/>
        <v>9.3893402125533321E-3</v>
      </c>
      <c r="G547" s="10">
        <f t="shared" si="82"/>
        <v>-0.80431048621463652</v>
      </c>
      <c r="H547" s="10">
        <f t="shared" si="83"/>
        <v>0.30910421993632686</v>
      </c>
      <c r="I547" s="10">
        <f t="shared" si="86"/>
        <v>4.3961045737361815E-4</v>
      </c>
      <c r="J547" s="20">
        <f t="shared" si="84"/>
        <v>0</v>
      </c>
      <c r="K547" s="10">
        <f t="shared" si="87"/>
        <v>3.4321806380166464E-3</v>
      </c>
      <c r="L547" s="10">
        <f t="shared" si="88"/>
        <v>2.0593083828098768E-3</v>
      </c>
    </row>
    <row r="548" spans="1:12" x14ac:dyDescent="0.2">
      <c r="A548" s="14">
        <v>0.48299999999999998</v>
      </c>
      <c r="B548" s="10">
        <f t="shared" si="78"/>
        <v>-6.8026220855856467E-2</v>
      </c>
      <c r="C548" s="10">
        <f t="shared" si="79"/>
        <v>1.1564457545495609E-3</v>
      </c>
      <c r="D548" s="10">
        <f t="shared" si="80"/>
        <v>1.0115487056939609</v>
      </c>
      <c r="E548" s="10">
        <f t="shared" si="81"/>
        <v>2.7498564372900218</v>
      </c>
      <c r="F548" s="10">
        <f t="shared" si="85"/>
        <v>9.4813296082896237E-3</v>
      </c>
      <c r="G548" s="10">
        <f t="shared" si="82"/>
        <v>-0.80223814978448926</v>
      </c>
      <c r="H548" s="10">
        <f t="shared" si="83"/>
        <v>0.30954696060982206</v>
      </c>
      <c r="I548" s="10">
        <f t="shared" si="86"/>
        <v>4.4274067349520108E-4</v>
      </c>
      <c r="J548" s="20">
        <f t="shared" si="84"/>
        <v>0</v>
      </c>
      <c r="K548" s="10">
        <f t="shared" si="87"/>
        <v>3.4538940502450988E-3</v>
      </c>
      <c r="L548" s="10">
        <f t="shared" si="88"/>
        <v>2.0723364301472591E-3</v>
      </c>
    </row>
    <row r="549" spans="1:12" x14ac:dyDescent="0.2">
      <c r="A549" s="14">
        <v>0.48399999999999999</v>
      </c>
      <c r="B549" s="10">
        <f t="shared" si="78"/>
        <v>-6.4021858764931022E-2</v>
      </c>
      <c r="C549" s="10">
        <f t="shared" si="79"/>
        <v>1.0243497402388972E-3</v>
      </c>
      <c r="D549" s="10">
        <f t="shared" si="80"/>
        <v>1.0150243378466826</v>
      </c>
      <c r="E549" s="10">
        <f t="shared" si="81"/>
        <v>2.7594305551568228</v>
      </c>
      <c r="F549" s="10">
        <f t="shared" si="85"/>
        <v>9.5741178668009574E-3</v>
      </c>
      <c r="G549" s="10">
        <f t="shared" si="82"/>
        <v>-0.80015277049285649</v>
      </c>
      <c r="H549" s="10">
        <f t="shared" si="83"/>
        <v>0.30999284073108813</v>
      </c>
      <c r="I549" s="10">
        <f t="shared" si="86"/>
        <v>4.4588012126606236E-4</v>
      </c>
      <c r="J549" s="20">
        <f t="shared" si="84"/>
        <v>0</v>
      </c>
      <c r="K549" s="10">
        <f t="shared" si="87"/>
        <v>3.4756321527216194E-3</v>
      </c>
      <c r="L549" s="10">
        <f t="shared" si="88"/>
        <v>2.0853792916327718E-3</v>
      </c>
    </row>
    <row r="550" spans="1:12" x14ac:dyDescent="0.2">
      <c r="A550" s="14">
        <v>0.48499999999999999</v>
      </c>
      <c r="B550" s="10">
        <f t="shared" si="78"/>
        <v>-6.0018009726253041E-2</v>
      </c>
      <c r="C550" s="10">
        <f t="shared" si="79"/>
        <v>9.0027014589379639E-4</v>
      </c>
      <c r="D550" s="10">
        <f t="shared" si="80"/>
        <v>1.018521733125999</v>
      </c>
      <c r="E550" s="10">
        <f t="shared" si="81"/>
        <v>2.769098270610785</v>
      </c>
      <c r="F550" s="10">
        <f t="shared" si="85"/>
        <v>9.6677154539621668E-3</v>
      </c>
      <c r="G550" s="10">
        <f t="shared" si="82"/>
        <v>-0.79805433332526643</v>
      </c>
      <c r="H550" s="10">
        <f t="shared" si="83"/>
        <v>0.31044186960344278</v>
      </c>
      <c r="I550" s="10">
        <f t="shared" si="86"/>
        <v>4.4902887235465094E-4</v>
      </c>
      <c r="J550" s="20">
        <f t="shared" si="84"/>
        <v>0</v>
      </c>
      <c r="K550" s="10">
        <f t="shared" si="87"/>
        <v>3.4973952793164731E-3</v>
      </c>
      <c r="L550" s="10">
        <f t="shared" si="88"/>
        <v>2.0984371675900615E-3</v>
      </c>
    </row>
    <row r="551" spans="1:12" x14ac:dyDescent="0.2">
      <c r="A551" s="14">
        <v>0.48599999999999999</v>
      </c>
      <c r="B551" s="10">
        <f t="shared" si="78"/>
        <v>-5.6014641554671368E-2</v>
      </c>
      <c r="C551" s="10">
        <f t="shared" si="79"/>
        <v>7.8420498176539981E-4</v>
      </c>
      <c r="D551" s="10">
        <f t="shared" si="80"/>
        <v>1.0220409168909754</v>
      </c>
      <c r="E551" s="10">
        <f t="shared" si="81"/>
        <v>2.7788604035832254</v>
      </c>
      <c r="F551" s="10">
        <f t="shared" si="85"/>
        <v>9.7621329724404404E-3</v>
      </c>
      <c r="G551" s="10">
        <f t="shared" si="82"/>
        <v>-0.79594282306628084</v>
      </c>
      <c r="H551" s="10">
        <f t="shared" si="83"/>
        <v>0.3108940566018274</v>
      </c>
      <c r="I551" s="10">
        <f t="shared" si="86"/>
        <v>4.5218699838461829E-4</v>
      </c>
      <c r="J551" s="20">
        <f t="shared" si="84"/>
        <v>0</v>
      </c>
      <c r="K551" s="10">
        <f t="shared" si="87"/>
        <v>3.5191837649763968E-3</v>
      </c>
      <c r="L551" s="10">
        <f t="shared" si="88"/>
        <v>2.1115102589855939E-3</v>
      </c>
    </row>
    <row r="552" spans="1:12" x14ac:dyDescent="0.2">
      <c r="A552" s="14">
        <v>0.48699999999999999</v>
      </c>
      <c r="B552" s="10">
        <f t="shared" si="78"/>
        <v>-5.2011722088179738E-2</v>
      </c>
      <c r="C552" s="10">
        <f t="shared" si="79"/>
        <v>6.7615238714633719E-4</v>
      </c>
      <c r="D552" s="10">
        <f t="shared" si="80"/>
        <v>1.0255819148367151</v>
      </c>
      <c r="E552" s="10">
        <f t="shared" si="81"/>
        <v>2.7887177847471709</v>
      </c>
      <c r="F552" s="10">
        <f t="shared" si="85"/>
        <v>9.8573811639455222E-3</v>
      </c>
      <c r="G552" s="10">
        <f t="shared" si="82"/>
        <v>-0.79381822429883675</v>
      </c>
      <c r="H552" s="10">
        <f t="shared" si="83"/>
        <v>0.31134941117276044</v>
      </c>
      <c r="I552" s="10">
        <f t="shared" si="86"/>
        <v>4.5535457093304199E-4</v>
      </c>
      <c r="J552" s="20">
        <f t="shared" si="84"/>
        <v>0</v>
      </c>
      <c r="K552" s="10">
        <f t="shared" si="87"/>
        <v>3.5409979457396989E-3</v>
      </c>
      <c r="L552" s="10">
        <f t="shared" si="88"/>
        <v>2.1245987674440858E-3</v>
      </c>
    </row>
    <row r="553" spans="1:12" x14ac:dyDescent="0.2">
      <c r="A553" s="14">
        <v>0.48799999999999999</v>
      </c>
      <c r="B553" s="10">
        <f t="shared" si="78"/>
        <v>-4.8009219186360606E-2</v>
      </c>
      <c r="C553" s="10">
        <f t="shared" si="79"/>
        <v>5.7611063023632776E-4</v>
      </c>
      <c r="D553" s="10">
        <f t="shared" si="80"/>
        <v>1.0291447529954836</v>
      </c>
      <c r="E553" s="10">
        <f t="shared" si="81"/>
        <v>2.7986712556587343</v>
      </c>
      <c r="F553" s="10">
        <f t="shared" si="85"/>
        <v>9.9534709115634001E-3</v>
      </c>
      <c r="G553" s="10">
        <f t="shared" si="82"/>
        <v>-0.7916805214035757</v>
      </c>
      <c r="H553" s="10">
        <f t="shared" si="83"/>
        <v>0.3118079428342892</v>
      </c>
      <c r="I553" s="10">
        <f t="shared" si="86"/>
        <v>4.5853166152876046E-4</v>
      </c>
      <c r="J553" s="20">
        <f t="shared" si="84"/>
        <v>0</v>
      </c>
      <c r="K553" s="10">
        <f t="shared" si="87"/>
        <v>3.5628381587684554E-3</v>
      </c>
      <c r="L553" s="10">
        <f t="shared" si="88"/>
        <v>2.1377028952610511E-3</v>
      </c>
    </row>
    <row r="554" spans="1:12" x14ac:dyDescent="0.2">
      <c r="A554" s="14">
        <v>0.48899999999999999</v>
      </c>
      <c r="B554" s="10">
        <f t="shared" si="78"/>
        <v>-4.4007100728832405E-2</v>
      </c>
      <c r="C554" s="10">
        <f t="shared" si="79"/>
        <v>4.8407810801715689E-4</v>
      </c>
      <c r="D554" s="10">
        <f t="shared" si="80"/>
        <v>1.032729457737849</v>
      </c>
      <c r="E554" s="10">
        <f t="shared" si="81"/>
        <v>2.8087216689008159</v>
      </c>
      <c r="F554" s="10">
        <f t="shared" si="85"/>
        <v>1.0050413242081557E-2</v>
      </c>
      <c r="G554" s="10">
        <f t="shared" si="82"/>
        <v>-0.78952969855815658</v>
      </c>
      <c r="H554" s="10">
        <f t="shared" si="83"/>
        <v>0.31226966117593935</v>
      </c>
      <c r="I554" s="10">
        <f t="shared" si="86"/>
        <v>4.6171834165015246E-4</v>
      </c>
      <c r="J554" s="20">
        <f t="shared" si="84"/>
        <v>0</v>
      </c>
      <c r="K554" s="10">
        <f t="shared" si="87"/>
        <v>3.5847047423653855E-3</v>
      </c>
      <c r="L554" s="10">
        <f t="shared" si="88"/>
        <v>2.1508228454191203E-3</v>
      </c>
    </row>
    <row r="555" spans="1:12" x14ac:dyDescent="0.2">
      <c r="A555" s="14">
        <v>0.49</v>
      </c>
      <c r="B555" s="10">
        <f t="shared" si="78"/>
        <v>-4.0005334613699248E-2</v>
      </c>
      <c r="C555" s="10">
        <f t="shared" si="79"/>
        <v>4.0005334613699281E-4</v>
      </c>
      <c r="D555" s="10">
        <f t="shared" si="80"/>
        <v>1.0363360557738481</v>
      </c>
      <c r="E555" s="10">
        <f t="shared" si="81"/>
        <v>2.8188698882292047</v>
      </c>
      <c r="F555" s="10">
        <f t="shared" si="85"/>
        <v>1.014821932838883E-2</v>
      </c>
      <c r="G555" s="10">
        <f t="shared" si="82"/>
        <v>-0.7873657397365571</v>
      </c>
      <c r="H555" s="10">
        <f t="shared" si="83"/>
        <v>0.31273457585866227</v>
      </c>
      <c r="I555" s="10">
        <f t="shared" si="86"/>
        <v>4.6491468272291669E-4</v>
      </c>
      <c r="J555" s="20">
        <f t="shared" si="84"/>
        <v>0</v>
      </c>
      <c r="K555" s="10">
        <f t="shared" si="87"/>
        <v>3.6065980359991645E-3</v>
      </c>
      <c r="L555" s="10">
        <f t="shared" si="88"/>
        <v>2.1639588215994765E-3</v>
      </c>
    </row>
    <row r="556" spans="1:12" x14ac:dyDescent="0.2">
      <c r="A556" s="14">
        <v>0.49099999999999999</v>
      </c>
      <c r="B556" s="10">
        <f t="shared" si="78"/>
        <v>-3.6003888756002175E-2</v>
      </c>
      <c r="C556" s="10">
        <f t="shared" si="79"/>
        <v>3.2403499880401986E-4</v>
      </c>
      <c r="D556" s="10">
        <f t="shared" si="80"/>
        <v>1.0399645741541794</v>
      </c>
      <c r="E556" s="10">
        <f t="shared" si="81"/>
        <v>2.8291167887211155</v>
      </c>
      <c r="F556" s="10">
        <f t="shared" si="85"/>
        <v>1.0246900491910793E-2</v>
      </c>
      <c r="G556" s="10">
        <f t="shared" si="82"/>
        <v>-0.78518862870835815</v>
      </c>
      <c r="H556" s="10">
        <f t="shared" si="83"/>
        <v>0.31320269661478067</v>
      </c>
      <c r="I556" s="10">
        <f t="shared" si="86"/>
        <v>4.6812075611840642E-4</v>
      </c>
      <c r="J556" s="20">
        <f t="shared" si="84"/>
        <v>0</v>
      </c>
      <c r="K556" s="10">
        <f t="shared" si="87"/>
        <v>3.6285183803312915E-3</v>
      </c>
      <c r="L556" s="10">
        <f t="shared" si="88"/>
        <v>2.1771110281989525E-3</v>
      </c>
    </row>
    <row r="557" spans="1:12" x14ac:dyDescent="0.2">
      <c r="A557" s="14">
        <v>0.49199999999999999</v>
      </c>
      <c r="B557" s="10">
        <f t="shared" si="78"/>
        <v>-3.2002731086173831E-2</v>
      </c>
      <c r="C557" s="10">
        <f t="shared" si="79"/>
        <v>2.5602184868939089E-4</v>
      </c>
      <c r="D557" s="10">
        <f t="shared" si="80"/>
        <v>1.0436150402714146</v>
      </c>
      <c r="E557" s="10">
        <f t="shared" si="81"/>
        <v>2.8394632569261842</v>
      </c>
      <c r="F557" s="10">
        <f t="shared" si="85"/>
        <v>1.0346468205068682E-2</v>
      </c>
      <c r="G557" s="10">
        <f t="shared" si="82"/>
        <v>-0.78299834903801724</v>
      </c>
      <c r="H557" s="10">
        <f t="shared" si="83"/>
        <v>0.31367403324793108</v>
      </c>
      <c r="I557" s="10">
        <f t="shared" si="86"/>
        <v>4.7133663315040986E-4</v>
      </c>
      <c r="J557" s="20">
        <f t="shared" si="84"/>
        <v>0</v>
      </c>
      <c r="K557" s="10">
        <f t="shared" si="87"/>
        <v>3.6504661172351849E-3</v>
      </c>
      <c r="L557" s="10">
        <f t="shared" si="88"/>
        <v>2.1902796703409111E-3</v>
      </c>
    </row>
    <row r="558" spans="1:12" x14ac:dyDescent="0.2">
      <c r="A558" s="14">
        <v>0.49299999999999999</v>
      </c>
      <c r="B558" s="10">
        <f t="shared" si="78"/>
        <v>-2.8001829548493087E-2</v>
      </c>
      <c r="C558" s="10">
        <f t="shared" si="79"/>
        <v>1.9601280683945177E-4</v>
      </c>
      <c r="D558" s="10">
        <f t="shared" si="80"/>
        <v>1.0472874818612381</v>
      </c>
      <c r="E558" s="10">
        <f t="shared" si="81"/>
        <v>2.8499101910199913</v>
      </c>
      <c r="F558" s="10">
        <f t="shared" si="85"/>
        <v>1.0446934093807148E-2</v>
      </c>
      <c r="G558" s="10">
        <f t="shared" si="82"/>
        <v>-0.7807948840841229</v>
      </c>
      <c r="H558" s="10">
        <f t="shared" si="83"/>
        <v>0.31414859563300496</v>
      </c>
      <c r="I558" s="10">
        <f t="shared" si="86"/>
        <v>4.7456238507387338E-4</v>
      </c>
      <c r="J558" s="20">
        <f t="shared" si="84"/>
        <v>0</v>
      </c>
      <c r="K558" s="10">
        <f t="shared" si="87"/>
        <v>3.6724415898234941E-3</v>
      </c>
      <c r="L558" s="10">
        <f t="shared" si="88"/>
        <v>2.2034649538943407E-3</v>
      </c>
    </row>
    <row r="559" spans="1:12" x14ac:dyDescent="0.2">
      <c r="A559" s="14">
        <v>0.49399999999999999</v>
      </c>
      <c r="B559" s="10">
        <f t="shared" si="78"/>
        <v>-2.4001152099543014E-2</v>
      </c>
      <c r="C559" s="10">
        <f t="shared" si="79"/>
        <v>1.4400691259725822E-4</v>
      </c>
      <c r="D559" s="10">
        <f t="shared" si="80"/>
        <v>1.0509819270037097</v>
      </c>
      <c r="E559" s="10">
        <f t="shared" si="81"/>
        <v>2.8604585009601409</v>
      </c>
      <c r="F559" s="10">
        <f t="shared" si="85"/>
        <v>1.0548309940149547E-2</v>
      </c>
      <c r="G559" s="10">
        <f t="shared" si="82"/>
        <v>-0.77857821699864005</v>
      </c>
      <c r="H559" s="10">
        <f t="shared" si="83"/>
        <v>0.31462639371608642</v>
      </c>
      <c r="I559" s="10">
        <f t="shared" si="86"/>
        <v>4.7779808308145988E-4</v>
      </c>
      <c r="J559" s="20">
        <f t="shared" si="84"/>
        <v>0</v>
      </c>
      <c r="K559" s="10">
        <f t="shared" si="87"/>
        <v>3.6944451424716362E-3</v>
      </c>
      <c r="L559" s="10">
        <f t="shared" si="88"/>
        <v>2.2166670854828485E-3</v>
      </c>
    </row>
    <row r="560" spans="1:12" x14ac:dyDescent="0.2">
      <c r="A560" s="14">
        <v>0.495</v>
      </c>
      <c r="B560" s="10">
        <f t="shared" si="78"/>
        <v>-2.0000666706669543E-2</v>
      </c>
      <c r="C560" s="10">
        <f t="shared" si="79"/>
        <v>1.000033335333478E-4</v>
      </c>
      <c r="D560" s="10">
        <f t="shared" si="80"/>
        <v>1.0546984041245502</v>
      </c>
      <c r="E560" s="10">
        <f t="shared" si="81"/>
        <v>2.8711091086449385</v>
      </c>
      <c r="F560" s="10">
        <f t="shared" si="85"/>
        <v>1.0650607684797642E-2</v>
      </c>
      <c r="G560" s="10">
        <f t="shared" si="82"/>
        <v>-0.77634833072613574</v>
      </c>
      <c r="H560" s="10">
        <f t="shared" si="83"/>
        <v>0.31510743751438819</v>
      </c>
      <c r="I560" s="10">
        <f t="shared" si="86"/>
        <v>4.8104379830177235E-4</v>
      </c>
      <c r="J560" s="20">
        <f t="shared" si="84"/>
        <v>0</v>
      </c>
      <c r="K560" s="10">
        <f t="shared" si="87"/>
        <v>3.7164771208404446E-3</v>
      </c>
      <c r="L560" s="10">
        <f t="shared" si="88"/>
        <v>2.2298862725043112E-3</v>
      </c>
    </row>
    <row r="561" spans="1:12" x14ac:dyDescent="0.2">
      <c r="A561" s="14">
        <v>0.496</v>
      </c>
      <c r="B561" s="10">
        <f t="shared" si="78"/>
        <v>-1.6000341346441189E-2</v>
      </c>
      <c r="C561" s="10">
        <f t="shared" si="79"/>
        <v>6.4001365385764816E-5</v>
      </c>
      <c r="D561" s="10">
        <f t="shared" si="80"/>
        <v>1.0584369419964534</v>
      </c>
      <c r="E561" s="10">
        <f t="shared" si="81"/>
        <v>2.8818629480747306</v>
      </c>
      <c r="F561" s="10">
        <f t="shared" si="85"/>
        <v>1.0753839429792134E-2</v>
      </c>
      <c r="G561" s="10">
        <f t="shared" si="82"/>
        <v>-0.77410520800299376</v>
      </c>
      <c r="H561" s="10">
        <f t="shared" si="83"/>
        <v>0.31559173711618416</v>
      </c>
      <c r="I561" s="10">
        <f t="shared" si="86"/>
        <v>4.8429960179596776E-4</v>
      </c>
      <c r="J561" s="20">
        <f t="shared" si="84"/>
        <v>0</v>
      </c>
      <c r="K561" s="10">
        <f t="shared" si="87"/>
        <v>3.738537871903258E-3</v>
      </c>
      <c r="L561" s="10">
        <f t="shared" si="88"/>
        <v>2.243122723141977E-3</v>
      </c>
    </row>
    <row r="562" spans="1:12" x14ac:dyDescent="0.2">
      <c r="A562" s="14">
        <v>0.497</v>
      </c>
      <c r="B562" s="10">
        <f t="shared" si="78"/>
        <v>-1.2000144003110521E-2</v>
      </c>
      <c r="C562" s="10">
        <f t="shared" si="79"/>
        <v>3.6000432009331595E-5</v>
      </c>
      <c r="D562" s="10">
        <f t="shared" si="80"/>
        <v>1.0621975697404216</v>
      </c>
      <c r="E562" s="10">
        <f t="shared" si="81"/>
        <v>2.8927209655159301</v>
      </c>
      <c r="F562" s="10">
        <f t="shared" si="85"/>
        <v>1.0858017441199408E-2</v>
      </c>
      <c r="G562" s="10">
        <f t="shared" si="82"/>
        <v>-0.77184883135661297</v>
      </c>
      <c r="H562" s="10">
        <f t="shared" si="83"/>
        <v>0.31607930268073936</v>
      </c>
      <c r="I562" s="10">
        <f t="shared" si="86"/>
        <v>4.875655645552035E-4</v>
      </c>
      <c r="J562" s="20">
        <f t="shared" si="84"/>
        <v>0</v>
      </c>
      <c r="K562" s="10">
        <f t="shared" si="87"/>
        <v>3.7606277439681257E-3</v>
      </c>
      <c r="L562" s="10">
        <f t="shared" si="88"/>
        <v>2.2563766463807866E-3</v>
      </c>
    </row>
    <row r="563" spans="1:12" x14ac:dyDescent="0.2">
      <c r="A563" s="14">
        <v>0.498</v>
      </c>
      <c r="B563" s="10">
        <f t="shared" si="78"/>
        <v>-8.0000426670762646E-3</v>
      </c>
      <c r="C563" s="10">
        <f t="shared" si="79"/>
        <v>1.6000085334152545E-5</v>
      </c>
      <c r="D563" s="10">
        <f t="shared" si="80"/>
        <v>1.065980316827126</v>
      </c>
      <c r="E563" s="10">
        <f t="shared" si="81"/>
        <v>2.9036841196677941</v>
      </c>
      <c r="F563" s="10">
        <f t="shared" si="85"/>
        <v>1.0963154151863996E-2</v>
      </c>
      <c r="G563" s="10">
        <f t="shared" si="82"/>
        <v>-0.76957918310459039</v>
      </c>
      <c r="H563" s="10">
        <f t="shared" si="83"/>
        <v>0.31657014443823789</v>
      </c>
      <c r="I563" s="10">
        <f t="shared" si="86"/>
        <v>4.9084175749852799E-4</v>
      </c>
      <c r="J563" s="20">
        <f t="shared" si="84"/>
        <v>0</v>
      </c>
      <c r="K563" s="10">
        <f t="shared" si="87"/>
        <v>3.7827470867044521E-3</v>
      </c>
      <c r="L563" s="10">
        <f t="shared" si="88"/>
        <v>2.2696482520225825E-3</v>
      </c>
    </row>
    <row r="564" spans="1:12" x14ac:dyDescent="0.2">
      <c r="A564" s="14">
        <v>0.499</v>
      </c>
      <c r="B564" s="10">
        <f t="shared" si="78"/>
        <v>-4.0000053333461277E-3</v>
      </c>
      <c r="C564" s="10">
        <f t="shared" si="79"/>
        <v>4.0000053333461311E-6</v>
      </c>
      <c r="D564" s="10">
        <f t="shared" si="80"/>
        <v>1.0697852130782919</v>
      </c>
      <c r="E564" s="10">
        <f t="shared" si="81"/>
        <v>2.9147533818319871</v>
      </c>
      <c r="F564" s="10">
        <f t="shared" si="85"/>
        <v>1.1069262164193017E-2</v>
      </c>
      <c r="G564" s="10">
        <f t="shared" si="82"/>
        <v>-0.76729624535389085</v>
      </c>
      <c r="H564" s="10">
        <f t="shared" si="83"/>
        <v>0.31706427268970627</v>
      </c>
      <c r="I564" s="10">
        <f t="shared" si="86"/>
        <v>4.9412825146838424E-4</v>
      </c>
      <c r="J564" s="20">
        <f t="shared" si="84"/>
        <v>0</v>
      </c>
      <c r="K564" s="10">
        <f t="shared" si="87"/>
        <v>3.8048962511658679E-3</v>
      </c>
      <c r="L564" s="10">
        <f t="shared" si="88"/>
        <v>2.282937750699543E-3</v>
      </c>
    </row>
    <row r="565" spans="1:12" x14ac:dyDescent="0.2">
      <c r="A565" s="14">
        <v>0.5</v>
      </c>
      <c r="B565" s="10">
        <f t="shared" si="78"/>
        <v>0</v>
      </c>
      <c r="C565" s="10">
        <f t="shared" si="79"/>
        <v>0</v>
      </c>
      <c r="D565" s="10">
        <f t="shared" si="80"/>
        <v>1.0736122886681096</v>
      </c>
      <c r="E565" s="10">
        <f t="shared" si="81"/>
        <v>2.9259297360849978</v>
      </c>
      <c r="F565" s="10">
        <f t="shared" si="85"/>
        <v>1.1176354253010778E-2</v>
      </c>
      <c r="G565" s="10">
        <f t="shared" si="82"/>
        <v>-0.76500000000000012</v>
      </c>
      <c r="H565" s="10">
        <f t="shared" si="83"/>
        <v>0.31756169780693522</v>
      </c>
      <c r="I565" s="10">
        <f t="shared" si="86"/>
        <v>4.9742511722894456E-4</v>
      </c>
      <c r="J565" s="20">
        <f t="shared" si="84"/>
        <v>0</v>
      </c>
      <c r="K565" s="10">
        <f t="shared" si="87"/>
        <v>3.8270755898177633E-3</v>
      </c>
      <c r="L565" s="10">
        <f t="shared" si="88"/>
        <v>2.2962453538907246E-3</v>
      </c>
    </row>
    <row r="566" spans="1:12" x14ac:dyDescent="0.2">
      <c r="A566" s="14">
        <v>0.501</v>
      </c>
      <c r="B566" s="10">
        <f t="shared" si="78"/>
        <v>4.0000053333461372E-3</v>
      </c>
      <c r="C566" s="10">
        <f t="shared" si="79"/>
        <v>4.0000053333461404E-6</v>
      </c>
      <c r="D566" s="10">
        <f t="shared" si="80"/>
        <v>1.0774615741246705</v>
      </c>
      <c r="E566" s="10">
        <f t="shared" si="81"/>
        <v>2.9372141794534388</v>
      </c>
      <c r="F566" s="10">
        <f t="shared" si="85"/>
        <v>1.1284443368440922E-2</v>
      </c>
      <c r="G566" s="10">
        <f t="shared" si="82"/>
        <v>-0.76269042872606374</v>
      </c>
      <c r="H566" s="10">
        <f t="shared" si="83"/>
        <v>0.31806243023239733</v>
      </c>
      <c r="I566" s="10">
        <f t="shared" si="86"/>
        <v>5.0073242546211372E-4</v>
      </c>
      <c r="J566" s="20">
        <f t="shared" si="84"/>
        <v>0</v>
      </c>
      <c r="K566" s="10">
        <f t="shared" si="87"/>
        <v>3.8492854565608248E-3</v>
      </c>
      <c r="L566" s="10">
        <f t="shared" si="88"/>
        <v>2.3095712739363838E-3</v>
      </c>
    </row>
    <row r="567" spans="1:12" x14ac:dyDescent="0.2">
      <c r="A567" s="14">
        <v>0.502</v>
      </c>
      <c r="B567" s="10">
        <f t="shared" si="78"/>
        <v>8.0000426670763704E-3</v>
      </c>
      <c r="C567" s="10">
        <f t="shared" si="79"/>
        <v>1.6000085334152755E-5</v>
      </c>
      <c r="D567" s="10">
        <f t="shared" si="80"/>
        <v>1.0813331003314268</v>
      </c>
      <c r="E567" s="10">
        <f t="shared" si="81"/>
        <v>2.9486077220922962</v>
      </c>
      <c r="F567" s="10">
        <f t="shared" si="85"/>
        <v>1.139354263885739E-2</v>
      </c>
      <c r="G567" s="10">
        <f t="shared" si="82"/>
        <v>-0.76036751300200989</v>
      </c>
      <c r="H567" s="10">
        <f t="shared" si="83"/>
        <v>0.31856648047916192</v>
      </c>
      <c r="I567" s="10">
        <f t="shared" si="86"/>
        <v>5.0405024676458687E-4</v>
      </c>
      <c r="J567" s="20">
        <f t="shared" si="84"/>
        <v>0</v>
      </c>
      <c r="K567" s="10">
        <f t="shared" si="87"/>
        <v>3.8715262067563483E-3</v>
      </c>
      <c r="L567" s="10">
        <f t="shared" si="88"/>
        <v>2.3229157240538534E-3</v>
      </c>
    </row>
    <row r="568" spans="1:12" x14ac:dyDescent="0.2">
      <c r="A568" s="14">
        <v>0.503</v>
      </c>
      <c r="B568" s="10">
        <f t="shared" si="78"/>
        <v>1.2000144003110558E-2</v>
      </c>
      <c r="C568" s="10">
        <f t="shared" si="79"/>
        <v>3.6000432009331704E-5</v>
      </c>
      <c r="D568" s="10">
        <f t="shared" si="80"/>
        <v>1.0852268985286793</v>
      </c>
      <c r="E568" s="10">
        <f t="shared" si="81"/>
        <v>2.9601113874661751</v>
      </c>
      <c r="F568" s="10">
        <f t="shared" si="85"/>
        <v>1.1503665373878924E-2</v>
      </c>
      <c r="G568" s="10">
        <f t="shared" si="82"/>
        <v>-0.75803123408365836</v>
      </c>
      <c r="H568" s="10">
        <f t="shared" si="83"/>
        <v>0.31907385913080605</v>
      </c>
      <c r="I568" s="10">
        <f t="shared" si="86"/>
        <v>5.0737865164413032E-4</v>
      </c>
      <c r="J568" s="20">
        <f t="shared" si="84"/>
        <v>0</v>
      </c>
      <c r="K568" s="10">
        <f t="shared" si="87"/>
        <v>3.8937981972524405E-3</v>
      </c>
      <c r="L568" s="10">
        <f t="shared" si="88"/>
        <v>2.3362789183515309E-3</v>
      </c>
    </row>
    <row r="569" spans="1:12" x14ac:dyDescent="0.2">
      <c r="A569" s="14">
        <v>0.504</v>
      </c>
      <c r="B569" s="10">
        <f t="shared" si="78"/>
        <v>1.600034134644112E-2</v>
      </c>
      <c r="C569" s="10">
        <f t="shared" si="79"/>
        <v>6.4001365385764531E-5</v>
      </c>
      <c r="D569" s="10">
        <f t="shared" si="80"/>
        <v>1.0891430003150897</v>
      </c>
      <c r="E569" s="10">
        <f t="shared" si="81"/>
        <v>2.9717262125336026</v>
      </c>
      <c r="F569" s="10">
        <f t="shared" si="85"/>
        <v>1.1614825067427503E-2</v>
      </c>
      <c r="G569" s="10">
        <f t="shared" si="82"/>
        <v>-0.75568157301181205</v>
      </c>
      <c r="H569" s="10">
        <f t="shared" si="83"/>
        <v>0.31958457684132274</v>
      </c>
      <c r="I569" s="10">
        <f t="shared" si="86"/>
        <v>5.107177105166949E-4</v>
      </c>
      <c r="J569" s="20">
        <f t="shared" si="84"/>
        <v>0</v>
      </c>
      <c r="K569" s="10">
        <f t="shared" si="87"/>
        <v>3.9161017864104419E-3</v>
      </c>
      <c r="L569" s="10">
        <f t="shared" si="88"/>
        <v>2.3496610718463096E-3</v>
      </c>
    </row>
    <row r="570" spans="1:12" x14ac:dyDescent="0.2">
      <c r="A570" s="14">
        <v>0.505</v>
      </c>
      <c r="B570" s="10">
        <f t="shared" si="78"/>
        <v>2.0000666706669435E-2</v>
      </c>
      <c r="C570" s="10">
        <f t="shared" si="79"/>
        <v>1.0000333353334726E-4</v>
      </c>
      <c r="D570" s="10">
        <f t="shared" si="80"/>
        <v>1.0930814376492193</v>
      </c>
      <c r="E570" s="10">
        <f t="shared" si="81"/>
        <v>2.9834532479344285</v>
      </c>
      <c r="F570" s="10">
        <f t="shared" si="85"/>
        <v>1.1727035400825869E-2</v>
      </c>
      <c r="G570" s="10">
        <f t="shared" si="82"/>
        <v>-0.75331851061133426</v>
      </c>
      <c r="H570" s="10">
        <f t="shared" si="83"/>
        <v>0.32009864433502461</v>
      </c>
      <c r="I570" s="10">
        <f t="shared" si="86"/>
        <v>5.1406749370186411E-4</v>
      </c>
      <c r="J570" s="20">
        <f t="shared" si="84"/>
        <v>0</v>
      </c>
      <c r="K570" s="10">
        <f t="shared" si="87"/>
        <v>3.9384373341295742E-3</v>
      </c>
      <c r="L570" s="10">
        <f t="shared" si="88"/>
        <v>2.3630624004777889E-3</v>
      </c>
    </row>
    <row r="571" spans="1:12" x14ac:dyDescent="0.2">
      <c r="A571" s="14">
        <v>0.50600000000000001</v>
      </c>
      <c r="B571" s="10">
        <f t="shared" si="78"/>
        <v>2.4001152099543045E-2</v>
      </c>
      <c r="C571" s="10">
        <f t="shared" si="79"/>
        <v>1.4400691259725841E-4</v>
      </c>
      <c r="D571" s="10">
        <f t="shared" si="80"/>
        <v>1.0970422428510933</v>
      </c>
      <c r="E571" s="10">
        <f t="shared" si="81"/>
        <v>2.9952935581803954</v>
      </c>
      <c r="F571" s="10">
        <f t="shared" si="85"/>
        <v>1.184031024596699E-2</v>
      </c>
      <c r="G571" s="10">
        <f t="shared" si="82"/>
        <v>-0.75094202749021</v>
      </c>
      <c r="H571" s="10">
        <f t="shared" si="83"/>
        <v>0.32061607240644452</v>
      </c>
      <c r="I571" s="10">
        <f t="shared" si="86"/>
        <v>5.1742807141991198E-4</v>
      </c>
      <c r="J571" s="20">
        <f t="shared" si="84"/>
        <v>0</v>
      </c>
      <c r="K571" s="10">
        <f t="shared" si="87"/>
        <v>3.9608052018740292E-3</v>
      </c>
      <c r="L571" s="10">
        <f t="shared" si="88"/>
        <v>2.3764831211242621E-3</v>
      </c>
    </row>
    <row r="572" spans="1:12" x14ac:dyDescent="0.2">
      <c r="A572" s="14">
        <v>0.50700000000000001</v>
      </c>
      <c r="B572" s="10">
        <f t="shared" si="78"/>
        <v>2.8001829548493135E-2</v>
      </c>
      <c r="C572" s="10">
        <f t="shared" si="79"/>
        <v>1.9601280683945212E-4</v>
      </c>
      <c r="D572" s="10">
        <f t="shared" si="80"/>
        <v>1.1010254486037907</v>
      </c>
      <c r="E572" s="10">
        <f t="shared" si="81"/>
        <v>3.0072482218489234</v>
      </c>
      <c r="F572" s="10">
        <f t="shared" si="85"/>
        <v>1.1954663668527932E-2</v>
      </c>
      <c r="G572" s="10">
        <f t="shared" si="82"/>
        <v>-0.74855210403859151</v>
      </c>
      <c r="H572" s="10">
        <f t="shared" si="83"/>
        <v>0.32113687192023233</v>
      </c>
      <c r="I572" s="10">
        <f t="shared" si="86"/>
        <v>5.2079951378780631E-4</v>
      </c>
      <c r="J572" s="20">
        <f t="shared" si="84"/>
        <v>0</v>
      </c>
      <c r="K572" s="10">
        <f t="shared" si="87"/>
        <v>3.9832057526973941E-3</v>
      </c>
      <c r="L572" s="10">
        <f t="shared" si="88"/>
        <v>2.3899234516184809E-3</v>
      </c>
    </row>
    <row r="573" spans="1:12" x14ac:dyDescent="0.2">
      <c r="A573" s="14">
        <v>0.50800000000000001</v>
      </c>
      <c r="B573" s="10">
        <f t="shared" si="78"/>
        <v>3.2002731086173734E-2</v>
      </c>
      <c r="C573" s="10">
        <f t="shared" si="79"/>
        <v>2.5602184868939008E-4</v>
      </c>
      <c r="D573" s="10">
        <f t="shared" si="80"/>
        <v>1.1050310879550633</v>
      </c>
      <c r="E573" s="10">
        <f t="shared" si="81"/>
        <v>3.0193183317801773</v>
      </c>
      <c r="F573" s="10">
        <f t="shared" si="85"/>
        <v>1.2070109931253903E-2</v>
      </c>
      <c r="G573" s="10">
        <f t="shared" si="82"/>
        <v>-0.74614872042782798</v>
      </c>
      <c r="H573" s="10">
        <f t="shared" si="83"/>
        <v>0.32166105381104693</v>
      </c>
      <c r="I573" s="10">
        <f t="shared" si="86"/>
        <v>5.241818908146012E-4</v>
      </c>
      <c r="J573" s="20">
        <f t="shared" si="84"/>
        <v>0</v>
      </c>
      <c r="K573" s="10">
        <f t="shared" si="87"/>
        <v>4.0056393512726274E-3</v>
      </c>
      <c r="L573" s="10">
        <f t="shared" si="88"/>
        <v>2.403383610763532E-3</v>
      </c>
    </row>
    <row r="574" spans="1:12" x14ac:dyDescent="0.2">
      <c r="A574" s="14">
        <v>0.50900000000000001</v>
      </c>
      <c r="B574" s="10">
        <f t="shared" si="78"/>
        <v>3.60038887560023E-2</v>
      </c>
      <c r="C574" s="10">
        <f t="shared" si="79"/>
        <v>3.24034998804021E-4</v>
      </c>
      <c r="D574" s="10">
        <f t="shared" si="80"/>
        <v>1.1090591943189796</v>
      </c>
      <c r="E574" s="10">
        <f t="shared" si="81"/>
        <v>3.0315049952774733</v>
      </c>
      <c r="F574" s="10">
        <f t="shared" si="85"/>
        <v>1.2186663497296024E-2</v>
      </c>
      <c r="G574" s="10">
        <f t="shared" si="82"/>
        <v>-0.74373185660947816</v>
      </c>
      <c r="H574" s="10">
        <f t="shared" si="83"/>
        <v>0.32218862908344559</v>
      </c>
      <c r="I574" s="10">
        <f t="shared" si="86"/>
        <v>5.2757527239866153E-4</v>
      </c>
      <c r="J574" s="20">
        <f t="shared" si="84"/>
        <v>0</v>
      </c>
      <c r="K574" s="10">
        <f t="shared" si="87"/>
        <v>4.0281063639162618E-3</v>
      </c>
      <c r="L574" s="10">
        <f t="shared" si="88"/>
        <v>2.4168638183498237E-3</v>
      </c>
    </row>
    <row r="575" spans="1:12" x14ac:dyDescent="0.2">
      <c r="A575" s="14">
        <v>0.51</v>
      </c>
      <c r="B575" s="10">
        <f t="shared" si="78"/>
        <v>4.0005334613699206E-2</v>
      </c>
      <c r="C575" s="10">
        <f t="shared" si="79"/>
        <v>4.0005334613699243E-4</v>
      </c>
      <c r="D575" s="10">
        <f t="shared" si="80"/>
        <v>1.1131098014775942</v>
      </c>
      <c r="E575" s="10">
        <f t="shared" si="81"/>
        <v>3.0438093343110739</v>
      </c>
      <c r="F575" s="10">
        <f t="shared" si="85"/>
        <v>1.230433903360062E-2</v>
      </c>
      <c r="G575" s="10">
        <f t="shared" si="82"/>
        <v>-0.74130149231430942</v>
      </c>
      <c r="H575" s="10">
        <f t="shared" si="83"/>
        <v>0.32271960881176731</v>
      </c>
      <c r="I575" s="10">
        <f t="shared" si="86"/>
        <v>5.3097972832172324E-4</v>
      </c>
      <c r="J575" s="20">
        <f t="shared" si="84"/>
        <v>0</v>
      </c>
      <c r="K575" s="10">
        <f t="shared" si="87"/>
        <v>4.0506071586146053E-3</v>
      </c>
      <c r="L575" s="10">
        <f t="shared" si="88"/>
        <v>2.430364295168741E-3</v>
      </c>
    </row>
    <row r="576" spans="1:12" x14ac:dyDescent="0.2">
      <c r="A576" s="14">
        <v>0.51100000000000001</v>
      </c>
      <c r="B576" s="10">
        <f t="shared" si="78"/>
        <v>4.4007100728832446E-2</v>
      </c>
      <c r="C576" s="10">
        <f t="shared" si="79"/>
        <v>4.8407810801715732E-4</v>
      </c>
      <c r="D576" s="10">
        <f t="shared" si="80"/>
        <v>1.1171829435826484</v>
      </c>
      <c r="E576" s="10">
        <f t="shared" si="81"/>
        <v>3.056232485725459</v>
      </c>
      <c r="F576" s="10">
        <f t="shared" si="85"/>
        <v>1.2423151414385103E-2</v>
      </c>
      <c r="G576" s="10">
        <f t="shared" si="82"/>
        <v>-0.7388576070512769</v>
      </c>
      <c r="H576" s="10">
        <f t="shared" si="83"/>
        <v>0.32325400414001382</v>
      </c>
      <c r="I576" s="10">
        <f t="shared" si="86"/>
        <v>5.3439532824650637E-4</v>
      </c>
      <c r="J576" s="20">
        <f t="shared" si="84"/>
        <v>0</v>
      </c>
      <c r="K576" s="10">
        <f t="shared" si="87"/>
        <v>4.0731421050541616E-3</v>
      </c>
      <c r="L576" s="10">
        <f t="shared" si="88"/>
        <v>2.4438852630325192E-3</v>
      </c>
    </row>
    <row r="577" spans="1:12" x14ac:dyDescent="0.2">
      <c r="A577" s="14">
        <v>0.51200000000000001</v>
      </c>
      <c r="B577" s="10">
        <f t="shared" si="78"/>
        <v>4.8009219186360662E-2</v>
      </c>
      <c r="C577" s="10">
        <f t="shared" si="79"/>
        <v>5.7611063023632841E-4</v>
      </c>
      <c r="D577" s="10">
        <f t="shared" si="80"/>
        <v>1.1212786551572942</v>
      </c>
      <c r="E577" s="10">
        <f t="shared" si="81"/>
        <v>3.0687756014501089</v>
      </c>
      <c r="F577" s="10">
        <f t="shared" si="85"/>
        <v>1.2543115724649834E-2</v>
      </c>
      <c r="G577" s="10">
        <f t="shared" si="82"/>
        <v>-0.73640018010648933</v>
      </c>
      <c r="H577" s="10">
        <f t="shared" si="83"/>
        <v>0.32379182628172443</v>
      </c>
      <c r="I577" s="10">
        <f t="shared" si="86"/>
        <v>5.3782214171060883E-4</v>
      </c>
      <c r="J577" s="20">
        <f t="shared" si="84"/>
        <v>0</v>
      </c>
      <c r="K577" s="10">
        <f t="shared" si="87"/>
        <v>4.0957115746458328E-3</v>
      </c>
      <c r="L577" s="10">
        <f t="shared" si="88"/>
        <v>2.4574269447875663E-3</v>
      </c>
    </row>
    <row r="578" spans="1:12" x14ac:dyDescent="0.2">
      <c r="A578" s="14">
        <v>0.51300000000000001</v>
      </c>
      <c r="B578" s="10">
        <f t="shared" ref="B578:B641" si="89">LN(A578/(1-A578))</f>
        <v>5.2011722088179758E-2</v>
      </c>
      <c r="C578" s="10">
        <f t="shared" ref="C578:C641" si="90">(A578-0.5)*B578</f>
        <v>6.7615238714633741E-4</v>
      </c>
      <c r="D578" s="10">
        <f t="shared" ref="D578:D641" si="91">$B$45+$B$46*B578+$B$47*C578</f>
        <v>1.1253969710978478</v>
      </c>
      <c r="E578" s="10">
        <f t="shared" ref="E578:E641" si="92">$B$14+EXP(D578)</f>
        <v>3.0814398487138805</v>
      </c>
      <c r="F578" s="10">
        <f t="shared" si="85"/>
        <v>1.2664247263771689E-2</v>
      </c>
      <c r="G578" s="10">
        <f t="shared" ref="G578:G641" si="93">$C$45+$C$46*B578+$C$47*C578</f>
        <v>-0.73392919054215722</v>
      </c>
      <c r="H578" s="10">
        <f t="shared" ref="H578:H641" si="94">$C$14+($C$15-$C$14)/(1+EXP(-G578))</f>
        <v>0.32433308651984744</v>
      </c>
      <c r="I578" s="10">
        <f t="shared" si="86"/>
        <v>5.4126023812300916E-4</v>
      </c>
      <c r="J578" s="20">
        <f t="shared" ref="J578:J641" si="95">G578-($B$22+$B$21*D578)</f>
        <v>0</v>
      </c>
      <c r="K578" s="10">
        <f t="shared" si="87"/>
        <v>4.118315940553563E-3</v>
      </c>
      <c r="L578" s="10">
        <f t="shared" si="88"/>
        <v>2.4709895643321156E-3</v>
      </c>
    </row>
    <row r="579" spans="1:12" x14ac:dyDescent="0.2">
      <c r="A579" s="14">
        <v>0.51400000000000001</v>
      </c>
      <c r="B579" s="10">
        <f t="shared" si="89"/>
        <v>5.6014641554671306E-2</v>
      </c>
      <c r="C579" s="10">
        <f t="shared" si="90"/>
        <v>7.8420498176539895E-4</v>
      </c>
      <c r="D579" s="10">
        <f t="shared" si="91"/>
        <v>1.1295379266755703</v>
      </c>
      <c r="E579" s="10">
        <f t="shared" si="92"/>
        <v>3.0942264102630399</v>
      </c>
      <c r="F579" s="10">
        <f t="shared" ref="F579:F642" si="96">E579-E578</f>
        <v>1.2786561549159359E-2</v>
      </c>
      <c r="G579" s="10">
        <f t="shared" si="93"/>
        <v>-0.73144461719552389</v>
      </c>
      <c r="H579" s="10">
        <f t="shared" si="94"/>
        <v>0.32487779620660606</v>
      </c>
      <c r="I579" s="10">
        <f t="shared" ref="I579:I642" si="97">H579-H578</f>
        <v>5.4470968675862652E-4</v>
      </c>
      <c r="J579" s="20">
        <f t="shared" si="95"/>
        <v>0</v>
      </c>
      <c r="K579" s="10">
        <f t="shared" ref="K579:K642" si="98">D579-D578</f>
        <v>4.1409555777225382E-3</v>
      </c>
      <c r="L579" s="10">
        <f t="shared" ref="L579:L642" si="99">G579-G578</f>
        <v>2.4845733466333231E-3</v>
      </c>
    </row>
    <row r="580" spans="1:12" x14ac:dyDescent="0.2">
      <c r="A580" s="14">
        <v>0.51500000000000001</v>
      </c>
      <c r="B580" s="10">
        <f t="shared" si="89"/>
        <v>6.0018009726252951E-2</v>
      </c>
      <c r="C580" s="10">
        <f t="shared" si="90"/>
        <v>9.0027014589379509E-4</v>
      </c>
      <c r="D580" s="10">
        <f t="shared" si="91"/>
        <v>1.133701557538477</v>
      </c>
      <c r="E580" s="10">
        <f t="shared" si="92"/>
        <v>3.1071364845830156</v>
      </c>
      <c r="F580" s="10">
        <f t="shared" si="96"/>
        <v>1.2910074319975706E-2</v>
      </c>
      <c r="G580" s="10">
        <f t="shared" si="93"/>
        <v>-0.72894643867777964</v>
      </c>
      <c r="H580" s="10">
        <f t="shared" si="94"/>
        <v>0.32542596676336077</v>
      </c>
      <c r="I580" s="10">
        <f t="shared" si="97"/>
        <v>5.4817055675471238E-4</v>
      </c>
      <c r="J580" s="20">
        <f t="shared" si="95"/>
        <v>0</v>
      </c>
      <c r="K580" s="10">
        <f t="shared" si="98"/>
        <v>4.1636308629067198E-3</v>
      </c>
      <c r="L580" s="10">
        <f t="shared" si="99"/>
        <v>2.4981785177442539E-3</v>
      </c>
    </row>
    <row r="581" spans="1:12" x14ac:dyDescent="0.2">
      <c r="A581" s="14">
        <v>0.51600000000000001</v>
      </c>
      <c r="B581" s="10">
        <f t="shared" si="89"/>
        <v>6.4021858764931022E-2</v>
      </c>
      <c r="C581" s="10">
        <f t="shared" si="90"/>
        <v>1.0243497402388972E-3</v>
      </c>
      <c r="D581" s="10">
        <f t="shared" si="91"/>
        <v>1.1378878997131747</v>
      </c>
      <c r="E581" s="10">
        <f t="shared" si="92"/>
        <v>3.1201712861239459</v>
      </c>
      <c r="F581" s="10">
        <f t="shared" si="96"/>
        <v>1.3034801540930285E-2</v>
      </c>
      <c r="G581" s="10">
        <f t="shared" si="93"/>
        <v>-0.7264346333729611</v>
      </c>
      <c r="H581" s="10">
        <f t="shared" si="94"/>
        <v>0.32597760968046485</v>
      </c>
      <c r="I581" s="10">
        <f t="shared" si="97"/>
        <v>5.516429171040782E-4</v>
      </c>
      <c r="J581" s="20">
        <f t="shared" si="95"/>
        <v>0</v>
      </c>
      <c r="K581" s="10">
        <f t="shared" si="98"/>
        <v>4.1863421746977103E-3</v>
      </c>
      <c r="L581" s="10">
        <f t="shared" si="99"/>
        <v>2.5118053048185374E-3</v>
      </c>
    </row>
    <row r="582" spans="1:12" x14ac:dyDescent="0.2">
      <c r="A582" s="14">
        <v>0.51700000000000002</v>
      </c>
      <c r="B582" s="10">
        <f t="shared" si="89"/>
        <v>6.8026220855856495E-2</v>
      </c>
      <c r="C582" s="10">
        <f t="shared" si="90"/>
        <v>1.1564457545495614E-3</v>
      </c>
      <c r="D582" s="10">
        <f t="shared" si="91"/>
        <v>1.1420969896067263</v>
      </c>
      <c r="E582" s="10">
        <f t="shared" si="92"/>
        <v>3.1333320455300817</v>
      </c>
      <c r="F582" s="10">
        <f t="shared" si="96"/>
        <v>1.3160759406135814E-2</v>
      </c>
      <c r="G582" s="10">
        <f t="shared" si="93"/>
        <v>-0.72390917943682997</v>
      </c>
      <c r="H582" s="10">
        <f t="shared" si="94"/>
        <v>0.32653273651711678</v>
      </c>
      <c r="I582" s="10">
        <f t="shared" si="97"/>
        <v>5.551268366519313E-4</v>
      </c>
      <c r="J582" s="20">
        <f t="shared" si="95"/>
        <v>0</v>
      </c>
      <c r="K582" s="10">
        <f t="shared" si="98"/>
        <v>4.2090898935516208E-3</v>
      </c>
      <c r="L582" s="10">
        <f t="shared" si="99"/>
        <v>2.5254539361311279E-3</v>
      </c>
    </row>
    <row r="583" spans="1:12" x14ac:dyDescent="0.2">
      <c r="A583" s="14">
        <v>0.51800000000000002</v>
      </c>
      <c r="B583" s="10">
        <f t="shared" si="89"/>
        <v>7.2031128208882925E-2</v>
      </c>
      <c r="C583" s="10">
        <f t="shared" si="90"/>
        <v>1.2965603077598937E-3</v>
      </c>
      <c r="D583" s="10">
        <f t="shared" si="91"/>
        <v>1.1463288640085472</v>
      </c>
      <c r="E583" s="10">
        <f t="shared" si="92"/>
        <v>3.1466200098731343</v>
      </c>
      <c r="F583" s="10">
        <f t="shared" si="96"/>
        <v>1.3287964343052572E-2</v>
      </c>
      <c r="G583" s="10">
        <f t="shared" si="93"/>
        <v>-0.72137005479573768</v>
      </c>
      <c r="H583" s="10">
        <f t="shared" si="94"/>
        <v>0.32709135890120611</v>
      </c>
      <c r="I583" s="10">
        <f t="shared" si="97"/>
        <v>5.5862238408932452E-4</v>
      </c>
      <c r="J583" s="20">
        <f t="shared" si="95"/>
        <v>0</v>
      </c>
      <c r="K583" s="10">
        <f t="shared" si="98"/>
        <v>4.2318744018208232E-3</v>
      </c>
      <c r="L583" s="10">
        <f t="shared" si="99"/>
        <v>2.5391246410922941E-3</v>
      </c>
    </row>
    <row r="584" spans="1:12" x14ac:dyDescent="0.2">
      <c r="A584" s="14">
        <v>0.51900000000000002</v>
      </c>
      <c r="B584" s="10">
        <f t="shared" si="89"/>
        <v>7.6036613060127559E-2</v>
      </c>
      <c r="C584" s="10">
        <f t="shared" si="90"/>
        <v>1.4446956481424249E-3</v>
      </c>
      <c r="D584" s="10">
        <f t="shared" si="91"/>
        <v>1.1505835600923258</v>
      </c>
      <c r="E584" s="10">
        <f t="shared" si="92"/>
        <v>3.1600364428896142</v>
      </c>
      <c r="F584" s="10">
        <f t="shared" si="96"/>
        <v>1.3416433016479878E-2</v>
      </c>
      <c r="G584" s="10">
        <f t="shared" si="93"/>
        <v>-0.71881723714547063</v>
      </c>
      <c r="H584" s="10">
        <f t="shared" si="94"/>
        <v>0.3276534885291546</v>
      </c>
      <c r="I584" s="10">
        <f t="shared" si="97"/>
        <v>5.621296279484933E-4</v>
      </c>
      <c r="J584" s="20">
        <f t="shared" si="95"/>
        <v>0</v>
      </c>
      <c r="K584" s="10">
        <f t="shared" si="98"/>
        <v>4.2546960837785974E-3</v>
      </c>
      <c r="L584" s="10">
        <f t="shared" si="99"/>
        <v>2.5528176502670474E-3</v>
      </c>
    </row>
    <row r="585" spans="1:12" x14ac:dyDescent="0.2">
      <c r="A585" s="14">
        <v>0.52</v>
      </c>
      <c r="B585" s="10">
        <f t="shared" si="89"/>
        <v>8.0042707673536564E-2</v>
      </c>
      <c r="C585" s="10">
        <f t="shared" si="90"/>
        <v>1.6008541534707327E-3</v>
      </c>
      <c r="D585" s="10">
        <f t="shared" si="91"/>
        <v>1.1548611154179784</v>
      </c>
      <c r="E585" s="10">
        <f t="shared" si="92"/>
        <v>3.1735826252222661</v>
      </c>
      <c r="F585" s="10">
        <f t="shared" si="96"/>
        <v>1.3546182332651924E-2</v>
      </c>
      <c r="G585" s="10">
        <f t="shared" si="93"/>
        <v>-0.71625070395007873</v>
      </c>
      <c r="H585" s="10">
        <f t="shared" si="94"/>
        <v>0.32821913716575202</v>
      </c>
      <c r="I585" s="10">
        <f t="shared" si="97"/>
        <v>5.656486365974156E-4</v>
      </c>
      <c r="J585" s="20">
        <f t="shared" si="95"/>
        <v>0</v>
      </c>
      <c r="K585" s="10">
        <f t="shared" si="98"/>
        <v>4.2775553256526599E-3</v>
      </c>
      <c r="L585" s="10">
        <f t="shared" si="99"/>
        <v>2.5665331953919068E-3</v>
      </c>
    </row>
    <row r="586" spans="1:12" x14ac:dyDescent="0.2">
      <c r="A586" s="14">
        <v>0.52100000000000002</v>
      </c>
      <c r="B586" s="10">
        <f t="shared" si="89"/>
        <v>8.4049444342451859E-2</v>
      </c>
      <c r="C586" s="10">
        <f t="shared" si="90"/>
        <v>1.7650383311914907E-3</v>
      </c>
      <c r="D586" s="10">
        <f t="shared" si="91"/>
        <v>1.1591615679336313</v>
      </c>
      <c r="E586" s="10">
        <f t="shared" si="92"/>
        <v>3.1872598546656588</v>
      </c>
      <c r="F586" s="10">
        <f t="shared" si="96"/>
        <v>1.3677229443392669E-2</v>
      </c>
      <c r="G586" s="10">
        <f t="shared" si="93"/>
        <v>-0.71367043244068717</v>
      </c>
      <c r="H586" s="10">
        <f t="shared" si="94"/>
        <v>0.32878831664398556</v>
      </c>
      <c r="I586" s="10">
        <f t="shared" si="97"/>
        <v>5.6917947823353909E-4</v>
      </c>
      <c r="J586" s="20">
        <f t="shared" si="95"/>
        <v>0</v>
      </c>
      <c r="K586" s="10">
        <f t="shared" si="98"/>
        <v>4.3004525156529194E-3</v>
      </c>
      <c r="L586" s="10">
        <f t="shared" si="99"/>
        <v>2.5802715093915518E-3</v>
      </c>
    </row>
    <row r="587" spans="1:12" x14ac:dyDescent="0.2">
      <c r="A587" s="14">
        <v>0.52200000000000002</v>
      </c>
      <c r="B587" s="10">
        <f t="shared" si="89"/>
        <v>8.8056855391182867E-2</v>
      </c>
      <c r="C587" s="10">
        <f t="shared" si="90"/>
        <v>1.9372508186060247E-3</v>
      </c>
      <c r="D587" s="10">
        <f t="shared" si="91"/>
        <v>1.1634849559776304</v>
      </c>
      <c r="E587" s="10">
        <f t="shared" si="92"/>
        <v>3.2010694464160006</v>
      </c>
      <c r="F587" s="10">
        <f t="shared" si="96"/>
        <v>1.3809591750341799E-2</v>
      </c>
      <c r="G587" s="10">
        <f t="shared" si="93"/>
        <v>-0.71107639961428759</v>
      </c>
      <c r="H587" s="10">
        <f t="shared" si="94"/>
        <v>0.32936103886486462</v>
      </c>
      <c r="I587" s="10">
        <f t="shared" si="97"/>
        <v>5.7272222087906277E-4</v>
      </c>
      <c r="J587" s="20">
        <f t="shared" si="95"/>
        <v>0</v>
      </c>
      <c r="K587" s="10">
        <f t="shared" si="98"/>
        <v>4.3233880439990102E-3</v>
      </c>
      <c r="L587" s="10">
        <f t="shared" si="99"/>
        <v>2.5940328263995838E-3</v>
      </c>
    </row>
    <row r="588" spans="1:12" x14ac:dyDescent="0.2">
      <c r="A588" s="14">
        <v>0.52300000000000002</v>
      </c>
      <c r="B588" s="10">
        <f t="shared" si="89"/>
        <v>9.2064973176581799E-2</v>
      </c>
      <c r="C588" s="10">
        <f t="shared" si="90"/>
        <v>2.1174943830613831E-3</v>
      </c>
      <c r="D588" s="10">
        <f t="shared" si="91"/>
        <v>1.1678313182805855</v>
      </c>
      <c r="E588" s="10">
        <f t="shared" si="92"/>
        <v>3.2150127333252896</v>
      </c>
      <c r="F588" s="10">
        <f t="shared" si="96"/>
        <v>1.3943286909289032E-2</v>
      </c>
      <c r="G588" s="10">
        <f t="shared" si="93"/>
        <v>-0.70846858223251452</v>
      </c>
      <c r="H588" s="10">
        <f t="shared" si="94"/>
        <v>0.32993731579723895</v>
      </c>
      <c r="I588" s="10">
        <f t="shared" si="97"/>
        <v>5.7627693237433109E-4</v>
      </c>
      <c r="J588" s="20">
        <f t="shared" si="95"/>
        <v>0</v>
      </c>
      <c r="K588" s="10">
        <f t="shared" si="98"/>
        <v>4.3463623029551535E-3</v>
      </c>
      <c r="L588" s="10">
        <f t="shared" si="99"/>
        <v>2.6078173817730699E-3</v>
      </c>
    </row>
    <row r="589" spans="1:12" x14ac:dyDescent="0.2">
      <c r="A589" s="14">
        <v>0.52400000000000002</v>
      </c>
      <c r="B589" s="10">
        <f t="shared" si="89"/>
        <v>9.6073830089622239E-2</v>
      </c>
      <c r="C589" s="10">
        <f t="shared" si="90"/>
        <v>2.3057719221509358E-3</v>
      </c>
      <c r="D589" s="10">
        <f t="shared" si="91"/>
        <v>1.1722006939674405</v>
      </c>
      <c r="E589" s="10">
        <f t="shared" si="92"/>
        <v>3.229091066159842</v>
      </c>
      <c r="F589" s="10">
        <f t="shared" si="96"/>
        <v>1.4078332834552398E-2</v>
      </c>
      <c r="G589" s="10">
        <f t="shared" si="93"/>
        <v>-0.70584695682040166</v>
      </c>
      <c r="H589" s="10">
        <f t="shared" si="94"/>
        <v>0.33051715947761079</v>
      </c>
      <c r="I589" s="10">
        <f t="shared" si="97"/>
        <v>5.7984368037183875E-4</v>
      </c>
      <c r="J589" s="20">
        <f t="shared" si="95"/>
        <v>0</v>
      </c>
      <c r="K589" s="10">
        <f t="shared" si="98"/>
        <v>4.369375686855026E-3</v>
      </c>
      <c r="L589" s="10">
        <f t="shared" si="99"/>
        <v>2.6216254121128602E-3</v>
      </c>
    </row>
    <row r="590" spans="1:12" x14ac:dyDescent="0.2">
      <c r="A590" s="14">
        <v>0.52500000000000002</v>
      </c>
      <c r="B590" s="10">
        <f t="shared" si="89"/>
        <v>0.10008345855698263</v>
      </c>
      <c r="C590" s="10">
        <f t="shared" si="90"/>
        <v>2.5020864639245678E-3</v>
      </c>
      <c r="D590" s="10">
        <f t="shared" si="91"/>
        <v>1.1765931225595774</v>
      </c>
      <c r="E590" s="10">
        <f t="shared" si="92"/>
        <v>3.2433058138633162</v>
      </c>
      <c r="F590" s="10">
        <f t="shared" si="96"/>
        <v>1.4214747703474195E-2</v>
      </c>
      <c r="G590" s="10">
        <f t="shared" si="93"/>
        <v>-0.70321149966511953</v>
      </c>
      <c r="H590" s="10">
        <f t="shared" si="94"/>
        <v>0.33110058200994136</v>
      </c>
      <c r="I590" s="10">
        <f t="shared" si="97"/>
        <v>5.8342253233056862E-4</v>
      </c>
      <c r="J590" s="20">
        <f t="shared" si="95"/>
        <v>0</v>
      </c>
      <c r="K590" s="10">
        <f t="shared" si="98"/>
        <v>4.3924285921368433E-3</v>
      </c>
      <c r="L590" s="10">
        <f t="shared" si="99"/>
        <v>2.6354571552821282E-3</v>
      </c>
    </row>
    <row r="591" spans="1:12" x14ac:dyDescent="0.2">
      <c r="A591" s="14">
        <v>0.52600000000000002</v>
      </c>
      <c r="B591" s="10">
        <f t="shared" si="89"/>
        <v>0.10409389104263336</v>
      </c>
      <c r="C591" s="10">
        <f t="shared" si="90"/>
        <v>2.7064411671084698E-3</v>
      </c>
      <c r="D591" s="10">
        <f t="shared" si="91"/>
        <v>1.1810086439769483</v>
      </c>
      <c r="E591" s="10">
        <f t="shared" si="92"/>
        <v>3.2576583638242926</v>
      </c>
      <c r="F591" s="10">
        <f t="shared" si="96"/>
        <v>1.4352549960976457E-2</v>
      </c>
      <c r="G591" s="10">
        <f t="shared" si="93"/>
        <v>-0.70056218681469695</v>
      </c>
      <c r="H591" s="10">
        <f t="shared" si="94"/>
        <v>0.33168759556545069</v>
      </c>
      <c r="I591" s="10">
        <f t="shared" si="97"/>
        <v>5.8701355550933032E-4</v>
      </c>
      <c r="J591" s="20">
        <f t="shared" si="95"/>
        <v>0</v>
      </c>
      <c r="K591" s="10">
        <f t="shared" si="98"/>
        <v>4.4155214173708934E-3</v>
      </c>
      <c r="L591" s="10">
        <f t="shared" si="99"/>
        <v>2.6493128504225805E-3</v>
      </c>
    </row>
    <row r="592" spans="1:12" x14ac:dyDescent="0.2">
      <c r="A592" s="14">
        <v>0.52700000000000002</v>
      </c>
      <c r="B592" s="10">
        <f t="shared" si="89"/>
        <v>0.10810516004942952</v>
      </c>
      <c r="C592" s="10">
        <f t="shared" si="90"/>
        <v>2.9188393213345999E-3</v>
      </c>
      <c r="D592" s="10">
        <f t="shared" si="91"/>
        <v>1.1854472985402422</v>
      </c>
      <c r="E592" s="10">
        <f t="shared" si="92"/>
        <v>3.2721501221485152</v>
      </c>
      <c r="F592" s="10">
        <f t="shared" si="96"/>
        <v>1.4491758324222559E-2</v>
      </c>
      <c r="G592" s="10">
        <f t="shared" si="93"/>
        <v>-0.69789899407672062</v>
      </c>
      <c r="H592" s="10">
        <f t="shared" si="94"/>
        <v>0.3322782123824109</v>
      </c>
      <c r="I592" s="10">
        <f t="shared" si="97"/>
        <v>5.9061681696020996E-4</v>
      </c>
      <c r="J592" s="20">
        <f t="shared" si="95"/>
        <v>0</v>
      </c>
      <c r="K592" s="10">
        <f t="shared" si="98"/>
        <v>4.4386545632939534E-3</v>
      </c>
      <c r="L592" s="10">
        <f t="shared" si="99"/>
        <v>2.6631927379763276E-3</v>
      </c>
    </row>
    <row r="593" spans="1:12" x14ac:dyDescent="0.2">
      <c r="A593" s="14">
        <v>0.52800000000000002</v>
      </c>
      <c r="B593" s="10">
        <f t="shared" si="89"/>
        <v>0.11211729812070621</v>
      </c>
      <c r="C593" s="10">
        <f t="shared" si="90"/>
        <v>3.1392843473797769E-3</v>
      </c>
      <c r="D593" s="10">
        <f t="shared" si="91"/>
        <v>1.1899091269730779</v>
      </c>
      <c r="E593" s="10">
        <f t="shared" si="92"/>
        <v>3.2867825139358593</v>
      </c>
      <c r="F593" s="10">
        <f t="shared" si="96"/>
        <v>1.4632391787344101E-2</v>
      </c>
      <c r="G593" s="10">
        <f t="shared" si="93"/>
        <v>-0.69522189701701931</v>
      </c>
      <c r="H593" s="10">
        <f t="shared" si="94"/>
        <v>0.3328724447659332</v>
      </c>
      <c r="I593" s="10">
        <f t="shared" si="97"/>
        <v>5.9423238352229735E-4</v>
      </c>
      <c r="J593" s="20">
        <f t="shared" si="95"/>
        <v>0</v>
      </c>
      <c r="K593" s="10">
        <f t="shared" si="98"/>
        <v>4.4618284328357127E-3</v>
      </c>
      <c r="L593" s="10">
        <f t="shared" si="99"/>
        <v>2.6770970597013166E-3</v>
      </c>
    </row>
    <row r="594" spans="1:12" x14ac:dyDescent="0.2">
      <c r="A594" s="14">
        <v>0.52900000000000003</v>
      </c>
      <c r="B594" s="10">
        <f t="shared" si="89"/>
        <v>0.1161303378418818</v>
      </c>
      <c r="C594" s="10">
        <f t="shared" si="90"/>
        <v>3.3677797974145753E-3</v>
      </c>
      <c r="D594" s="10">
        <f t="shared" si="91"/>
        <v>1.1943941704042342</v>
      </c>
      <c r="E594" s="10">
        <f t="shared" si="92"/>
        <v>3.3015569835621466</v>
      </c>
      <c r="F594" s="10">
        <f t="shared" si="96"/>
        <v>1.4774469626287257E-2</v>
      </c>
      <c r="G594" s="10">
        <f t="shared" si="93"/>
        <v>-0.69253087095832533</v>
      </c>
      <c r="H594" s="10">
        <f t="shared" si="94"/>
        <v>0.33347030508774789</v>
      </c>
      <c r="I594" s="10">
        <f t="shared" si="97"/>
        <v>5.9786032181469162E-4</v>
      </c>
      <c r="J594" s="20">
        <f t="shared" si="95"/>
        <v>0</v>
      </c>
      <c r="K594" s="10">
        <f t="shared" si="98"/>
        <v>4.4850434311562992E-3</v>
      </c>
      <c r="L594" s="10">
        <f t="shared" si="99"/>
        <v>2.6910260586939794E-3</v>
      </c>
    </row>
    <row r="595" spans="1:12" x14ac:dyDescent="0.2">
      <c r="A595" s="14">
        <v>0.53</v>
      </c>
      <c r="B595" s="10">
        <f t="shared" si="89"/>
        <v>0.12014431184206341</v>
      </c>
      <c r="C595" s="10">
        <f t="shared" si="90"/>
        <v>3.6043293552619053E-3</v>
      </c>
      <c r="D595" s="10">
        <f t="shared" si="91"/>
        <v>1.1989024703699092</v>
      </c>
      <c r="E595" s="10">
        <f t="shared" si="92"/>
        <v>3.3164749949658776</v>
      </c>
      <c r="F595" s="10">
        <f t="shared" si="96"/>
        <v>1.4918011403731057E-2</v>
      </c>
      <c r="G595" s="10">
        <f t="shared" si="93"/>
        <v>-0.68982589097892044</v>
      </c>
      <c r="H595" s="10">
        <f t="shared" si="94"/>
        <v>0.3340718057859775</v>
      </c>
      <c r="I595" s="10">
        <f t="shared" si="97"/>
        <v>6.0150069822961783E-4</v>
      </c>
      <c r="J595" s="20">
        <f t="shared" si="95"/>
        <v>0</v>
      </c>
      <c r="K595" s="10">
        <f t="shared" si="98"/>
        <v>4.5082999656749223E-3</v>
      </c>
      <c r="L595" s="10">
        <f t="shared" si="99"/>
        <v>2.7049799794048868E-3</v>
      </c>
    </row>
    <row r="596" spans="1:12" x14ac:dyDescent="0.2">
      <c r="A596" s="14">
        <v>0.53100000000000003</v>
      </c>
      <c r="B596" s="10">
        <f t="shared" si="89"/>
        <v>0.12415925279565966</v>
      </c>
      <c r="C596" s="10">
        <f t="shared" si="90"/>
        <v>3.8489368366654529E-3</v>
      </c>
      <c r="D596" s="10">
        <f t="shared" si="91"/>
        <v>1.203434068816011</v>
      </c>
      <c r="E596" s="10">
        <f t="shared" si="92"/>
        <v>3.3315380319399774</v>
      </c>
      <c r="F596" s="10">
        <f t="shared" si="96"/>
        <v>1.506303697409983E-2</v>
      </c>
      <c r="G596" s="10">
        <f t="shared" si="93"/>
        <v>-0.68710693191125916</v>
      </c>
      <c r="H596" s="10">
        <f t="shared" si="94"/>
        <v>0.33467695936490327</v>
      </c>
      <c r="I596" s="10">
        <f t="shared" si="97"/>
        <v>6.051535789257656E-4</v>
      </c>
      <c r="J596" s="20">
        <f t="shared" si="95"/>
        <v>0</v>
      </c>
      <c r="K596" s="10">
        <f t="shared" si="98"/>
        <v>4.5315984461018477E-3</v>
      </c>
      <c r="L596" s="10">
        <f t="shared" si="99"/>
        <v>2.7189590676612863E-3</v>
      </c>
    </row>
    <row r="597" spans="1:12" x14ac:dyDescent="0.2">
      <c r="A597" s="14">
        <v>0.53200000000000003</v>
      </c>
      <c r="B597" s="10">
        <f t="shared" si="89"/>
        <v>0.1281751934239978</v>
      </c>
      <c r="C597" s="10">
        <f t="shared" si="90"/>
        <v>4.1016061895679332E-3</v>
      </c>
      <c r="D597" s="10">
        <f t="shared" si="91"/>
        <v>1.207989008100484</v>
      </c>
      <c r="E597" s="10">
        <f t="shared" si="92"/>
        <v>3.3467475984286645</v>
      </c>
      <c r="F597" s="10">
        <f t="shared" si="96"/>
        <v>1.5209566488687098E-2</v>
      </c>
      <c r="G597" s="10">
        <f t="shared" si="93"/>
        <v>-0.68437396834057551</v>
      </c>
      <c r="H597" s="10">
        <f t="shared" si="94"/>
        <v>0.33528577839472351</v>
      </c>
      <c r="I597" s="10">
        <f t="shared" si="97"/>
        <v>6.0881902982024005E-4</v>
      </c>
      <c r="J597" s="20">
        <f t="shared" si="95"/>
        <v>0</v>
      </c>
      <c r="K597" s="10">
        <f t="shared" si="98"/>
        <v>4.5549392844730363E-3</v>
      </c>
      <c r="L597" s="10">
        <f t="shared" si="99"/>
        <v>2.7329635706836441E-3</v>
      </c>
    </row>
    <row r="598" spans="1:12" x14ac:dyDescent="0.2">
      <c r="A598" s="14">
        <v>0.53300000000000003</v>
      </c>
      <c r="B598" s="10">
        <f t="shared" si="89"/>
        <v>0.13219216649694737</v>
      </c>
      <c r="C598" s="10">
        <f t="shared" si="90"/>
        <v>4.3623414943992668E-3</v>
      </c>
      <c r="D598" s="10">
        <f t="shared" si="91"/>
        <v>1.2125673309956653</v>
      </c>
      <c r="E598" s="10">
        <f t="shared" si="92"/>
        <v>3.3621052188295257</v>
      </c>
      <c r="F598" s="10">
        <f t="shared" si="96"/>
        <v>1.5357620400861194E-2</v>
      </c>
      <c r="G598" s="10">
        <f t="shared" si="93"/>
        <v>-0.68162697460346688</v>
      </c>
      <c r="H598" s="10">
        <f t="shared" si="94"/>
        <v>0.33589827551130569</v>
      </c>
      <c r="I598" s="10">
        <f t="shared" si="97"/>
        <v>6.1249711658217798E-4</v>
      </c>
      <c r="J598" s="20">
        <f t="shared" si="95"/>
        <v>0</v>
      </c>
      <c r="K598" s="10">
        <f t="shared" si="98"/>
        <v>4.5783228951812305E-3</v>
      </c>
      <c r="L598" s="10">
        <f t="shared" si="99"/>
        <v>2.7469937371086273E-3</v>
      </c>
    </row>
    <row r="599" spans="1:12" x14ac:dyDescent="0.2">
      <c r="A599" s="14">
        <v>0.53400000000000003</v>
      </c>
      <c r="B599" s="10">
        <f t="shared" si="89"/>
        <v>0.13621020483454901</v>
      </c>
      <c r="C599" s="10">
        <f t="shared" si="90"/>
        <v>4.6311469643746704E-3</v>
      </c>
      <c r="D599" s="10">
        <f t="shared" si="91"/>
        <v>1.2171690806906759</v>
      </c>
      <c r="E599" s="10">
        <f t="shared" si="92"/>
        <v>3.3776124383009112</v>
      </c>
      <c r="F599" s="10">
        <f t="shared" si="96"/>
        <v>1.5507219471385447E-2</v>
      </c>
      <c r="G599" s="10">
        <f t="shared" si="93"/>
        <v>-0.67886592478646046</v>
      </c>
      <c r="H599" s="10">
        <f t="shared" si="94"/>
        <v>0.33651446341593022</v>
      </c>
      <c r="I599" s="10">
        <f t="shared" si="97"/>
        <v>6.1618790462453221E-4</v>
      </c>
      <c r="J599" s="20">
        <f t="shared" si="95"/>
        <v>0</v>
      </c>
      <c r="K599" s="10">
        <f t="shared" si="98"/>
        <v>4.6017496950105929E-3</v>
      </c>
      <c r="L599" s="10">
        <f t="shared" si="99"/>
        <v>2.7610498170064224E-3</v>
      </c>
    </row>
    <row r="600" spans="1:12" x14ac:dyDescent="0.2">
      <c r="A600" s="14">
        <v>0.53500000000000003</v>
      </c>
      <c r="B600" s="10">
        <f t="shared" si="89"/>
        <v>0.14022934130865031</v>
      </c>
      <c r="C600" s="10">
        <f t="shared" si="90"/>
        <v>4.9080269458027653E-3</v>
      </c>
      <c r="D600" s="10">
        <f t="shared" si="91"/>
        <v>1.2217943007938459</v>
      </c>
      <c r="E600" s="10">
        <f t="shared" si="92"/>
        <v>3.3932708230747441</v>
      </c>
      <c r="F600" s="10">
        <f t="shared" si="96"/>
        <v>1.5658384773832967E-2</v>
      </c>
      <c r="G600" s="10">
        <f t="shared" si="93"/>
        <v>-0.67609079272455841</v>
      </c>
      <c r="H600" s="10">
        <f t="shared" si="94"/>
        <v>0.33713435487502669</v>
      </c>
      <c r="I600" s="10">
        <f t="shared" si="97"/>
        <v>6.1989145909646659E-4</v>
      </c>
      <c r="J600" s="20">
        <f t="shared" si="95"/>
        <v>0</v>
      </c>
      <c r="K600" s="10">
        <f t="shared" si="98"/>
        <v>4.6252201031700135E-3</v>
      </c>
      <c r="L600" s="10">
        <f t="shared" si="99"/>
        <v>2.7751320619020525E-3</v>
      </c>
    </row>
    <row r="601" spans="1:12" x14ac:dyDescent="0.2">
      <c r="A601" s="14">
        <v>0.53600000000000003</v>
      </c>
      <c r="B601" s="10">
        <f t="shared" si="89"/>
        <v>0.14424960884454691</v>
      </c>
      <c r="C601" s="10">
        <f t="shared" si="90"/>
        <v>5.1929859184036932E-3</v>
      </c>
      <c r="D601" s="10">
        <f t="shared" si="91"/>
        <v>1.2264430353351723</v>
      </c>
      <c r="E601" s="10">
        <f t="shared" si="92"/>
        <v>3.4090819607748499</v>
      </c>
      <c r="F601" s="10">
        <f t="shared" si="96"/>
        <v>1.5811137700105782E-2</v>
      </c>
      <c r="G601" s="10">
        <f t="shared" si="93"/>
        <v>-0.67330155199976249</v>
      </c>
      <c r="H601" s="10">
        <f t="shared" si="94"/>
        <v>0.3377579627199026</v>
      </c>
      <c r="I601" s="10">
        <f t="shared" si="97"/>
        <v>6.2360784487591747E-4</v>
      </c>
      <c r="J601" s="20">
        <f t="shared" si="95"/>
        <v>0</v>
      </c>
      <c r="K601" s="10">
        <f t="shared" si="98"/>
        <v>4.6487345413264158E-3</v>
      </c>
      <c r="L601" s="10">
        <f t="shared" si="99"/>
        <v>2.7892407247959161E-3</v>
      </c>
    </row>
    <row r="602" spans="1:12" x14ac:dyDescent="0.2">
      <c r="A602" s="14">
        <v>0.53700000000000003</v>
      </c>
      <c r="B602" s="10">
        <f t="shared" si="89"/>
        <v>0.14827104042263065</v>
      </c>
      <c r="C602" s="10">
        <f t="shared" si="90"/>
        <v>5.4860284956373389E-3</v>
      </c>
      <c r="D602" s="10">
        <f t="shared" si="91"/>
        <v>1.2311153287688115</v>
      </c>
      <c r="E602" s="10">
        <f t="shared" si="92"/>
        <v>3.4250474607409154</v>
      </c>
      <c r="F602" s="10">
        <f t="shared" si="96"/>
        <v>1.5965499966065444E-2</v>
      </c>
      <c r="G602" s="10">
        <f t="shared" si="93"/>
        <v>-0.67049817593957906</v>
      </c>
      <c r="H602" s="10">
        <f t="shared" si="94"/>
        <v>0.33838529984646359</v>
      </c>
      <c r="I602" s="10">
        <f t="shared" si="97"/>
        <v>6.273371265609895E-4</v>
      </c>
      <c r="J602" s="20">
        <f t="shared" si="95"/>
        <v>0</v>
      </c>
      <c r="K602" s="10">
        <f t="shared" si="98"/>
        <v>4.6722934336391742E-3</v>
      </c>
      <c r="L602" s="10">
        <f t="shared" si="99"/>
        <v>2.8033760601834379E-3</v>
      </c>
    </row>
    <row r="603" spans="1:12" x14ac:dyDescent="0.2">
      <c r="A603" s="14">
        <v>0.53800000000000003</v>
      </c>
      <c r="B603" s="10">
        <f t="shared" si="89"/>
        <v>0.15229366908004574</v>
      </c>
      <c r="C603" s="10">
        <f t="shared" si="90"/>
        <v>5.7871594250417432E-3</v>
      </c>
      <c r="D603" s="10">
        <f t="shared" si="91"/>
        <v>1.2358112259756076</v>
      </c>
      <c r="E603" s="10">
        <f t="shared" si="92"/>
        <v>3.4411689543581936</v>
      </c>
      <c r="F603" s="10">
        <f t="shared" si="96"/>
        <v>1.6121493617278215E-2</v>
      </c>
      <c r="G603" s="10">
        <f t="shared" si="93"/>
        <v>-0.66768063761550134</v>
      </c>
      <c r="H603" s="10">
        <f t="shared" si="94"/>
        <v>0.33901637921492594</v>
      </c>
      <c r="I603" s="10">
        <f t="shared" si="97"/>
        <v>6.3107936846235058E-4</v>
      </c>
      <c r="J603" s="20">
        <f t="shared" si="95"/>
        <v>0</v>
      </c>
      <c r="K603" s="10">
        <f t="shared" si="98"/>
        <v>4.6958972067960847E-3</v>
      </c>
      <c r="L603" s="10">
        <f t="shared" si="99"/>
        <v>2.8175383240777174E-3</v>
      </c>
    </row>
    <row r="604" spans="1:12" x14ac:dyDescent="0.2">
      <c r="A604" s="14">
        <v>0.53900000000000003</v>
      </c>
      <c r="B604" s="10">
        <f t="shared" si="89"/>
        <v>0.15631752791234874</v>
      </c>
      <c r="C604" s="10">
        <f t="shared" si="90"/>
        <v>6.0963835885816057E-3</v>
      </c>
      <c r="D604" s="10">
        <f t="shared" si="91"/>
        <v>1.2405307722656538</v>
      </c>
      <c r="E604" s="10">
        <f t="shared" si="92"/>
        <v>3.4574480953930489</v>
      </c>
      <c r="F604" s="10">
        <f t="shared" si="96"/>
        <v>1.6279141034855282E-2</v>
      </c>
      <c r="G604" s="10">
        <f t="shared" si="93"/>
        <v>-0.66484890984147371</v>
      </c>
      <c r="H604" s="10">
        <f t="shared" si="94"/>
        <v>0.33965121384952002</v>
      </c>
      <c r="I604" s="10">
        <f t="shared" si="97"/>
        <v>6.3483463459407252E-4</v>
      </c>
      <c r="J604" s="20">
        <f t="shared" si="95"/>
        <v>0</v>
      </c>
      <c r="K604" s="10">
        <f t="shared" si="98"/>
        <v>4.7195462900462282E-3</v>
      </c>
      <c r="L604" s="10">
        <f t="shared" si="99"/>
        <v>2.8317277740276259E-3</v>
      </c>
    </row>
    <row r="605" spans="1:12" x14ac:dyDescent="0.2">
      <c r="A605" s="14">
        <v>0.54</v>
      </c>
      <c r="B605" s="10">
        <f t="shared" si="89"/>
        <v>0.16034265007517948</v>
      </c>
      <c r="C605" s="10">
        <f t="shared" si="90"/>
        <v>6.4137060030071847E-3</v>
      </c>
      <c r="D605" s="10">
        <f t="shared" si="91"/>
        <v>1.2452740133808908</v>
      </c>
      <c r="E605" s="10">
        <f t="shared" si="92"/>
        <v>3.4738865603344746</v>
      </c>
      <c r="F605" s="10">
        <f t="shared" si="96"/>
        <v>1.6438464941425757E-2</v>
      </c>
      <c r="G605" s="10">
        <f t="shared" si="93"/>
        <v>-0.66200296517233137</v>
      </c>
      <c r="H605" s="10">
        <f t="shared" si="94"/>
        <v>0.34028981683818627</v>
      </c>
      <c r="I605" s="10">
        <f t="shared" si="97"/>
        <v>6.3860298866624809E-4</v>
      </c>
      <c r="J605" s="20">
        <f t="shared" si="95"/>
        <v>0</v>
      </c>
      <c r="K605" s="10">
        <f t="shared" si="98"/>
        <v>4.7432411152370513E-3</v>
      </c>
      <c r="L605" s="10">
        <f t="shared" si="99"/>
        <v>2.8459446691423418E-3</v>
      </c>
    </row>
    <row r="606" spans="1:12" x14ac:dyDescent="0.2">
      <c r="A606" s="14">
        <v>0.54100000000000004</v>
      </c>
      <c r="B606" s="10">
        <f t="shared" si="89"/>
        <v>0.16436906878593652</v>
      </c>
      <c r="C606" s="10">
        <f t="shared" si="90"/>
        <v>6.7391318202234029E-3</v>
      </c>
      <c r="D606" s="10">
        <f t="shared" si="91"/>
        <v>1.2500409954977409</v>
      </c>
      <c r="E606" s="10">
        <f t="shared" si="92"/>
        <v>3.4904860487416984</v>
      </c>
      <c r="F606" s="10">
        <f t="shared" si="96"/>
        <v>1.6599488407223806E-2</v>
      </c>
      <c r="G606" s="10">
        <f t="shared" si="93"/>
        <v>-0.65914277590222137</v>
      </c>
      <c r="H606" s="10">
        <f t="shared" si="94"/>
        <v>0.34093220133226115</v>
      </c>
      <c r="I606" s="10">
        <f t="shared" si="97"/>
        <v>6.4238449407488796E-4</v>
      </c>
      <c r="J606" s="20">
        <f t="shared" si="95"/>
        <v>0</v>
      </c>
      <c r="K606" s="10">
        <f t="shared" si="98"/>
        <v>4.7669821168501159E-3</v>
      </c>
      <c r="L606" s="10">
        <f t="shared" si="99"/>
        <v>2.8601892701100029E-3</v>
      </c>
    </row>
    <row r="607" spans="1:12" x14ac:dyDescent="0.2">
      <c r="A607" s="14">
        <v>0.54200000000000004</v>
      </c>
      <c r="B607" s="10">
        <f t="shared" si="89"/>
        <v>0.16839681732546141</v>
      </c>
      <c r="C607" s="10">
        <f t="shared" si="90"/>
        <v>7.0726663276693856E-3</v>
      </c>
      <c r="D607" s="10">
        <f t="shared" si="91"/>
        <v>1.2548317652297758</v>
      </c>
      <c r="E607" s="10">
        <f t="shared" si="92"/>
        <v>3.5072482835979737</v>
      </c>
      <c r="F607" s="10">
        <f t="shared" si="96"/>
        <v>1.676223485627526E-2</v>
      </c>
      <c r="G607" s="10">
        <f t="shared" si="93"/>
        <v>-0.65626831406300046</v>
      </c>
      <c r="H607" s="10">
        <f t="shared" si="94"/>
        <v>0.34157838054615558</v>
      </c>
      <c r="I607" s="10">
        <f t="shared" si="97"/>
        <v>6.4617921389442667E-4</v>
      </c>
      <c r="J607" s="20">
        <f t="shared" si="95"/>
        <v>0</v>
      </c>
      <c r="K607" s="10">
        <f t="shared" si="98"/>
        <v>4.7907697320348497E-3</v>
      </c>
      <c r="L607" s="10">
        <f t="shared" si="99"/>
        <v>2.8744618392209098E-3</v>
      </c>
    </row>
    <row r="608" spans="1:12" x14ac:dyDescent="0.2">
      <c r="A608" s="14">
        <v>0.54300000000000004</v>
      </c>
      <c r="B608" s="10">
        <f t="shared" si="89"/>
        <v>0.17242592903973097</v>
      </c>
      <c r="C608" s="10">
        <f t="shared" si="90"/>
        <v>7.4143149487084382E-3</v>
      </c>
      <c r="D608" s="10">
        <f t="shared" si="91"/>
        <v>1.2596463696304243</v>
      </c>
      <c r="E608" s="10">
        <f t="shared" si="92"/>
        <v>3.5241750116707151</v>
      </c>
      <c r="F608" s="10">
        <f t="shared" si="96"/>
        <v>1.6926728072741426E-2</v>
      </c>
      <c r="G608" s="10">
        <f t="shared" si="93"/>
        <v>-0.65337955142261117</v>
      </c>
      <c r="H608" s="10">
        <f t="shared" si="94"/>
        <v>0.34222836775702303</v>
      </c>
      <c r="I608" s="10">
        <f t="shared" si="97"/>
        <v>6.4998721086745315E-4</v>
      </c>
      <c r="J608" s="20">
        <f t="shared" si="95"/>
        <v>0</v>
      </c>
      <c r="K608" s="10">
        <f t="shared" si="98"/>
        <v>4.8146044006485145E-3</v>
      </c>
      <c r="L608" s="10">
        <f t="shared" si="99"/>
        <v>2.8887626403892863E-3</v>
      </c>
    </row>
    <row r="609" spans="1:12" x14ac:dyDescent="0.2">
      <c r="A609" s="14">
        <v>0.54400000000000004</v>
      </c>
      <c r="B609" s="10">
        <f t="shared" si="89"/>
        <v>0.17645643734155667</v>
      </c>
      <c r="C609" s="10">
        <f t="shared" si="90"/>
        <v>7.7640832430284999E-3</v>
      </c>
      <c r="D609" s="10">
        <f t="shared" si="91"/>
        <v>1.2644848561957156</v>
      </c>
      <c r="E609" s="10">
        <f t="shared" si="92"/>
        <v>3.5412680038780748</v>
      </c>
      <c r="F609" s="10">
        <f t="shared" si="96"/>
        <v>1.7092992207359714E-2</v>
      </c>
      <c r="G609" s="10">
        <f t="shared" si="93"/>
        <v>-0.65047645948343669</v>
      </c>
      <c r="H609" s="10">
        <f t="shared" si="94"/>
        <v>0.34288217630441903</v>
      </c>
      <c r="I609" s="10">
        <f t="shared" si="97"/>
        <v>6.5380854739599537E-4</v>
      </c>
      <c r="J609" s="20">
        <f t="shared" si="95"/>
        <v>0</v>
      </c>
      <c r="K609" s="10">
        <f t="shared" si="98"/>
        <v>4.838486565291289E-3</v>
      </c>
      <c r="L609" s="10">
        <f t="shared" si="99"/>
        <v>2.9030919391744847E-3</v>
      </c>
    </row>
    <row r="610" spans="1:12" x14ac:dyDescent="0.2">
      <c r="A610" s="14">
        <v>0.54500000000000004</v>
      </c>
      <c r="B610" s="10">
        <f t="shared" si="89"/>
        <v>0.18048837571229381</v>
      </c>
      <c r="C610" s="10">
        <f t="shared" si="90"/>
        <v>8.1219769070532289E-3</v>
      </c>
      <c r="D610" s="10">
        <f t="shared" si="91"/>
        <v>1.2693472728670572</v>
      </c>
      <c r="E610" s="10">
        <f t="shared" si="92"/>
        <v>3.5585290556620879</v>
      </c>
      <c r="F610" s="10">
        <f t="shared" si="96"/>
        <v>1.7261051784013048E-2</v>
      </c>
      <c r="G610" s="10">
        <f t="shared" si="93"/>
        <v>-0.64755900948063161</v>
      </c>
      <c r="H610" s="10">
        <f t="shared" si="94"/>
        <v>0.34353981958995161</v>
      </c>
      <c r="I610" s="10">
        <f t="shared" si="97"/>
        <v>6.5764328553258311E-4</v>
      </c>
      <c r="J610" s="20">
        <f t="shared" si="95"/>
        <v>0</v>
      </c>
      <c r="K610" s="10">
        <f t="shared" si="98"/>
        <v>4.862416671341574E-3</v>
      </c>
      <c r="L610" s="10">
        <f t="shared" si="99"/>
        <v>2.9174500028050776E-3</v>
      </c>
    </row>
    <row r="611" spans="1:12" x14ac:dyDescent="0.2">
      <c r="A611" s="14">
        <v>0.54600000000000004</v>
      </c>
      <c r="B611" s="10">
        <f t="shared" si="89"/>
        <v>0.18452177770355727</v>
      </c>
      <c r="C611" s="10">
        <f t="shared" si="90"/>
        <v>8.4880017743636411E-3</v>
      </c>
      <c r="D611" s="10">
        <f t="shared" si="91"/>
        <v>1.2742336680340565</v>
      </c>
      <c r="E611" s="10">
        <f t="shared" si="92"/>
        <v>3.5759599873685493</v>
      </c>
      <c r="F611" s="10">
        <f t="shared" si="96"/>
        <v>1.7430931706461372E-2</v>
      </c>
      <c r="G611" s="10">
        <f t="shared" si="93"/>
        <v>-0.6446271723804321</v>
      </c>
      <c r="H611" s="10">
        <f t="shared" si="94"/>
        <v>0.34420131107692115</v>
      </c>
      <c r="I611" s="10">
        <f t="shared" si="97"/>
        <v>6.614914869695343E-4</v>
      </c>
      <c r="J611" s="20">
        <f t="shared" si="95"/>
        <v>0</v>
      </c>
      <c r="K611" s="10">
        <f t="shared" si="98"/>
        <v>4.8863951669992911E-3</v>
      </c>
      <c r="L611" s="10">
        <f t="shared" si="99"/>
        <v>2.9318371001995081E-3</v>
      </c>
    </row>
    <row r="612" spans="1:12" x14ac:dyDescent="0.2">
      <c r="A612" s="14">
        <v>0.54700000000000004</v>
      </c>
      <c r="B612" s="10">
        <f t="shared" si="89"/>
        <v>0.18855667693894732</v>
      </c>
      <c r="C612" s="10">
        <f t="shared" si="90"/>
        <v>8.8621638161305322E-3</v>
      </c>
      <c r="D612" s="10">
        <f t="shared" si="91"/>
        <v>1.279144090537373</v>
      </c>
      <c r="E612" s="10">
        <f t="shared" si="92"/>
        <v>3.5935626446337023</v>
      </c>
      <c r="F612" s="10">
        <f t="shared" si="96"/>
        <v>1.7602657265153088E-2</v>
      </c>
      <c r="G612" s="10">
        <f t="shared" si="93"/>
        <v>-0.64168091887844214</v>
      </c>
      <c r="H612" s="10">
        <f t="shared" si="94"/>
        <v>0.34486666428995078</v>
      </c>
      <c r="I612" s="10">
        <f t="shared" si="97"/>
        <v>6.6535321302962913E-4</v>
      </c>
      <c r="J612" s="20">
        <f t="shared" si="95"/>
        <v>0</v>
      </c>
      <c r="K612" s="10">
        <f t="shared" si="98"/>
        <v>4.910422503316525E-3</v>
      </c>
      <c r="L612" s="10">
        <f t="shared" si="99"/>
        <v>2.9462535019899594E-3</v>
      </c>
    </row>
    <row r="613" spans="1:12" x14ac:dyDescent="0.2">
      <c r="A613" s="14">
        <v>0.54800000000000004</v>
      </c>
      <c r="B613" s="10">
        <f t="shared" si="89"/>
        <v>0.19259310711578442</v>
      </c>
      <c r="C613" s="10">
        <f t="shared" si="90"/>
        <v>9.2444691415576614E-3</v>
      </c>
      <c r="D613" s="10">
        <f t="shared" si="91"/>
        <v>1.2840785896716163</v>
      </c>
      <c r="E613" s="10">
        <f t="shared" si="92"/>
        <v>3.6113388987779351</v>
      </c>
      <c r="F613" s="10">
        <f t="shared" si="96"/>
        <v>1.7776254144232784E-2</v>
      </c>
      <c r="G613" s="10">
        <f t="shared" si="93"/>
        <v>-0.63872021939789614</v>
      </c>
      <c r="H613" s="10">
        <f t="shared" si="94"/>
        <v>0.34553589281460761</v>
      </c>
      <c r="I613" s="10">
        <f t="shared" si="97"/>
        <v>6.6922852465683969E-4</v>
      </c>
      <c r="J613" s="20">
        <f t="shared" si="95"/>
        <v>0</v>
      </c>
      <c r="K613" s="10">
        <f t="shared" si="98"/>
        <v>4.9344991342432643E-3</v>
      </c>
      <c r="L613" s="10">
        <f t="shared" si="99"/>
        <v>2.960699480546003E-3</v>
      </c>
    </row>
    <row r="614" spans="1:12" x14ac:dyDescent="0.2">
      <c r="A614" s="14">
        <v>0.54900000000000004</v>
      </c>
      <c r="B614" s="10">
        <f t="shared" si="89"/>
        <v>0.19663110200685247</v>
      </c>
      <c r="C614" s="10">
        <f t="shared" si="90"/>
        <v>9.6349239983357787E-3</v>
      </c>
      <c r="D614" s="10">
        <f t="shared" si="91"/>
        <v>1.2890372151882776</v>
      </c>
      <c r="E614" s="10">
        <f t="shared" si="92"/>
        <v>3.6292906472065725</v>
      </c>
      <c r="F614" s="10">
        <f t="shared" si="96"/>
        <v>1.7951748428637337E-2</v>
      </c>
      <c r="G614" s="10">
        <f t="shared" si="93"/>
        <v>-0.63574504408789934</v>
      </c>
      <c r="H614" s="10">
        <f t="shared" si="94"/>
        <v>0.34620901029701234</v>
      </c>
      <c r="I614" s="10">
        <f t="shared" si="97"/>
        <v>6.7311748240472813E-4</v>
      </c>
      <c r="J614" s="20">
        <f t="shared" si="95"/>
        <v>0</v>
      </c>
      <c r="K614" s="10">
        <f t="shared" si="98"/>
        <v>4.9586255166613746E-3</v>
      </c>
      <c r="L614" s="10">
        <f t="shared" si="99"/>
        <v>2.9751753099968026E-3</v>
      </c>
    </row>
    <row r="615" spans="1:12" x14ac:dyDescent="0.2">
      <c r="A615" s="14">
        <v>0.55000000000000004</v>
      </c>
      <c r="B615" s="10">
        <f t="shared" si="89"/>
        <v>0.20067069546215141</v>
      </c>
      <c r="C615" s="10">
        <f t="shared" si="90"/>
        <v>1.003353477310758E-2</v>
      </c>
      <c r="D615" s="10">
        <f t="shared" si="91"/>
        <v>1.2940200172987033</v>
      </c>
      <c r="E615" s="10">
        <f t="shared" si="92"/>
        <v>3.6474198138179386</v>
      </c>
      <c r="F615" s="10">
        <f t="shared" si="96"/>
        <v>1.8129166611366099E-2</v>
      </c>
      <c r="G615" s="10">
        <f t="shared" si="93"/>
        <v>-0.63275536282164391</v>
      </c>
      <c r="H615" s="10">
        <f t="shared" si="94"/>
        <v>0.3468860304434393</v>
      </c>
      <c r="I615" s="10">
        <f t="shared" si="97"/>
        <v>6.7702014642695429E-4</v>
      </c>
      <c r="J615" s="20">
        <f t="shared" si="95"/>
        <v>0</v>
      </c>
      <c r="K615" s="10">
        <f t="shared" si="98"/>
        <v>4.982802110425677E-3</v>
      </c>
      <c r="L615" s="10">
        <f t="shared" si="99"/>
        <v>2.9896812662554284E-3</v>
      </c>
    </row>
    <row r="616" spans="1:12" x14ac:dyDescent="0.2">
      <c r="A616" s="14">
        <v>0.55100000000000005</v>
      </c>
      <c r="B616" s="10">
        <f t="shared" si="89"/>
        <v>0.20471192141066033</v>
      </c>
      <c r="C616" s="10">
        <f t="shared" si="90"/>
        <v>1.0440307991943686E-2</v>
      </c>
      <c r="D616" s="10">
        <f t="shared" si="91"/>
        <v>1.299027046677107</v>
      </c>
      <c r="E616" s="10">
        <f t="shared" si="92"/>
        <v>3.6657283494188211</v>
      </c>
      <c r="F616" s="10">
        <f t="shared" si="96"/>
        <v>1.8308535600882525E-2</v>
      </c>
      <c r="G616" s="10">
        <f t="shared" si="93"/>
        <v>-0.62975114519460174</v>
      </c>
      <c r="H616" s="10">
        <f t="shared" si="94"/>
        <v>0.34756696701990614</v>
      </c>
      <c r="I616" s="10">
        <f t="shared" si="97"/>
        <v>6.8093657646683958E-4</v>
      </c>
      <c r="J616" s="20">
        <f t="shared" si="95"/>
        <v>0</v>
      </c>
      <c r="K616" s="10">
        <f t="shared" si="98"/>
        <v>5.0070293784036934E-3</v>
      </c>
      <c r="L616" s="10">
        <f t="shared" si="99"/>
        <v>3.0042176270421717E-3</v>
      </c>
    </row>
    <row r="617" spans="1:12" x14ac:dyDescent="0.2">
      <c r="A617" s="14">
        <v>0.55200000000000005</v>
      </c>
      <c r="B617" s="10">
        <f t="shared" si="89"/>
        <v>0.20875481386211039</v>
      </c>
      <c r="C617" s="10">
        <f t="shared" si="90"/>
        <v>1.085525032082975E-2</v>
      </c>
      <c r="D617" s="10">
        <f t="shared" si="91"/>
        <v>1.3040583544636242</v>
      </c>
      <c r="E617" s="10">
        <f t="shared" si="92"/>
        <v>3.6842182321475003</v>
      </c>
      <c r="F617" s="10">
        <f t="shared" si="96"/>
        <v>1.8489882728679241E-2</v>
      </c>
      <c r="G617" s="10">
        <f t="shared" si="93"/>
        <v>-0.62673236052269132</v>
      </c>
      <c r="H617" s="10">
        <f t="shared" si="94"/>
        <v>0.3482518338517519</v>
      </c>
      <c r="I617" s="10">
        <f t="shared" si="97"/>
        <v>6.8486683184576513E-4</v>
      </c>
      <c r="J617" s="20">
        <f t="shared" si="95"/>
        <v>0</v>
      </c>
      <c r="K617" s="10">
        <f t="shared" si="98"/>
        <v>5.0313077865171696E-3</v>
      </c>
      <c r="L617" s="10">
        <f t="shared" si="99"/>
        <v>3.0187846719104128E-3</v>
      </c>
    </row>
    <row r="618" spans="1:12" x14ac:dyDescent="0.2">
      <c r="A618" s="14">
        <v>0.55300000000000005</v>
      </c>
      <c r="B618" s="10">
        <f t="shared" si="89"/>
        <v>0.21279940690876617</v>
      </c>
      <c r="C618" s="10">
        <f t="shared" si="90"/>
        <v>1.1278368566164617E-2</v>
      </c>
      <c r="D618" s="10">
        <f t="shared" si="91"/>
        <v>1.3091139922674042</v>
      </c>
      <c r="E618" s="10">
        <f t="shared" si="92"/>
        <v>3.7028914679044709</v>
      </c>
      <c r="F618" s="10">
        <f t="shared" si="96"/>
        <v>1.8673235756970552E-2</v>
      </c>
      <c r="G618" s="10">
        <f t="shared" si="93"/>
        <v>-0.6236989778404235</v>
      </c>
      <c r="H618" s="10">
        <f t="shared" si="94"/>
        <v>0.34894064482320447</v>
      </c>
      <c r="I618" s="10">
        <f t="shared" si="97"/>
        <v>6.888109714525692E-4</v>
      </c>
      <c r="J618" s="20">
        <f t="shared" si="95"/>
        <v>0</v>
      </c>
      <c r="K618" s="10">
        <f t="shared" si="98"/>
        <v>5.0556378037800442E-3</v>
      </c>
      <c r="L618" s="10">
        <f t="shared" si="99"/>
        <v>3.0333826822678267E-3</v>
      </c>
    </row>
    <row r="619" spans="1:12" x14ac:dyDescent="0.2">
      <c r="A619" s="14">
        <v>0.55400000000000005</v>
      </c>
      <c r="B619" s="10">
        <f t="shared" si="89"/>
        <v>0.21684573472721994</v>
      </c>
      <c r="C619" s="10">
        <f t="shared" si="90"/>
        <v>1.1709669675269888E-2</v>
      </c>
      <c r="D619" s="10">
        <f t="shared" si="91"/>
        <v>1.3141940121697457</v>
      </c>
      <c r="E619" s="10">
        <f t="shared" si="92"/>
        <v>3.7217500907910361</v>
      </c>
      <c r="F619" s="10">
        <f t="shared" si="96"/>
        <v>1.8858622886565257E-2</v>
      </c>
      <c r="G619" s="10">
        <f t="shared" si="93"/>
        <v>-0.62065096589901847</v>
      </c>
      <c r="H619" s="10">
        <f t="shared" si="94"/>
        <v>0.34963341387693736</v>
      </c>
      <c r="I619" s="10">
        <f t="shared" si="97"/>
        <v>6.92769053732889E-4</v>
      </c>
      <c r="J619" s="20">
        <f t="shared" si="95"/>
        <v>0</v>
      </c>
      <c r="K619" s="10">
        <f t="shared" si="98"/>
        <v>5.080019902341526E-3</v>
      </c>
      <c r="L619" s="10">
        <f t="shared" si="99"/>
        <v>3.0480119414050266E-3</v>
      </c>
    </row>
    <row r="620" spans="1:12" x14ac:dyDescent="0.2">
      <c r="A620" s="14">
        <v>0.55500000000000005</v>
      </c>
      <c r="B620" s="10">
        <f t="shared" si="89"/>
        <v>0.22089383158019443</v>
      </c>
      <c r="C620" s="10">
        <f t="shared" si="90"/>
        <v>1.2149160736910705E-2</v>
      </c>
      <c r="D620" s="10">
        <f t="shared" si="91"/>
        <v>1.319298466727274</v>
      </c>
      <c r="E620" s="10">
        <f t="shared" si="92"/>
        <v>3.7407961635559279</v>
      </c>
      <c r="F620" s="10">
        <f t="shared" si="96"/>
        <v>1.9046072764891786E-2</v>
      </c>
      <c r="G620" s="10">
        <f t="shared" si="93"/>
        <v>-0.61758829316450148</v>
      </c>
      <c r="H620" s="10">
        <f t="shared" si="94"/>
        <v>0.35033015501361398</v>
      </c>
      <c r="I620" s="10">
        <f t="shared" si="97"/>
        <v>6.9674113667661519E-4</v>
      </c>
      <c r="J620" s="20">
        <f t="shared" si="95"/>
        <v>0</v>
      </c>
      <c r="K620" s="10">
        <f t="shared" si="98"/>
        <v>5.1044545575282818E-3</v>
      </c>
      <c r="L620" s="10">
        <f t="shared" si="99"/>
        <v>3.0626727345169913E-3</v>
      </c>
    </row>
    <row r="621" spans="1:12" x14ac:dyDescent="0.2">
      <c r="A621" s="14">
        <v>0.55600000000000005</v>
      </c>
      <c r="B621" s="10">
        <f t="shared" si="89"/>
        <v>0.22494373181835786</v>
      </c>
      <c r="C621" s="10">
        <f t="shared" si="90"/>
        <v>1.2596848981828052E-2</v>
      </c>
      <c r="D621" s="10">
        <f t="shared" si="91"/>
        <v>1.3244274089751589</v>
      </c>
      <c r="E621" s="10">
        <f t="shared" si="92"/>
        <v>3.7600317780501045</v>
      </c>
      <c r="F621" s="10">
        <f t="shared" si="96"/>
        <v>1.9235614494176545E-2</v>
      </c>
      <c r="G621" s="10">
        <f t="shared" si="93"/>
        <v>-0.61451092781577066</v>
      </c>
      <c r="H621" s="10">
        <f t="shared" si="94"/>
        <v>0.35103088229142121</v>
      </c>
      <c r="I621" s="10">
        <f t="shared" si="97"/>
        <v>7.0072727780723376E-4</v>
      </c>
      <c r="J621" s="20">
        <f t="shared" si="95"/>
        <v>0</v>
      </c>
      <c r="K621" s="10">
        <f t="shared" si="98"/>
        <v>5.128942247884849E-3</v>
      </c>
      <c r="L621" s="10">
        <f t="shared" si="99"/>
        <v>3.0773653487308206E-3</v>
      </c>
    </row>
    <row r="622" spans="1:12" x14ac:dyDescent="0.2">
      <c r="A622" s="14">
        <v>0.55700000000000005</v>
      </c>
      <c r="B622" s="10">
        <f t="shared" si="89"/>
        <v>0.22899546988214853</v>
      </c>
      <c r="C622" s="10">
        <f t="shared" si="90"/>
        <v>1.3052741783282478E-2</v>
      </c>
      <c r="D622" s="10">
        <f t="shared" si="91"/>
        <v>1.3295808924303751</v>
      </c>
      <c r="E622" s="10">
        <f t="shared" si="92"/>
        <v>3.779459055689903</v>
      </c>
      <c r="F622" s="10">
        <f t="shared" si="96"/>
        <v>1.9427277639798568E-2</v>
      </c>
      <c r="G622" s="10">
        <f t="shared" si="93"/>
        <v>-0.61141883774264083</v>
      </c>
      <c r="H622" s="10">
        <f t="shared" si="94"/>
        <v>0.3517356098255906</v>
      </c>
      <c r="I622" s="10">
        <f t="shared" si="97"/>
        <v>7.0472753416939149E-4</v>
      </c>
      <c r="J622" s="20">
        <f t="shared" si="95"/>
        <v>0</v>
      </c>
      <c r="K622" s="10">
        <f t="shared" si="98"/>
        <v>5.1534834552162678E-3</v>
      </c>
      <c r="L622" s="10">
        <f t="shared" si="99"/>
        <v>3.0920900731298273E-3</v>
      </c>
    </row>
    <row r="623" spans="1:12" x14ac:dyDescent="0.2">
      <c r="A623" s="14">
        <v>0.55800000000000005</v>
      </c>
      <c r="B623" s="10">
        <f t="shared" si="89"/>
        <v>0.23304908030361296</v>
      </c>
      <c r="C623" s="10">
        <f t="shared" si="90"/>
        <v>1.3516846657609563E-2</v>
      </c>
      <c r="D623" s="10">
        <f t="shared" si="91"/>
        <v>1.3347589710950103</v>
      </c>
      <c r="E623" s="10">
        <f t="shared" si="92"/>
        <v>3.7990801479287262</v>
      </c>
      <c r="F623" s="10">
        <f t="shared" si="96"/>
        <v>1.9621092238823135E-2</v>
      </c>
      <c r="G623" s="10">
        <f t="shared" si="93"/>
        <v>-0.60831199054385987</v>
      </c>
      <c r="H623" s="10">
        <f t="shared" si="94"/>
        <v>0.35244435178790773</v>
      </c>
      <c r="I623" s="10">
        <f t="shared" si="97"/>
        <v>7.0874196231712761E-4</v>
      </c>
      <c r="J623" s="20">
        <f t="shared" si="95"/>
        <v>0</v>
      </c>
      <c r="K623" s="10">
        <f t="shared" si="98"/>
        <v>5.1780786646351551E-3</v>
      </c>
      <c r="L623" s="10">
        <f t="shared" si="99"/>
        <v>3.1068471987809598E-3</v>
      </c>
    </row>
    <row r="624" spans="1:12" x14ac:dyDescent="0.2">
      <c r="A624" s="14">
        <v>0.55900000000000005</v>
      </c>
      <c r="B624" s="10">
        <f t="shared" si="89"/>
        <v>0.23710459770825335</v>
      </c>
      <c r="C624" s="10">
        <f t="shared" si="90"/>
        <v>1.398917126478696E-2</v>
      </c>
      <c r="D624" s="10">
        <f t="shared" si="91"/>
        <v>1.3399616994596082</v>
      </c>
      <c r="E624" s="10">
        <f t="shared" si="92"/>
        <v>3.8188972367374019</v>
      </c>
      <c r="F624" s="10">
        <f t="shared" si="96"/>
        <v>1.981708880867572E-2</v>
      </c>
      <c r="G624" s="10">
        <f t="shared" si="93"/>
        <v>-0.60519035352510109</v>
      </c>
      <c r="H624" s="10">
        <f t="shared" si="94"/>
        <v>0.353157122406209</v>
      </c>
      <c r="I624" s="10">
        <f t="shared" si="97"/>
        <v>7.1277061830127275E-4</v>
      </c>
      <c r="J624" s="20">
        <f t="shared" si="95"/>
        <v>0</v>
      </c>
      <c r="K624" s="10">
        <f t="shared" si="98"/>
        <v>5.2027283645978972E-3</v>
      </c>
      <c r="L624" s="10">
        <f t="shared" si="99"/>
        <v>3.1216370187587827E-3</v>
      </c>
    </row>
    <row r="625" spans="1:12" x14ac:dyDescent="0.2">
      <c r="A625" s="14">
        <v>0.56000000000000005</v>
      </c>
      <c r="B625" s="10">
        <f t="shared" si="89"/>
        <v>0.24116205681688824</v>
      </c>
      <c r="C625" s="10">
        <f t="shared" si="90"/>
        <v>1.4469723409013308E-2</v>
      </c>
      <c r="D625" s="10">
        <f t="shared" si="91"/>
        <v>1.3451891325065646</v>
      </c>
      <c r="E625" s="10">
        <f t="shared" si="92"/>
        <v>3.8389125350934457</v>
      </c>
      <c r="F625" s="10">
        <f t="shared" si="96"/>
        <v>2.0015298356043765E-2</v>
      </c>
      <c r="G625" s="10">
        <f t="shared" si="93"/>
        <v>-0.60205389369692708</v>
      </c>
      <c r="H625" s="10">
        <f t="shared" si="94"/>
        <v>0.35387393596386651</v>
      </c>
      <c r="I625" s="10">
        <f t="shared" si="97"/>
        <v>7.1681355765751409E-4</v>
      </c>
      <c r="J625" s="20">
        <f t="shared" si="95"/>
        <v>0</v>
      </c>
      <c r="K625" s="10">
        <f t="shared" si="98"/>
        <v>5.2274330469563868E-3</v>
      </c>
      <c r="L625" s="10">
        <f t="shared" si="99"/>
        <v>3.1364598281740097E-3</v>
      </c>
    </row>
    <row r="626" spans="1:12" x14ac:dyDescent="0.2">
      <c r="A626" s="14">
        <v>0.56100000000000005</v>
      </c>
      <c r="B626" s="10">
        <f t="shared" si="89"/>
        <v>0.24522149244752528</v>
      </c>
      <c r="C626" s="10">
        <f t="shared" si="90"/>
        <v>1.4958511039299056E-2</v>
      </c>
      <c r="D626" s="10">
        <f t="shared" si="91"/>
        <v>1.3504413257135635</v>
      </c>
      <c r="E626" s="10">
        <f t="shared" si="92"/>
        <v>3.8591282874793662</v>
      </c>
      <c r="F626" s="10">
        <f t="shared" si="96"/>
        <v>2.0215752385920549E-2</v>
      </c>
      <c r="G626" s="10">
        <f t="shared" si="93"/>
        <v>-0.59890257777272782</v>
      </c>
      <c r="H626" s="10">
        <f t="shared" si="94"/>
        <v>0.35459480679925937</v>
      </c>
      <c r="I626" s="10">
        <f t="shared" si="97"/>
        <v>7.2087083539285057E-4</v>
      </c>
      <c r="J626" s="20">
        <f t="shared" si="95"/>
        <v>0</v>
      </c>
      <c r="K626" s="10">
        <f t="shared" si="98"/>
        <v>5.2521932069988786E-3</v>
      </c>
      <c r="L626" s="10">
        <f t="shared" si="99"/>
        <v>3.1513159241992605E-3</v>
      </c>
    </row>
    <row r="627" spans="1:12" x14ac:dyDescent="0.2">
      <c r="A627" s="14">
        <v>0.56200000000000006</v>
      </c>
      <c r="B627" s="10">
        <f t="shared" si="89"/>
        <v>0.2492829395172452</v>
      </c>
      <c r="C627" s="10">
        <f t="shared" si="90"/>
        <v>1.5455542250069216E-2</v>
      </c>
      <c r="D627" s="10">
        <f t="shared" si="91"/>
        <v>1.3557183350570574</v>
      </c>
      <c r="E627" s="10">
        <f t="shared" si="92"/>
        <v>3.8795467703902111</v>
      </c>
      <c r="F627" s="10">
        <f t="shared" si="96"/>
        <v>2.0418482910844915E-2</v>
      </c>
      <c r="G627" s="10">
        <f t="shared" si="93"/>
        <v>-0.59573637216663144</v>
      </c>
      <c r="H627" s="10">
        <f t="shared" si="94"/>
        <v>0.35531974930523286</v>
      </c>
      <c r="I627" s="10">
        <f t="shared" si="97"/>
        <v>7.2494250597349152E-4</v>
      </c>
      <c r="J627" s="20">
        <f t="shared" si="95"/>
        <v>0</v>
      </c>
      <c r="K627" s="10">
        <f t="shared" si="98"/>
        <v>5.2770093434939547E-3</v>
      </c>
      <c r="L627" s="10">
        <f t="shared" si="99"/>
        <v>3.1662056060963728E-3</v>
      </c>
    </row>
    <row r="628" spans="1:12" x14ac:dyDescent="0.2">
      <c r="A628" s="14">
        <v>0.56299999999999994</v>
      </c>
      <c r="B628" s="10">
        <f t="shared" si="89"/>
        <v>0.25334643304410004</v>
      </c>
      <c r="C628" s="10">
        <f t="shared" si="90"/>
        <v>1.596082528177829E-2</v>
      </c>
      <c r="D628" s="10">
        <f t="shared" si="91"/>
        <v>1.3610202170157968</v>
      </c>
      <c r="E628" s="10">
        <f t="shared" si="92"/>
        <v>3.9001702928505608</v>
      </c>
      <c r="F628" s="10">
        <f t="shared" si="96"/>
        <v>2.0623522460349708E-2</v>
      </c>
      <c r="G628" s="10">
        <f t="shared" si="93"/>
        <v>-0.59255524299138784</v>
      </c>
      <c r="H628" s="10">
        <f t="shared" si="94"/>
        <v>0.35604877792854361</v>
      </c>
      <c r="I628" s="10">
        <f t="shared" si="97"/>
        <v>7.290286233107568E-4</v>
      </c>
      <c r="J628" s="20">
        <f t="shared" si="95"/>
        <v>0</v>
      </c>
      <c r="K628" s="10">
        <f t="shared" si="98"/>
        <v>5.301881958739374E-3</v>
      </c>
      <c r="L628" s="10">
        <f t="shared" si="99"/>
        <v>3.1811291752436022E-3</v>
      </c>
    </row>
    <row r="629" spans="1:12" x14ac:dyDescent="0.2">
      <c r="A629" s="14">
        <v>0.56399999999999995</v>
      </c>
      <c r="B629" s="10">
        <f t="shared" si="89"/>
        <v>0.25741200814902443</v>
      </c>
      <c r="C629" s="10">
        <f t="shared" si="90"/>
        <v>1.6474368521537549E-2</v>
      </c>
      <c r="D629" s="10">
        <f t="shared" si="91"/>
        <v>1.3663470285744057</v>
      </c>
      <c r="E629" s="10">
        <f t="shared" si="92"/>
        <v>3.9210011969411545</v>
      </c>
      <c r="F629" s="10">
        <f t="shared" si="96"/>
        <v>2.0830904090593627E-2</v>
      </c>
      <c r="G629" s="10">
        <f t="shared" si="93"/>
        <v>-0.58935915605622269</v>
      </c>
      <c r="H629" s="10">
        <f t="shared" si="94"/>
        <v>0.35678190716929226</v>
      </c>
      <c r="I629" s="10">
        <f t="shared" si="97"/>
        <v>7.3312924074864227E-4</v>
      </c>
      <c r="J629" s="20">
        <f t="shared" si="95"/>
        <v>0</v>
      </c>
      <c r="K629" s="10">
        <f t="shared" si="98"/>
        <v>5.3268115586089237E-3</v>
      </c>
      <c r="L629" s="10">
        <f t="shared" si="99"/>
        <v>3.1960869351651544E-3</v>
      </c>
    </row>
    <row r="630" spans="1:12" x14ac:dyDescent="0.2">
      <c r="A630" s="14">
        <v>0.56499999999999995</v>
      </c>
      <c r="B630" s="10">
        <f t="shared" si="89"/>
        <v>0.26147970005775656</v>
      </c>
      <c r="C630" s="10">
        <f t="shared" si="90"/>
        <v>1.6996180503754163E-2</v>
      </c>
      <c r="D630" s="10">
        <f t="shared" si="91"/>
        <v>1.3716988272269983</v>
      </c>
      <c r="E630" s="10">
        <f t="shared" si="92"/>
        <v>3.9420418583353203</v>
      </c>
      <c r="F630" s="10">
        <f t="shared" si="96"/>
        <v>2.1040661394165827E-2</v>
      </c>
      <c r="G630" s="10">
        <f t="shared" si="93"/>
        <v>-0.58614807686466697</v>
      </c>
      <c r="H630" s="10">
        <f t="shared" si="94"/>
        <v>0.35751915158034142</v>
      </c>
      <c r="I630" s="10">
        <f t="shared" si="97"/>
        <v>7.3724441104916494E-4</v>
      </c>
      <c r="J630" s="20">
        <f t="shared" si="95"/>
        <v>0</v>
      </c>
      <c r="K630" s="10">
        <f t="shared" si="98"/>
        <v>5.3517986525926098E-3</v>
      </c>
      <c r="L630" s="10">
        <f t="shared" si="99"/>
        <v>3.2110791915557213E-3</v>
      </c>
    </row>
    <row r="631" spans="1:12" x14ac:dyDescent="0.2">
      <c r="A631" s="14">
        <v>0.56599999999999995</v>
      </c>
      <c r="B631" s="10">
        <f t="shared" si="89"/>
        <v>0.26554954410277792</v>
      </c>
      <c r="C631" s="10">
        <f t="shared" si="90"/>
        <v>1.7526269910783328E-2</v>
      </c>
      <c r="D631" s="10">
        <f t="shared" si="91"/>
        <v>1.3770756709808523</v>
      </c>
      <c r="E631" s="10">
        <f t="shared" si="92"/>
        <v>3.9632946868454781</v>
      </c>
      <c r="F631" s="10">
        <f t="shared" si="96"/>
        <v>2.1252828510157862E-2</v>
      </c>
      <c r="G631" s="10">
        <f t="shared" si="93"/>
        <v>-0.58292197061235462</v>
      </c>
      <c r="H631" s="10">
        <f t="shared" si="94"/>
        <v>0.35826052576672052</v>
      </c>
      <c r="I631" s="10">
        <f t="shared" si="97"/>
        <v>7.4137418637909569E-4</v>
      </c>
      <c r="J631" s="20">
        <f t="shared" si="95"/>
        <v>0</v>
      </c>
      <c r="K631" s="10">
        <f t="shared" si="98"/>
        <v>5.3768437538539438E-3</v>
      </c>
      <c r="L631" s="10">
        <f t="shared" si="99"/>
        <v>3.226106252312344E-3</v>
      </c>
    </row>
    <row r="632" spans="1:12" x14ac:dyDescent="0.2">
      <c r="A632" s="14">
        <v>0.56699999999999995</v>
      </c>
      <c r="B632" s="10">
        <f t="shared" si="89"/>
        <v>0.26962157572526196</v>
      </c>
      <c r="C632" s="10">
        <f t="shared" si="90"/>
        <v>1.8064645573592539E-2</v>
      </c>
      <c r="D632" s="10">
        <f t="shared" si="91"/>
        <v>1.3824776183601211</v>
      </c>
      <c r="E632" s="10">
        <f t="shared" si="92"/>
        <v>3.9847621269798541</v>
      </c>
      <c r="F632" s="10">
        <f t="shared" si="96"/>
        <v>2.1467440134375959E-2</v>
      </c>
      <c r="G632" s="10">
        <f t="shared" si="93"/>
        <v>-0.57968080218479323</v>
      </c>
      <c r="H632" s="10">
        <f t="shared" si="94"/>
        <v>0.35900604438501627</v>
      </c>
      <c r="I632" s="10">
        <f t="shared" si="97"/>
        <v>7.455186182957485E-4</v>
      </c>
      <c r="J632" s="20">
        <f t="shared" si="95"/>
        <v>0</v>
      </c>
      <c r="K632" s="10">
        <f t="shared" si="98"/>
        <v>5.4019473792688011E-3</v>
      </c>
      <c r="L632" s="10">
        <f t="shared" si="99"/>
        <v>3.2411684275613917E-3</v>
      </c>
    </row>
    <row r="633" spans="1:12" x14ac:dyDescent="0.2">
      <c r="A633" s="14">
        <v>0.56799999999999995</v>
      </c>
      <c r="B633" s="10">
        <f t="shared" si="89"/>
        <v>0.27369583047704077</v>
      </c>
      <c r="C633" s="10">
        <f t="shared" si="90"/>
        <v>1.8611316472438758E-2</v>
      </c>
      <c r="D633" s="10">
        <f t="shared" si="91"/>
        <v>1.3879047284096027</v>
      </c>
      <c r="E633" s="10">
        <f t="shared" si="92"/>
        <v>4.0064466585096765</v>
      </c>
      <c r="F633" s="10">
        <f t="shared" si="96"/>
        <v>2.1684531529822415E-2</v>
      </c>
      <c r="G633" s="10">
        <f t="shared" si="93"/>
        <v>-0.57642453615510436</v>
      </c>
      <c r="H633" s="10">
        <f t="shared" si="94"/>
        <v>0.35975572214274848</v>
      </c>
      <c r="I633" s="10">
        <f t="shared" si="97"/>
        <v>7.4967775773221446E-4</v>
      </c>
      <c r="J633" s="20">
        <f t="shared" si="95"/>
        <v>0</v>
      </c>
      <c r="K633" s="10">
        <f t="shared" si="98"/>
        <v>5.4271100494815983E-3</v>
      </c>
      <c r="L633" s="10">
        <f t="shared" si="99"/>
        <v>3.2562660296888701E-3</v>
      </c>
    </row>
    <row r="634" spans="1:12" x14ac:dyDescent="0.2">
      <c r="A634" s="14">
        <v>0.56899999999999995</v>
      </c>
      <c r="B634" s="10">
        <f t="shared" si="89"/>
        <v>0.277772344022583</v>
      </c>
      <c r="C634" s="10">
        <f t="shared" si="90"/>
        <v>1.9166291737558214E-2</v>
      </c>
      <c r="D634" s="10">
        <f t="shared" si="91"/>
        <v>1.3933570606985504</v>
      </c>
      <c r="E634" s="10">
        <f t="shared" si="92"/>
        <v>4.0283507970470271</v>
      </c>
      <c r="F634" s="10">
        <f t="shared" si="96"/>
        <v>2.1904138537350626E-2</v>
      </c>
      <c r="G634" s="10">
        <f t="shared" si="93"/>
        <v>-0.57315313678173574</v>
      </c>
      <c r="H634" s="10">
        <f t="shared" si="94"/>
        <v>0.36050957379773146</v>
      </c>
      <c r="I634" s="10">
        <f t="shared" si="97"/>
        <v>7.5385165498298434E-4</v>
      </c>
      <c r="J634" s="20">
        <f t="shared" si="95"/>
        <v>0</v>
      </c>
      <c r="K634" s="10">
        <f t="shared" si="98"/>
        <v>5.4523322889477033E-3</v>
      </c>
      <c r="L634" s="10">
        <f t="shared" si="99"/>
        <v>3.271399373368622E-3</v>
      </c>
    </row>
    <row r="635" spans="1:12" x14ac:dyDescent="0.2">
      <c r="A635" s="14">
        <v>0.56999999999999995</v>
      </c>
      <c r="B635" s="10">
        <f t="shared" si="89"/>
        <v>0.28185115214098749</v>
      </c>
      <c r="C635" s="10">
        <f t="shared" si="90"/>
        <v>1.972958064986911E-2</v>
      </c>
      <c r="D635" s="10">
        <f t="shared" si="91"/>
        <v>1.3988346753245393</v>
      </c>
      <c r="E635" s="10">
        <f t="shared" si="92"/>
        <v>4.0504770946336111</v>
      </c>
      <c r="F635" s="10">
        <f t="shared" si="96"/>
        <v>2.212629758658391E-2</v>
      </c>
      <c r="G635" s="10">
        <f t="shared" si="93"/>
        <v>-0.56986656800614233</v>
      </c>
      <c r="H635" s="10">
        <f t="shared" si="94"/>
        <v>0.36126761415742092</v>
      </c>
      <c r="I635" s="10">
        <f t="shared" si="97"/>
        <v>7.5804035968946026E-4</v>
      </c>
      <c r="J635" s="20">
        <f t="shared" si="95"/>
        <v>0</v>
      </c>
      <c r="K635" s="10">
        <f t="shared" si="98"/>
        <v>5.4776146259889469E-3</v>
      </c>
      <c r="L635" s="10">
        <f t="shared" si="99"/>
        <v>3.2865687755934125E-3</v>
      </c>
    </row>
    <row r="636" spans="1:12" x14ac:dyDescent="0.2">
      <c r="A636" s="14">
        <v>0.57099999999999995</v>
      </c>
      <c r="B636" s="10">
        <f t="shared" si="89"/>
        <v>0.28593229072799298</v>
      </c>
      <c r="C636" s="10">
        <f t="shared" si="90"/>
        <v>2.0301192641687487E-2</v>
      </c>
      <c r="D636" s="10">
        <f t="shared" si="91"/>
        <v>1.40433763291738</v>
      </c>
      <c r="E636" s="10">
        <f t="shared" si="92"/>
        <v>4.0728281403406479</v>
      </c>
      <c r="F636" s="10">
        <f t="shared" si="96"/>
        <v>2.2351045707036832E-2</v>
      </c>
      <c r="G636" s="10">
        <f t="shared" si="93"/>
        <v>-0.56656479345043798</v>
      </c>
      <c r="H636" s="10">
        <f t="shared" si="94"/>
        <v>0.36202985807824484</v>
      </c>
      <c r="I636" s="10">
        <f t="shared" si="97"/>
        <v>7.622439208239129E-4</v>
      </c>
      <c r="J636" s="20">
        <f t="shared" si="95"/>
        <v>0</v>
      </c>
      <c r="K636" s="10">
        <f t="shared" si="98"/>
        <v>5.502957592840696E-3</v>
      </c>
      <c r="L636" s="10">
        <f t="shared" si="99"/>
        <v>3.301774555704351E-3</v>
      </c>
    </row>
    <row r="637" spans="1:12" x14ac:dyDescent="0.2">
      <c r="A637" s="14">
        <v>0.57199999999999995</v>
      </c>
      <c r="B637" s="10">
        <f t="shared" si="89"/>
        <v>0.29001579579800096</v>
      </c>
      <c r="C637" s="10">
        <f t="shared" si="90"/>
        <v>2.0881137297456057E-2</v>
      </c>
      <c r="D637" s="10">
        <f t="shared" si="91"/>
        <v>1.4098659946430843</v>
      </c>
      <c r="E637" s="10">
        <f t="shared" si="92"/>
        <v>4.0954065608801278</v>
      </c>
      <c r="F637" s="10">
        <f t="shared" si="96"/>
        <v>2.2578420539479893E-2</v>
      </c>
      <c r="G637" s="10">
        <f t="shared" si="93"/>
        <v>-0.56324777641501544</v>
      </c>
      <c r="H637" s="10">
        <f t="shared" si="94"/>
        <v>0.36279632046491961</v>
      </c>
      <c r="I637" s="10">
        <f t="shared" si="97"/>
        <v>7.6646238667477107E-4</v>
      </c>
      <c r="J637" s="20">
        <f t="shared" si="95"/>
        <v>0</v>
      </c>
      <c r="K637" s="10">
        <f t="shared" si="98"/>
        <v>5.5283617257042561E-3</v>
      </c>
      <c r="L637" s="10">
        <f t="shared" si="99"/>
        <v>3.3170170354225315E-3</v>
      </c>
    </row>
    <row r="638" spans="1:12" x14ac:dyDescent="0.2">
      <c r="A638" s="14">
        <v>0.57299999999999995</v>
      </c>
      <c r="B638" s="10">
        <f t="shared" si="89"/>
        <v>0.29410170348611481</v>
      </c>
      <c r="C638" s="10">
        <f t="shared" si="90"/>
        <v>2.1469424354486368E-2</v>
      </c>
      <c r="D638" s="10">
        <f t="shared" si="91"/>
        <v>1.4154198222078807</v>
      </c>
      <c r="E638" s="10">
        <f t="shared" si="92"/>
        <v>4.1182150212276687</v>
      </c>
      <c r="F638" s="10">
        <f t="shared" si="96"/>
        <v>2.2808460347540915E-2</v>
      </c>
      <c r="G638" s="10">
        <f t="shared" si="93"/>
        <v>-0.55991547987613755</v>
      </c>
      <c r="H638" s="10">
        <f t="shared" si="94"/>
        <v>0.36356701626975008</v>
      </c>
      <c r="I638" s="10">
        <f t="shared" si="97"/>
        <v>7.7069580483046796E-4</v>
      </c>
      <c r="J638" s="20">
        <f t="shared" si="95"/>
        <v>0</v>
      </c>
      <c r="K638" s="10">
        <f t="shared" si="98"/>
        <v>5.5538275647963875E-3</v>
      </c>
      <c r="L638" s="10">
        <f t="shared" si="99"/>
        <v>3.3322965388778991E-3</v>
      </c>
    </row>
    <row r="639" spans="1:12" x14ac:dyDescent="0.2">
      <c r="A639" s="14">
        <v>0.57399999999999995</v>
      </c>
      <c r="B639" s="10">
        <f t="shared" si="89"/>
        <v>0.29819005005019578</v>
      </c>
      <c r="C639" s="10">
        <f t="shared" si="90"/>
        <v>2.2066063703714472E-2</v>
      </c>
      <c r="D639" s="10">
        <f t="shared" si="91"/>
        <v>1.4209991778622872</v>
      </c>
      <c r="E639" s="10">
        <f t="shared" si="92"/>
        <v>4.1412562252572362</v>
      </c>
      <c r="F639" s="10">
        <f t="shared" si="96"/>
        <v>2.3041204029567552E-2</v>
      </c>
      <c r="G639" s="10">
        <f t="shared" si="93"/>
        <v>-0.55656786648349355</v>
      </c>
      <c r="H639" s="10">
        <f t="shared" si="94"/>
        <v>0.36434196049191447</v>
      </c>
      <c r="I639" s="10">
        <f t="shared" si="97"/>
        <v>7.7494422216439762E-4</v>
      </c>
      <c r="J639" s="20">
        <f t="shared" si="95"/>
        <v>0</v>
      </c>
      <c r="K639" s="10">
        <f t="shared" si="98"/>
        <v>5.5793556544065925E-3</v>
      </c>
      <c r="L639" s="10">
        <f t="shared" si="99"/>
        <v>3.3476133926439999E-3</v>
      </c>
    </row>
    <row r="640" spans="1:12" x14ac:dyDescent="0.2">
      <c r="A640" s="14">
        <v>0.57499999999999996</v>
      </c>
      <c r="B640" s="10">
        <f t="shared" si="89"/>
        <v>0.30228087187293351</v>
      </c>
      <c r="C640" s="10">
        <f t="shared" si="90"/>
        <v>2.2671065390470001E-2</v>
      </c>
      <c r="D640" s="10">
        <f t="shared" si="91"/>
        <v>1.4266041244052323</v>
      </c>
      <c r="E640" s="10">
        <f t="shared" si="92"/>
        <v>4.1645329163879525</v>
      </c>
      <c r="F640" s="10">
        <f t="shared" si="96"/>
        <v>2.3276691130716287E-2</v>
      </c>
      <c r="G640" s="10">
        <f t="shared" si="93"/>
        <v>-0.55320489855772659</v>
      </c>
      <c r="H640" s="10">
        <f t="shared" si="94"/>
        <v>0.36512116817673185</v>
      </c>
      <c r="I640" s="10">
        <f t="shared" si="97"/>
        <v>7.7920768481737346E-4</v>
      </c>
      <c r="J640" s="20">
        <f t="shared" si="95"/>
        <v>0</v>
      </c>
      <c r="K640" s="10">
        <f t="shared" si="98"/>
        <v>5.6049465429450773E-3</v>
      </c>
      <c r="L640" s="10">
        <f t="shared" si="99"/>
        <v>3.3629679257669576E-3</v>
      </c>
    </row>
    <row r="641" spans="1:12" x14ac:dyDescent="0.2">
      <c r="A641" s="14">
        <v>0.57599999999999996</v>
      </c>
      <c r="B641" s="10">
        <f t="shared" si="89"/>
        <v>0.30637420546393324</v>
      </c>
      <c r="C641" s="10">
        <f t="shared" si="90"/>
        <v>2.3284439615258914E-2</v>
      </c>
      <c r="D641" s="10">
        <f t="shared" si="91"/>
        <v>1.4322347251882295</v>
      </c>
      <c r="E641" s="10">
        <f t="shared" si="92"/>
        <v>4.1880478782432604</v>
      </c>
      <c r="F641" s="10">
        <f t="shared" si="96"/>
        <v>2.3514961855307881E-2</v>
      </c>
      <c r="G641" s="10">
        <f t="shared" si="93"/>
        <v>-0.54982653808792825</v>
      </c>
      <c r="H641" s="10">
        <f t="shared" si="94"/>
        <v>0.36590465441491438</v>
      </c>
      <c r="I641" s="10">
        <f t="shared" si="97"/>
        <v>7.8348623818252916E-4</v>
      </c>
      <c r="J641" s="20">
        <f t="shared" si="95"/>
        <v>0</v>
      </c>
      <c r="K641" s="10">
        <f t="shared" si="98"/>
        <v>5.6306007829971527E-3</v>
      </c>
      <c r="L641" s="10">
        <f t="shared" si="99"/>
        <v>3.378360469798336E-3</v>
      </c>
    </row>
    <row r="642" spans="1:12" x14ac:dyDescent="0.2">
      <c r="A642" s="14">
        <v>0.57699999999999996</v>
      </c>
      <c r="B642" s="10">
        <f t="shared" ref="B642:B705" si="100">LN(A642/(1-A642))</f>
        <v>0.31047008746182148</v>
      </c>
      <c r="C642" s="10">
        <f t="shared" ref="C642:C705" si="101">(A642-0.5)*B642</f>
        <v>2.390619673456024E-2</v>
      </c>
      <c r="D642" s="10">
        <f t="shared" ref="D642:D705" si="102">$B$45+$B$46*B642+$B$47*C642</f>
        <v>1.437891044119612</v>
      </c>
      <c r="E642" s="10">
        <f t="shared" ref="E642:E705" si="103">$B$14+EXP(D642)</f>
        <v>4.211803935322739</v>
      </c>
      <c r="F642" s="10">
        <f t="shared" si="96"/>
        <v>2.3756057079478587E-2</v>
      </c>
      <c r="G642" s="10">
        <f t="shared" ref="G642:G705" si="104">$C$45+$C$46*B642+$C$47*C642</f>
        <v>-0.54643274672909881</v>
      </c>
      <c r="H642" s="10">
        <f t="shared" ref="H642:H705" si="105">$C$14+($C$15-$C$14)/(1+EXP(-G642))</f>
        <v>0.36669243434180199</v>
      </c>
      <c r="I642" s="10">
        <f t="shared" si="97"/>
        <v>7.8777992688761067E-4</v>
      </c>
      <c r="J642" s="20">
        <f t="shared" ref="J642:J705" si="106">G642-($B$22+$B$21*D642)</f>
        <v>0</v>
      </c>
      <c r="K642" s="10">
        <f t="shared" si="98"/>
        <v>5.6563189313825202E-3</v>
      </c>
      <c r="L642" s="10">
        <f t="shared" si="99"/>
        <v>3.3937913588294455E-3</v>
      </c>
    </row>
    <row r="643" spans="1:12" x14ac:dyDescent="0.2">
      <c r="A643" s="14">
        <v>0.57799999999999996</v>
      </c>
      <c r="B643" s="10">
        <f t="shared" si="100"/>
        <v>0.31456855463636552</v>
      </c>
      <c r="C643" s="10">
        <f t="shared" si="101"/>
        <v>2.4536347261636497E-2</v>
      </c>
      <c r="D643" s="10">
        <f t="shared" si="102"/>
        <v>1.4435731456688148</v>
      </c>
      <c r="E643" s="10">
        <f t="shared" si="103"/>
        <v>4.2358039536867675</v>
      </c>
      <c r="F643" s="10">
        <f t="shared" ref="F643:F706" si="107">E643-E642</f>
        <v>2.4000018364028541E-2</v>
      </c>
      <c r="G643" s="10">
        <f t="shared" si="104"/>
        <v>-0.54302348579957704</v>
      </c>
      <c r="H643" s="10">
        <f t="shared" si="105"/>
        <v>0.36748452313658037</v>
      </c>
      <c r="I643" s="10">
        <f t="shared" ref="I643:I706" si="108">H643-H642</f>
        <v>7.9208879477837835E-4</v>
      </c>
      <c r="J643" s="20">
        <f t="shared" si="106"/>
        <v>0</v>
      </c>
      <c r="K643" s="10">
        <f t="shared" ref="K643:K706" si="109">D643-D642</f>
        <v>5.6821015492027893E-3</v>
      </c>
      <c r="L643" s="10">
        <f t="shared" ref="L643:L706" si="110">G643-G642</f>
        <v>3.4092609295217624E-3</v>
      </c>
    </row>
    <row r="644" spans="1:12" x14ac:dyDescent="0.2">
      <c r="A644" s="14">
        <v>0.57899999999999996</v>
      </c>
      <c r="B644" s="10">
        <f t="shared" si="100"/>
        <v>0.31866964389061359</v>
      </c>
      <c r="C644" s="10">
        <f t="shared" si="101"/>
        <v>2.5174901867358459E-2</v>
      </c>
      <c r="D644" s="10">
        <f t="shared" si="102"/>
        <v>1.4492810948707191</v>
      </c>
      <c r="E644" s="10">
        <f t="shared" si="103"/>
        <v>4.260050841654401</v>
      </c>
      <c r="F644" s="10">
        <f t="shared" si="107"/>
        <v>2.4246887967633413E-2</v>
      </c>
      <c r="G644" s="10">
        <f t="shared" si="104"/>
        <v>-0.53959871627843459</v>
      </c>
      <c r="H644" s="10">
        <f t="shared" si="105"/>
        <v>0.36828093602148182</v>
      </c>
      <c r="I644" s="10">
        <f t="shared" si="108"/>
        <v>7.9641288490145401E-4</v>
      </c>
      <c r="J644" s="20">
        <f t="shared" si="106"/>
        <v>0</v>
      </c>
      <c r="K644" s="10">
        <f t="shared" si="109"/>
        <v>5.7079492019043165E-3</v>
      </c>
      <c r="L644" s="10">
        <f t="shared" si="110"/>
        <v>3.4247695211424567E-3</v>
      </c>
    </row>
    <row r="645" spans="1:12" x14ac:dyDescent="0.2">
      <c r="A645" s="14">
        <v>0.57999999999999996</v>
      </c>
      <c r="B645" s="10">
        <f t="shared" si="100"/>
        <v>0.32277339226305085</v>
      </c>
      <c r="C645" s="10">
        <f t="shared" si="101"/>
        <v>2.5821871381044054E-2</v>
      </c>
      <c r="D645" s="10">
        <f t="shared" si="102"/>
        <v>1.4550149573300484</v>
      </c>
      <c r="E645" s="10">
        <f t="shared" si="103"/>
        <v>4.2845475505146666</v>
      </c>
      <c r="F645" s="10">
        <f t="shared" si="107"/>
        <v>2.449670886026567E-2</v>
      </c>
      <c r="G645" s="10">
        <f t="shared" si="104"/>
        <v>-0.536158398802837</v>
      </c>
      <c r="H645" s="10">
        <f t="shared" si="105"/>
        <v>0.36908168826096815</v>
      </c>
      <c r="I645" s="10">
        <f t="shared" si="108"/>
        <v>8.0075223948633534E-4</v>
      </c>
      <c r="J645" s="20">
        <f t="shared" si="106"/>
        <v>0</v>
      </c>
      <c r="K645" s="10">
        <f t="shared" si="109"/>
        <v>5.7338624593292753E-3</v>
      </c>
      <c r="L645" s="10">
        <f t="shared" si="110"/>
        <v>3.4403174755975874E-3</v>
      </c>
    </row>
    <row r="646" spans="1:12" x14ac:dyDescent="0.2">
      <c r="A646" s="14">
        <v>0.58099999999999996</v>
      </c>
      <c r="B646" s="10">
        <f t="shared" si="100"/>
        <v>0.32687983692977335</v>
      </c>
      <c r="C646" s="10">
        <f t="shared" si="101"/>
        <v>2.647726679131163E-2</v>
      </c>
      <c r="D646" s="10">
        <f t="shared" si="102"/>
        <v>1.4607747992258253</v>
      </c>
      <c r="E646" s="10">
        <f t="shared" si="103"/>
        <v>4.3092970752516182</v>
      </c>
      <c r="F646" s="10">
        <f t="shared" si="107"/>
        <v>2.4749524736951578E-2</v>
      </c>
      <c r="G646" s="10">
        <f t="shared" si="104"/>
        <v>-0.5327024936653707</v>
      </c>
      <c r="H646" s="10">
        <f t="shared" si="105"/>
        <v>0.36988679516089618</v>
      </c>
      <c r="I646" s="10">
        <f t="shared" si="108"/>
        <v>8.0510689992802087E-4</v>
      </c>
      <c r="J646" s="20">
        <f t="shared" si="106"/>
        <v>0</v>
      </c>
      <c r="K646" s="10">
        <f t="shared" si="109"/>
        <v>5.7598418957769404E-3</v>
      </c>
      <c r="L646" s="10">
        <f t="shared" si="110"/>
        <v>3.4559051374662975E-3</v>
      </c>
    </row>
    <row r="647" spans="1:12" x14ac:dyDescent="0.2">
      <c r="A647" s="14">
        <v>0.58199999999999996</v>
      </c>
      <c r="B647" s="10">
        <f t="shared" si="100"/>
        <v>0.33098901520668139</v>
      </c>
      <c r="C647" s="10">
        <f t="shared" si="101"/>
        <v>2.714109924694786E-2</v>
      </c>
      <c r="D647" s="10">
        <f t="shared" si="102"/>
        <v>1.4665606873158847</v>
      </c>
      <c r="E647" s="10">
        <f t="shared" si="103"/>
        <v>4.3343024552834208</v>
      </c>
      <c r="F647" s="10">
        <f t="shared" si="107"/>
        <v>2.5005380031802638E-2</v>
      </c>
      <c r="G647" s="10">
        <f t="shared" si="104"/>
        <v>-0.52923096081133514</v>
      </c>
      <c r="H647" s="10">
        <f t="shared" si="105"/>
        <v>0.37069627206766453</v>
      </c>
      <c r="I647" s="10">
        <f t="shared" si="108"/>
        <v>8.0947690676835826E-4</v>
      </c>
      <c r="J647" s="20">
        <f t="shared" si="106"/>
        <v>0</v>
      </c>
      <c r="K647" s="10">
        <f t="shared" si="109"/>
        <v>5.7858880900594212E-3</v>
      </c>
      <c r="L647" s="10">
        <f t="shared" si="110"/>
        <v>3.4715328540355639E-3</v>
      </c>
    </row>
    <row r="648" spans="1:12" x14ac:dyDescent="0.2">
      <c r="A648" s="14">
        <v>0.58299999999999996</v>
      </c>
      <c r="B648" s="10">
        <f t="shared" si="100"/>
        <v>0.33510096455169075</v>
      </c>
      <c r="C648" s="10">
        <f t="shared" si="101"/>
        <v>2.781338005779032E-2</v>
      </c>
      <c r="D648" s="10">
        <f t="shared" si="102"/>
        <v>1.4723726889414455</v>
      </c>
      <c r="E648" s="10">
        <f t="shared" si="103"/>
        <v>4.3595667752157787</v>
      </c>
      <c r="F648" s="10">
        <f t="shared" si="107"/>
        <v>2.5264319932357893E-2</v>
      </c>
      <c r="G648" s="10">
        <f t="shared" si="104"/>
        <v>-0.52574375983599853</v>
      </c>
      <c r="H648" s="10">
        <f t="shared" si="105"/>
        <v>0.37151013436734293</v>
      </c>
      <c r="I648" s="10">
        <f t="shared" si="108"/>
        <v>8.1386229967839174E-4</v>
      </c>
      <c r="J648" s="20">
        <f t="shared" si="106"/>
        <v>0</v>
      </c>
      <c r="K648" s="10">
        <f t="shared" si="109"/>
        <v>5.8120016255607254E-3</v>
      </c>
      <c r="L648" s="10">
        <f t="shared" si="110"/>
        <v>3.4872009753366129E-3</v>
      </c>
    </row>
    <row r="649" spans="1:12" x14ac:dyDescent="0.2">
      <c r="A649" s="14">
        <v>0.58399999999999996</v>
      </c>
      <c r="B649" s="10">
        <f t="shared" si="100"/>
        <v>0.3392157225669637</v>
      </c>
      <c r="C649" s="10">
        <f t="shared" si="101"/>
        <v>2.8494120695624937E-2</v>
      </c>
      <c r="D649" s="10">
        <f t="shared" si="102"/>
        <v>1.4782108720317437</v>
      </c>
      <c r="E649" s="10">
        <f t="shared" si="103"/>
        <v>4.3850931656100185</v>
      </c>
      <c r="F649" s="10">
        <f t="shared" si="107"/>
        <v>2.5526390394239762E-2</v>
      </c>
      <c r="G649" s="10">
        <f t="shared" si="104"/>
        <v>-0.52224084998181974</v>
      </c>
      <c r="H649" s="10">
        <f t="shared" si="105"/>
        <v>0.37232839748478164</v>
      </c>
      <c r="I649" s="10">
        <f t="shared" si="108"/>
        <v>8.1826311743871116E-4</v>
      </c>
      <c r="J649" s="20">
        <f t="shared" si="106"/>
        <v>0</v>
      </c>
      <c r="K649" s="10">
        <f t="shared" si="109"/>
        <v>5.8381830902982657E-3</v>
      </c>
      <c r="L649" s="10">
        <f t="shared" si="110"/>
        <v>3.5029098541787818E-3</v>
      </c>
    </row>
    <row r="650" spans="1:12" x14ac:dyDescent="0.2">
      <c r="A650" s="14">
        <v>0.58499999999999996</v>
      </c>
      <c r="B650" s="10">
        <f t="shared" si="100"/>
        <v>0.34333332700115804</v>
      </c>
      <c r="C650" s="10">
        <f t="shared" si="101"/>
        <v>2.918333279509842E-2</v>
      </c>
      <c r="D650" s="10">
        <f t="shared" si="102"/>
        <v>1.4840753051087228</v>
      </c>
      <c r="E650" s="10">
        <f t="shared" si="103"/>
        <v>4.410884803766133</v>
      </c>
      <c r="F650" s="10">
        <f t="shared" si="107"/>
        <v>2.5791638156114516E-2</v>
      </c>
      <c r="G650" s="10">
        <f t="shared" si="104"/>
        <v>-0.51872219013563237</v>
      </c>
      <c r="H650" s="10">
        <f t="shared" si="105"/>
        <v>0.37315107688270271</v>
      </c>
      <c r="I650" s="10">
        <f t="shared" si="108"/>
        <v>8.226793979210778E-4</v>
      </c>
      <c r="J650" s="20">
        <f t="shared" si="106"/>
        <v>0</v>
      </c>
      <c r="K650" s="10">
        <f t="shared" si="109"/>
        <v>5.8644330769790365E-3</v>
      </c>
      <c r="L650" s="10">
        <f t="shared" si="110"/>
        <v>3.5186598461873775E-3</v>
      </c>
    </row>
    <row r="651" spans="1:12" x14ac:dyDescent="0.2">
      <c r="A651" s="14">
        <v>0.58599999999999997</v>
      </c>
      <c r="B651" s="10">
        <f t="shared" si="100"/>
        <v>0.34745381575169815</v>
      </c>
      <c r="C651" s="10">
        <f t="shared" si="101"/>
        <v>2.9881028154646029E-2</v>
      </c>
      <c r="D651" s="10">
        <f t="shared" si="102"/>
        <v>1.4899660572917883</v>
      </c>
      <c r="E651" s="10">
        <f t="shared" si="103"/>
        <v>4.4369449145211322</v>
      </c>
      <c r="F651" s="10">
        <f t="shared" si="107"/>
        <v>2.6060110754999144E-2</v>
      </c>
      <c r="G651" s="10">
        <f t="shared" si="104"/>
        <v>-0.51518773882579294</v>
      </c>
      <c r="H651" s="10">
        <f t="shared" si="105"/>
        <v>0.3739781880607716</v>
      </c>
      <c r="I651" s="10">
        <f t="shared" si="108"/>
        <v>8.2711117806888446E-4</v>
      </c>
      <c r="J651" s="20">
        <f t="shared" si="106"/>
        <v>0</v>
      </c>
      <c r="K651" s="10">
        <f t="shared" si="109"/>
        <v>5.8907521830655618E-3</v>
      </c>
      <c r="L651" s="10">
        <f t="shared" si="110"/>
        <v>3.5344513098394259E-3</v>
      </c>
    </row>
    <row r="652" spans="1:12" x14ac:dyDescent="0.2">
      <c r="A652" s="14">
        <v>0.58699999999999997</v>
      </c>
      <c r="B652" s="10">
        <f t="shared" si="100"/>
        <v>0.3515772268670635</v>
      </c>
      <c r="C652" s="10">
        <f t="shared" si="101"/>
        <v>3.0587218737434512E-2</v>
      </c>
      <c r="D652" s="10">
        <f t="shared" si="102"/>
        <v>1.4958831983026237</v>
      </c>
      <c r="E652" s="10">
        <f t="shared" si="103"/>
        <v>4.463276771063021</v>
      </c>
      <c r="F652" s="10">
        <f t="shared" si="107"/>
        <v>2.6331856541888854E-2</v>
      </c>
      <c r="G652" s="10">
        <f t="shared" si="104"/>
        <v>-0.51163745421929174</v>
      </c>
      <c r="H652" s="10">
        <f t="shared" si="105"/>
        <v>0.37480974655464938</v>
      </c>
      <c r="I652" s="10">
        <f t="shared" si="108"/>
        <v>8.3155849387778202E-4</v>
      </c>
      <c r="J652" s="20">
        <f t="shared" si="106"/>
        <v>0</v>
      </c>
      <c r="K652" s="10">
        <f t="shared" si="109"/>
        <v>5.9171410108354028E-3</v>
      </c>
      <c r="L652" s="10">
        <f t="shared" si="110"/>
        <v>3.5502846065011973E-3</v>
      </c>
    </row>
    <row r="653" spans="1:12" x14ac:dyDescent="0.2">
      <c r="A653" s="14">
        <v>0.58799999999999997</v>
      </c>
      <c r="B653" s="10">
        <f t="shared" si="100"/>
        <v>0.35570359854910039</v>
      </c>
      <c r="C653" s="10">
        <f t="shared" si="101"/>
        <v>3.1301916672320823E-2</v>
      </c>
      <c r="D653" s="10">
        <f t="shared" si="102"/>
        <v>1.5018267984700677</v>
      </c>
      <c r="E653" s="10">
        <f t="shared" si="103"/>
        <v>4.4898836957607502</v>
      </c>
      <c r="F653" s="10">
        <f t="shared" si="107"/>
        <v>2.6606924697729184E-2</v>
      </c>
      <c r="G653" s="10">
        <f t="shared" si="104"/>
        <v>-0.50807129411882523</v>
      </c>
      <c r="H653" s="10">
        <f t="shared" si="105"/>
        <v>0.37564576793502469</v>
      </c>
      <c r="I653" s="10">
        <f t="shared" si="108"/>
        <v>8.3602138037530693E-4</v>
      </c>
      <c r="J653" s="20">
        <f t="shared" si="106"/>
        <v>0</v>
      </c>
      <c r="K653" s="10">
        <f t="shared" si="109"/>
        <v>5.9436001674439964E-3</v>
      </c>
      <c r="L653" s="10">
        <f t="shared" si="110"/>
        <v>3.5661601004665089E-3</v>
      </c>
    </row>
    <row r="654" spans="1:12" x14ac:dyDescent="0.2">
      <c r="A654" s="14">
        <v>0.58899999999999997</v>
      </c>
      <c r="B654" s="10">
        <f t="shared" si="100"/>
        <v>0.35983296915535207</v>
      </c>
      <c r="C654" s="10">
        <f t="shared" si="101"/>
        <v>3.2025134254826323E-2</v>
      </c>
      <c r="D654" s="10">
        <f t="shared" si="102"/>
        <v>1.5077969287350559</v>
      </c>
      <c r="E654" s="10">
        <f t="shared" si="103"/>
        <v>4.5167690610104811</v>
      </c>
      <c r="F654" s="10">
        <f t="shared" si="107"/>
        <v>2.6885365249730953E-2</v>
      </c>
      <c r="G654" s="10">
        <f t="shared" si="104"/>
        <v>-0.50448921595983232</v>
      </c>
      <c r="H654" s="10">
        <f t="shared" si="105"/>
        <v>0.37648626780662592</v>
      </c>
      <c r="I654" s="10">
        <f t="shared" si="108"/>
        <v>8.4049987160123019E-4</v>
      </c>
      <c r="J654" s="20">
        <f t="shared" si="106"/>
        <v>0</v>
      </c>
      <c r="K654" s="10">
        <f t="shared" si="109"/>
        <v>5.9701302649881605E-3</v>
      </c>
      <c r="L654" s="10">
        <f t="shared" si="110"/>
        <v>3.5820781589929185E-3</v>
      </c>
    </row>
    <row r="655" spans="1:12" x14ac:dyDescent="0.2">
      <c r="A655" s="14">
        <v>0.59</v>
      </c>
      <c r="B655" s="10">
        <f t="shared" si="100"/>
        <v>0.36396537720141148</v>
      </c>
      <c r="C655" s="10">
        <f t="shared" si="101"/>
        <v>3.2756883948127022E-2</v>
      </c>
      <c r="D655" s="10">
        <f t="shared" si="102"/>
        <v>1.5137936606556275</v>
      </c>
      <c r="E655" s="10">
        <f t="shared" si="103"/>
        <v>4.5439362900985474</v>
      </c>
      <c r="F655" s="10">
        <f t="shared" si="107"/>
        <v>2.7167229088066236E-2</v>
      </c>
      <c r="G655" s="10">
        <f t="shared" si="104"/>
        <v>-0.50089117680748951</v>
      </c>
      <c r="H655" s="10">
        <f t="shared" si="105"/>
        <v>0.37733126180721216</v>
      </c>
      <c r="I655" s="10">
        <f t="shared" si="108"/>
        <v>8.4499400058624108E-4</v>
      </c>
      <c r="J655" s="20">
        <f t="shared" si="106"/>
        <v>0</v>
      </c>
      <c r="K655" s="10">
        <f t="shared" si="109"/>
        <v>5.9967319205715963E-3</v>
      </c>
      <c r="L655" s="10">
        <f t="shared" si="110"/>
        <v>3.5980391523428024E-3</v>
      </c>
    </row>
    <row r="656" spans="1:12" x14ac:dyDescent="0.2">
      <c r="A656" s="14">
        <v>0.59099999999999997</v>
      </c>
      <c r="B656" s="10">
        <f t="shared" si="100"/>
        <v>0.36810086136329628</v>
      </c>
      <c r="C656" s="10">
        <f t="shared" si="101"/>
        <v>3.3497178384059953E-2</v>
      </c>
      <c r="D656" s="10">
        <f t="shared" si="102"/>
        <v>1.5198170664119977</v>
      </c>
      <c r="E656" s="10">
        <f t="shared" si="103"/>
        <v>4.571388858081459</v>
      </c>
      <c r="F656" s="10">
        <f t="shared" si="107"/>
        <v>2.7452567982911624E-2</v>
      </c>
      <c r="G656" s="10">
        <f t="shared" si="104"/>
        <v>-0.49727713335366752</v>
      </c>
      <c r="H656" s="10">
        <f t="shared" si="105"/>
        <v>0.37818076560654423</v>
      </c>
      <c r="I656" s="10">
        <f t="shared" si="108"/>
        <v>8.4950379933207421E-4</v>
      </c>
      <c r="J656" s="20">
        <f t="shared" si="106"/>
        <v>0</v>
      </c>
      <c r="K656" s="10">
        <f t="shared" si="109"/>
        <v>6.0234057563701704E-3</v>
      </c>
      <c r="L656" s="10">
        <f t="shared" si="110"/>
        <v>3.6140434538219912E-3</v>
      </c>
    </row>
    <row r="657" spans="1:12" x14ac:dyDescent="0.2">
      <c r="A657" s="14">
        <v>0.59199999999999997</v>
      </c>
      <c r="B657" s="10">
        <f t="shared" si="100"/>
        <v>0.3722394604798438</v>
      </c>
      <c r="C657" s="10">
        <f t="shared" si="101"/>
        <v>3.424603036414562E-2</v>
      </c>
      <c r="D657" s="10">
        <f t="shared" si="102"/>
        <v>1.5258672188116942</v>
      </c>
      <c r="E657" s="10">
        <f t="shared" si="103"/>
        <v>4.5991302926833235</v>
      </c>
      <c r="F657" s="10">
        <f t="shared" si="107"/>
        <v>2.7741434601864512E-2</v>
      </c>
      <c r="G657" s="10">
        <f t="shared" si="104"/>
        <v>-0.49364704191384945</v>
      </c>
      <c r="H657" s="10">
        <f t="shared" si="105"/>
        <v>0.37903479490533398</v>
      </c>
      <c r="I657" s="10">
        <f t="shared" si="108"/>
        <v>8.5402929878974909E-4</v>
      </c>
      <c r="J657" s="20">
        <f t="shared" si="106"/>
        <v>0</v>
      </c>
      <c r="K657" s="10">
        <f t="shared" si="109"/>
        <v>6.050152399696529E-3</v>
      </c>
      <c r="L657" s="10">
        <f t="shared" si="110"/>
        <v>3.6300914398180728E-3</v>
      </c>
    </row>
    <row r="658" spans="1:12" x14ac:dyDescent="0.2">
      <c r="A658" s="14">
        <v>0.59299999999999997</v>
      </c>
      <c r="B658" s="10">
        <f t="shared" si="100"/>
        <v>0.37638121355513038</v>
      </c>
      <c r="C658" s="10">
        <f t="shared" si="101"/>
        <v>3.5003452860627116E-2</v>
      </c>
      <c r="D658" s="10">
        <f t="shared" si="102"/>
        <v>1.5319441912947653</v>
      </c>
      <c r="E658" s="10">
        <f t="shared" si="103"/>
        <v>4.6271641752111039</v>
      </c>
      <c r="F658" s="10">
        <f t="shared" si="107"/>
        <v>2.8033882527780385E-2</v>
      </c>
      <c r="G658" s="10">
        <f t="shared" si="104"/>
        <v>-0.49000085842400676</v>
      </c>
      <c r="H658" s="10">
        <f t="shared" si="105"/>
        <v>0.37989336543417185</v>
      </c>
      <c r="I658" s="10">
        <f t="shared" si="108"/>
        <v>8.5857052883786533E-4</v>
      </c>
      <c r="J658" s="20">
        <f t="shared" si="106"/>
        <v>0</v>
      </c>
      <c r="K658" s="10">
        <f t="shared" si="109"/>
        <v>6.0769724830711525E-3</v>
      </c>
      <c r="L658" s="10">
        <f t="shared" si="110"/>
        <v>3.6461834898426915E-3</v>
      </c>
    </row>
    <row r="659" spans="1:12" x14ac:dyDescent="0.2">
      <c r="A659" s="14">
        <v>0.59399999999999997</v>
      </c>
      <c r="B659" s="10">
        <f t="shared" si="100"/>
        <v>0.3805261597609122</v>
      </c>
      <c r="C659" s="10">
        <f t="shared" si="101"/>
        <v>3.5769459017525734E-2</v>
      </c>
      <c r="D659" s="10">
        <f t="shared" si="102"/>
        <v>1.5380480579390499</v>
      </c>
      <c r="E659" s="10">
        <f t="shared" si="103"/>
        <v>4.6554941414880471</v>
      </c>
      <c r="F659" s="10">
        <f t="shared" si="107"/>
        <v>2.8329966276943175E-2</v>
      </c>
      <c r="G659" s="10">
        <f t="shared" si="104"/>
        <v>-0.48633853843743602</v>
      </c>
      <c r="H659" s="10">
        <f t="shared" si="105"/>
        <v>0.38075649295243297</v>
      </c>
      <c r="I659" s="10">
        <f t="shared" si="108"/>
        <v>8.6312751826111977E-4</v>
      </c>
      <c r="J659" s="20">
        <f t="shared" si="106"/>
        <v>0</v>
      </c>
      <c r="K659" s="10">
        <f t="shared" si="109"/>
        <v>6.103866644284528E-3</v>
      </c>
      <c r="L659" s="10">
        <f t="shared" si="110"/>
        <v>3.662319986570739E-3</v>
      </c>
    </row>
    <row r="660" spans="1:12" x14ac:dyDescent="0.2">
      <c r="A660" s="14">
        <v>0.59499999999999997</v>
      </c>
      <c r="B660" s="10">
        <f t="shared" si="100"/>
        <v>0.38467433843909055</v>
      </c>
      <c r="C660" s="10">
        <f t="shared" si="101"/>
        <v>3.6544062151713588E-2</v>
      </c>
      <c r="D660" s="10">
        <f t="shared" si="102"/>
        <v>1.5441788934655227</v>
      </c>
      <c r="E660" s="10">
        <f t="shared" si="103"/>
        <v>4.684123882805765</v>
      </c>
      <c r="F660" s="10">
        <f t="shared" si="107"/>
        <v>2.8629741317717894E-2</v>
      </c>
      <c r="G660" s="10">
        <f t="shared" si="104"/>
        <v>-0.48266003712155237</v>
      </c>
      <c r="H660" s="10">
        <f t="shared" si="105"/>
        <v>0.38162419324716179</v>
      </c>
      <c r="I660" s="10">
        <f t="shared" si="108"/>
        <v>8.6770029472882371E-4</v>
      </c>
      <c r="J660" s="20">
        <f t="shared" si="106"/>
        <v>0</v>
      </c>
      <c r="K660" s="10">
        <f t="shared" si="109"/>
        <v>6.1308355264728664E-3</v>
      </c>
      <c r="L660" s="10">
        <f t="shared" si="110"/>
        <v>3.6785013158836533E-3</v>
      </c>
    </row>
    <row r="661" spans="1:12" x14ac:dyDescent="0.2">
      <c r="A661" s="14">
        <v>0.59599999999999997</v>
      </c>
      <c r="B661" s="10">
        <f t="shared" si="100"/>
        <v>0.38882578910419952</v>
      </c>
      <c r="C661" s="10">
        <f t="shared" si="101"/>
        <v>3.7327275754003145E-2</v>
      </c>
      <c r="D661" s="10">
        <f t="shared" si="102"/>
        <v>1.5503367732437054</v>
      </c>
      <c r="E661" s="10">
        <f t="shared" si="103"/>
        <v>4.7130571468953129</v>
      </c>
      <c r="F661" s="10">
        <f t="shared" si="107"/>
        <v>2.8933264089547883E-2</v>
      </c>
      <c r="G661" s="10">
        <f t="shared" si="104"/>
        <v>-0.47896530925464281</v>
      </c>
      <c r="H661" s="10">
        <f t="shared" si="105"/>
        <v>0.38249648213193244</v>
      </c>
      <c r="I661" s="10">
        <f t="shared" si="108"/>
        <v>8.7228888477064448E-4</v>
      </c>
      <c r="J661" s="20">
        <f t="shared" si="106"/>
        <v>0</v>
      </c>
      <c r="K661" s="10">
        <f t="shared" si="109"/>
        <v>6.1578797781827177E-3</v>
      </c>
      <c r="L661" s="10">
        <f t="shared" si="110"/>
        <v>3.6947278669095529E-3</v>
      </c>
    </row>
    <row r="662" spans="1:12" x14ac:dyDescent="0.2">
      <c r="A662" s="14">
        <v>0.59699999999999998</v>
      </c>
      <c r="B662" s="10">
        <f t="shared" si="100"/>
        <v>0.39298055144591904</v>
      </c>
      <c r="C662" s="10">
        <f t="shared" si="101"/>
        <v>3.8119113490254139E-2</v>
      </c>
      <c r="D662" s="10">
        <f t="shared" si="102"/>
        <v>1.5565217732971508</v>
      </c>
      <c r="E662" s="10">
        <f t="shared" si="103"/>
        <v>4.7422977389177383</v>
      </c>
      <c r="F662" s="10">
        <f t="shared" si="107"/>
        <v>2.924059202242546E-2</v>
      </c>
      <c r="G662" s="10">
        <f t="shared" si="104"/>
        <v>-0.47525430922257555</v>
      </c>
      <c r="H662" s="10">
        <f t="shared" si="105"/>
        <v>0.38337337544568839</v>
      </c>
      <c r="I662" s="10">
        <f t="shared" si="108"/>
        <v>8.7689331375595536E-4</v>
      </c>
      <c r="J662" s="20">
        <f t="shared" si="106"/>
        <v>0</v>
      </c>
      <c r="K662" s="10">
        <f t="shared" si="109"/>
        <v>6.1850000534453553E-3</v>
      </c>
      <c r="L662" s="10">
        <f t="shared" si="110"/>
        <v>3.7110000320672576E-3</v>
      </c>
    </row>
    <row r="663" spans="1:12" x14ac:dyDescent="0.2">
      <c r="A663" s="14">
        <v>0.59799999999999998</v>
      </c>
      <c r="B663" s="10">
        <f t="shared" si="100"/>
        <v>0.39713866533161052</v>
      </c>
      <c r="C663" s="10">
        <f t="shared" si="101"/>
        <v>3.8919589202497822E-2</v>
      </c>
      <c r="D663" s="10">
        <f t="shared" si="102"/>
        <v>1.5627339703089982</v>
      </c>
      <c r="E663" s="10">
        <f t="shared" si="103"/>
        <v>4.7718495224745094</v>
      </c>
      <c r="F663" s="10">
        <f t="shared" si="107"/>
        <v>2.9551783556771127E-2</v>
      </c>
      <c r="G663" s="10">
        <f t="shared" si="104"/>
        <v>-0.47152699101546697</v>
      </c>
      <c r="H663" s="10">
        <f t="shared" si="105"/>
        <v>0.38425488905155719</v>
      </c>
      <c r="I663" s="10">
        <f t="shared" si="108"/>
        <v>8.8151360586880001E-4</v>
      </c>
      <c r="J663" s="20">
        <f t="shared" si="106"/>
        <v>0</v>
      </c>
      <c r="K663" s="10">
        <f t="shared" si="109"/>
        <v>6.2121970118473868E-3</v>
      </c>
      <c r="L663" s="10">
        <f t="shared" si="110"/>
        <v>3.7273182071085875E-3</v>
      </c>
    </row>
    <row r="664" spans="1:12" x14ac:dyDescent="0.2">
      <c r="A664" s="14">
        <v>0.59899999999999998</v>
      </c>
      <c r="B664" s="10">
        <f t="shared" si="100"/>
        <v>0.40130017080888009</v>
      </c>
      <c r="C664" s="10">
        <f t="shared" si="101"/>
        <v>3.972871691007912E-2</v>
      </c>
      <c r="D664" s="10">
        <f t="shared" si="102"/>
        <v>1.5689734416276029</v>
      </c>
      <c r="E664" s="10">
        <f t="shared" si="103"/>
        <v>4.8017164206382938</v>
      </c>
      <c r="F664" s="10">
        <f t="shared" si="107"/>
        <v>2.9866898163784406E-2</v>
      </c>
      <c r="G664" s="10">
        <f t="shared" si="104"/>
        <v>-0.46778330822430425</v>
      </c>
      <c r="H664" s="10">
        <f t="shared" si="105"/>
        <v>0.3851410388356431</v>
      </c>
      <c r="I664" s="10">
        <f t="shared" si="108"/>
        <v>8.8614978408591005E-4</v>
      </c>
      <c r="J664" s="20">
        <f t="shared" si="106"/>
        <v>0</v>
      </c>
      <c r="K664" s="10">
        <f t="shared" si="109"/>
        <v>6.2394713186046946E-3</v>
      </c>
      <c r="L664" s="10">
        <f t="shared" si="110"/>
        <v>3.7436827911627168E-3</v>
      </c>
    </row>
    <row r="665" spans="1:12" x14ac:dyDescent="0.2">
      <c r="A665" s="14">
        <v>0.6</v>
      </c>
      <c r="B665" s="10">
        <f t="shared" si="100"/>
        <v>0.40546510810816422</v>
      </c>
      <c r="C665" s="10">
        <f t="shared" si="101"/>
        <v>4.0546510810816415E-2</v>
      </c>
      <c r="D665" s="10">
        <f t="shared" si="102"/>
        <v>1.575240265272237</v>
      </c>
      <c r="E665" s="10">
        <f t="shared" si="103"/>
        <v>4.8319024170045077</v>
      </c>
      <c r="F665" s="10">
        <f t="shared" si="107"/>
        <v>3.0185996366213885E-2</v>
      </c>
      <c r="G665" s="10">
        <f t="shared" si="104"/>
        <v>-0.46402321403752378</v>
      </c>
      <c r="H665" s="10">
        <f t="shared" si="105"/>
        <v>0.38603184070579505</v>
      </c>
      <c r="I665" s="10">
        <f t="shared" si="108"/>
        <v>8.9080187015194712E-4</v>
      </c>
      <c r="J665" s="20">
        <f t="shared" si="106"/>
        <v>0</v>
      </c>
      <c r="K665" s="10">
        <f t="shared" si="109"/>
        <v>6.2668236446341563E-3</v>
      </c>
      <c r="L665" s="10">
        <f t="shared" si="110"/>
        <v>3.7600941867804716E-3</v>
      </c>
    </row>
    <row r="666" spans="1:12" x14ac:dyDescent="0.2">
      <c r="A666" s="14">
        <v>0.60099999999999998</v>
      </c>
      <c r="B666" s="10">
        <f t="shared" si="100"/>
        <v>0.409633517645344</v>
      </c>
      <c r="C666" s="10">
        <f t="shared" si="101"/>
        <v>4.1372985282179739E-2</v>
      </c>
      <c r="D666" s="10">
        <f t="shared" si="102"/>
        <v>1.5815345199388688</v>
      </c>
      <c r="E666" s="10">
        <f t="shared" si="103"/>
        <v>4.8624115567641537</v>
      </c>
      <c r="F666" s="10">
        <f t="shared" si="107"/>
        <v>3.0509139759645976E-2</v>
      </c>
      <c r="G666" s="10">
        <f t="shared" si="104"/>
        <v>-0.4602466612375446</v>
      </c>
      <c r="H666" s="10">
        <f t="shared" si="105"/>
        <v>0.38692731059035057</v>
      </c>
      <c r="I666" s="10">
        <f t="shared" si="108"/>
        <v>8.9546988455552201E-4</v>
      </c>
      <c r="J666" s="20">
        <f t="shared" si="106"/>
        <v>0</v>
      </c>
      <c r="K666" s="10">
        <f t="shared" si="109"/>
        <v>6.2942546666318044E-3</v>
      </c>
      <c r="L666" s="10">
        <f t="shared" si="110"/>
        <v>3.7765527999791826E-3</v>
      </c>
    </row>
    <row r="667" spans="1:12" x14ac:dyDescent="0.2">
      <c r="A667" s="14">
        <v>0.60199999999999998</v>
      </c>
      <c r="B667" s="10">
        <f t="shared" si="100"/>
        <v>0.41380544002438319</v>
      </c>
      <c r="C667" s="10">
        <f t="shared" si="101"/>
        <v>4.2208154882487074E-2</v>
      </c>
      <c r="D667" s="10">
        <f t="shared" si="102"/>
        <v>1.5878562850060165</v>
      </c>
      <c r="E667" s="10">
        <f t="shared" si="103"/>
        <v>4.8932479477983923</v>
      </c>
      <c r="F667" s="10">
        <f t="shared" si="107"/>
        <v>3.083639103423863E-2</v>
      </c>
      <c r="G667" s="10">
        <f t="shared" si="104"/>
        <v>-0.456453602197256</v>
      </c>
      <c r="H667" s="10">
        <f t="shared" si="105"/>
        <v>0.38782746443685545</v>
      </c>
      <c r="I667" s="10">
        <f t="shared" si="108"/>
        <v>9.0015384650488084E-4</v>
      </c>
      <c r="J667" s="20">
        <f t="shared" si="106"/>
        <v>0</v>
      </c>
      <c r="K667" s="10">
        <f t="shared" si="109"/>
        <v>6.3217650671476555E-3</v>
      </c>
      <c r="L667" s="10">
        <f t="shared" si="110"/>
        <v>3.7930590402885933E-3</v>
      </c>
    </row>
    <row r="668" spans="1:12" x14ac:dyDescent="0.2">
      <c r="A668" s="14">
        <v>0.60299999999999998</v>
      </c>
      <c r="B668" s="10">
        <f t="shared" si="100"/>
        <v>0.41798091603999493</v>
      </c>
      <c r="C668" s="10">
        <f t="shared" si="101"/>
        <v>4.3052034352119468E-2</v>
      </c>
      <c r="D668" s="10">
        <f t="shared" si="102"/>
        <v>1.5942056405406788</v>
      </c>
      <c r="E668" s="10">
        <f t="shared" si="103"/>
        <v>4.9244157617953528</v>
      </c>
      <c r="F668" s="10">
        <f t="shared" si="107"/>
        <v>3.1167813996960447E-2</v>
      </c>
      <c r="G668" s="10">
        <f t="shared" si="104"/>
        <v>-0.45264398887645868</v>
      </c>
      <c r="H668" s="10">
        <f t="shared" si="105"/>
        <v>0.38873231821075865</v>
      </c>
      <c r="I668" s="10">
        <f t="shared" si="108"/>
        <v>9.0485377390320254E-4</v>
      </c>
      <c r="J668" s="20">
        <f t="shared" si="106"/>
        <v>0</v>
      </c>
      <c r="K668" s="10">
        <f t="shared" si="109"/>
        <v>6.3493555346623154E-3</v>
      </c>
      <c r="L668" s="10">
        <f t="shared" si="110"/>
        <v>3.8096133207973226E-3</v>
      </c>
    </row>
    <row r="669" spans="1:12" x14ac:dyDescent="0.2">
      <c r="A669" s="14">
        <v>0.60399999999999998</v>
      </c>
      <c r="B669" s="10">
        <f t="shared" si="100"/>
        <v>0.42215998668033428</v>
      </c>
      <c r="C669" s="10">
        <f t="shared" si="101"/>
        <v>4.3904638614754757E-2</v>
      </c>
      <c r="D669" s="10">
        <f t="shared" si="102"/>
        <v>1.6005826673043446</v>
      </c>
      <c r="E669" s="10">
        <f t="shared" si="103"/>
        <v>4.9559192353896862</v>
      </c>
      <c r="F669" s="10">
        <f t="shared" si="107"/>
        <v>3.1503473594333364E-2</v>
      </c>
      <c r="G669" s="10">
        <f t="shared" si="104"/>
        <v>-0.44881777281825913</v>
      </c>
      <c r="H669" s="10">
        <f t="shared" si="105"/>
        <v>0.38964188789408127</v>
      </c>
      <c r="I669" s="10">
        <f t="shared" si="108"/>
        <v>9.0956968332261967E-4</v>
      </c>
      <c r="J669" s="20">
        <f t="shared" si="106"/>
        <v>0</v>
      </c>
      <c r="K669" s="10">
        <f t="shared" si="109"/>
        <v>6.3770267636658051E-3</v>
      </c>
      <c r="L669" s="10">
        <f t="shared" si="110"/>
        <v>3.8262160581995497E-3</v>
      </c>
    </row>
    <row r="670" spans="1:12" x14ac:dyDescent="0.2">
      <c r="A670" s="14">
        <v>0.60499999999999998</v>
      </c>
      <c r="B670" s="10">
        <f t="shared" si="100"/>
        <v>0.42634269312971956</v>
      </c>
      <c r="C670" s="10">
        <f t="shared" si="101"/>
        <v>4.4765982778620546E-2</v>
      </c>
      <c r="D670" s="10">
        <f t="shared" si="102"/>
        <v>1.6069874467590828</v>
      </c>
      <c r="E670" s="10">
        <f t="shared" si="103"/>
        <v>4.9877626713253882</v>
      </c>
      <c r="F670" s="10">
        <f t="shared" si="107"/>
        <v>3.1843435935702047E-2</v>
      </c>
      <c r="G670" s="10">
        <f t="shared" si="104"/>
        <v>-0.44497490514541638</v>
      </c>
      <c r="H670" s="10">
        <f t="shared" si="105"/>
        <v>0.39055618948406068</v>
      </c>
      <c r="I670" s="10">
        <f t="shared" si="108"/>
        <v>9.1430158997940492E-4</v>
      </c>
      <c r="J670" s="20">
        <f t="shared" si="106"/>
        <v>0</v>
      </c>
      <c r="K670" s="10">
        <f t="shared" si="109"/>
        <v>6.4047794547381631E-3</v>
      </c>
      <c r="L670" s="10">
        <f t="shared" si="110"/>
        <v>3.8428676728427535E-3</v>
      </c>
    </row>
    <row r="671" spans="1:12" x14ac:dyDescent="0.2">
      <c r="A671" s="14">
        <v>0.60599999999999998</v>
      </c>
      <c r="B671" s="10">
        <f t="shared" si="100"/>
        <v>0.43052907677138053</v>
      </c>
      <c r="C671" s="10">
        <f t="shared" si="101"/>
        <v>4.5636082137766328E-2</v>
      </c>
      <c r="D671" s="10">
        <f t="shared" si="102"/>
        <v>1.6134200610737104</v>
      </c>
      <c r="E671" s="10">
        <f t="shared" si="103"/>
        <v>5.0199504396424102</v>
      </c>
      <c r="F671" s="10">
        <f t="shared" si="107"/>
        <v>3.218776831702197E-2</v>
      </c>
      <c r="G671" s="10">
        <f t="shared" si="104"/>
        <v>-0.44111533655663981</v>
      </c>
      <c r="H671" s="10">
        <f t="shared" si="105"/>
        <v>0.39147523899176845</v>
      </c>
      <c r="I671" s="10">
        <f t="shared" si="108"/>
        <v>9.1904950770776983E-4</v>
      </c>
      <c r="J671" s="20">
        <f t="shared" si="106"/>
        <v>0</v>
      </c>
      <c r="K671" s="10">
        <f t="shared" si="109"/>
        <v>6.4326143146276049E-3</v>
      </c>
      <c r="L671" s="10">
        <f t="shared" si="110"/>
        <v>3.8595685887765629E-3</v>
      </c>
    </row>
    <row r="672" spans="1:12" x14ac:dyDescent="0.2">
      <c r="A672" s="14">
        <v>0.60699999999999998</v>
      </c>
      <c r="B672" s="10">
        <f t="shared" si="100"/>
        <v>0.43471917919023695</v>
      </c>
      <c r="C672" s="10">
        <f t="shared" si="101"/>
        <v>4.6514952173355349E-2</v>
      </c>
      <c r="D672" s="10">
        <f t="shared" si="102"/>
        <v>1.6198805931300457</v>
      </c>
      <c r="E672" s="10">
        <f t="shared" si="103"/>
        <v>5.052486978887619</v>
      </c>
      <c r="F672" s="10">
        <f t="shared" si="107"/>
        <v>3.2536539245208829E-2</v>
      </c>
      <c r="G672" s="10">
        <f t="shared" si="104"/>
        <v>-0.43723901732283849</v>
      </c>
      <c r="H672" s="10">
        <f t="shared" si="105"/>
        <v>0.392399052440702</v>
      </c>
      <c r="I672" s="10">
        <f t="shared" si="108"/>
        <v>9.2381344893355255E-4</v>
      </c>
      <c r="J672" s="20">
        <f t="shared" si="106"/>
        <v>0</v>
      </c>
      <c r="K672" s="10">
        <f t="shared" si="109"/>
        <v>6.4605320563353441E-3</v>
      </c>
      <c r="L672" s="10">
        <f t="shared" si="110"/>
        <v>3.8763192338013286E-3</v>
      </c>
    </row>
    <row r="673" spans="1:12" x14ac:dyDescent="0.2">
      <c r="A673" s="14">
        <v>0.60799999999999998</v>
      </c>
      <c r="B673" s="10">
        <f t="shared" si="100"/>
        <v>0.43891304217570443</v>
      </c>
      <c r="C673" s="10">
        <f t="shared" si="101"/>
        <v>4.7402608554976071E-2</v>
      </c>
      <c r="D673" s="10">
        <f t="shared" si="102"/>
        <v>1.6263691265292417</v>
      </c>
      <c r="E673" s="10">
        <f t="shared" si="103"/>
        <v>5.0853767973506425</v>
      </c>
      <c r="F673" s="10">
        <f t="shared" si="107"/>
        <v>3.2889818463023524E-2</v>
      </c>
      <c r="G673" s="10">
        <f t="shared" si="104"/>
        <v>-0.4333458972833209</v>
      </c>
      <c r="H673" s="10">
        <f t="shared" si="105"/>
        <v>0.39332764586534918</v>
      </c>
      <c r="I673" s="10">
        <f t="shared" si="108"/>
        <v>9.2859342464718386E-4</v>
      </c>
      <c r="J673" s="20">
        <f t="shared" si="106"/>
        <v>0</v>
      </c>
      <c r="K673" s="10">
        <f t="shared" si="109"/>
        <v>6.4885333991959726E-3</v>
      </c>
      <c r="L673" s="10">
        <f t="shared" si="110"/>
        <v>3.8931200395175836E-3</v>
      </c>
    </row>
    <row r="674" spans="1:12" x14ac:dyDescent="0.2">
      <c r="A674" s="14">
        <v>0.60899999999999999</v>
      </c>
      <c r="B674" s="10">
        <f t="shared" si="100"/>
        <v>0.44311070772453115</v>
      </c>
      <c r="C674" s="10">
        <f t="shared" si="101"/>
        <v>4.8299067141973892E-2</v>
      </c>
      <c r="D674" s="10">
        <f t="shared" si="102"/>
        <v>1.6328857455982047</v>
      </c>
      <c r="E674" s="10">
        <f t="shared" si="103"/>
        <v>5.1186244743252036</v>
      </c>
      <c r="F674" s="10">
        <f t="shared" si="107"/>
        <v>3.3247676974561102E-2</v>
      </c>
      <c r="G674" s="10">
        <f t="shared" si="104"/>
        <v>-0.42943592584194323</v>
      </c>
      <c r="H674" s="10">
        <f t="shared" si="105"/>
        <v>0.39426103530972695</v>
      </c>
      <c r="I674" s="10">
        <f t="shared" si="108"/>
        <v>9.333894443777635E-4</v>
      </c>
      <c r="J674" s="20">
        <f t="shared" si="106"/>
        <v>0</v>
      </c>
      <c r="K674" s="10">
        <f t="shared" si="109"/>
        <v>6.5166190689629477E-3</v>
      </c>
      <c r="L674" s="10">
        <f t="shared" si="110"/>
        <v>3.9099714413776687E-3</v>
      </c>
    </row>
    <row r="675" spans="1:12" x14ac:dyDescent="0.2">
      <c r="A675" s="14">
        <v>0.61</v>
      </c>
      <c r="B675" s="10">
        <f t="shared" si="100"/>
        <v>0.44731221804366483</v>
      </c>
      <c r="C675" s="10">
        <f t="shared" si="101"/>
        <v>4.9204343984803126E-2</v>
      </c>
      <c r="D675" s="10">
        <f t="shared" si="102"/>
        <v>1.6394305353960985</v>
      </c>
      <c r="E675" s="10">
        <f t="shared" si="103"/>
        <v>5.1522346613964984</v>
      </c>
      <c r="F675" s="10">
        <f t="shared" si="107"/>
        <v>3.3610187071294817E-2</v>
      </c>
      <c r="G675" s="10">
        <f t="shared" si="104"/>
        <v>-0.42550905196320687</v>
      </c>
      <c r="H675" s="10">
        <f t="shared" si="105"/>
        <v>0.39519923682589103</v>
      </c>
      <c r="I675" s="10">
        <f t="shared" si="108"/>
        <v>9.3820151616408332E-4</v>
      </c>
      <c r="J675" s="20">
        <f t="shared" si="106"/>
        <v>0</v>
      </c>
      <c r="K675" s="10">
        <f t="shared" si="109"/>
        <v>6.5447897978938574E-3</v>
      </c>
      <c r="L675" s="10">
        <f t="shared" si="110"/>
        <v>3.9268738787363588E-3</v>
      </c>
    </row>
    <row r="676" spans="1:12" x14ac:dyDescent="0.2">
      <c r="A676" s="14">
        <v>0.61099999999999999</v>
      </c>
      <c r="B676" s="10">
        <f t="shared" si="100"/>
        <v>0.45151761555314895</v>
      </c>
      <c r="C676" s="10">
        <f t="shared" si="101"/>
        <v>5.0118455326399532E-2</v>
      </c>
      <c r="D676" s="10">
        <f t="shared" si="102"/>
        <v>1.6460035817209351</v>
      </c>
      <c r="E676" s="10">
        <f t="shared" si="103"/>
        <v>5.1862120837552537</v>
      </c>
      <c r="F676" s="10">
        <f t="shared" si="107"/>
        <v>3.3977422358755227E-2</v>
      </c>
      <c r="G676" s="10">
        <f t="shared" si="104"/>
        <v>-0.42156522416830489</v>
      </c>
      <c r="H676" s="10">
        <f t="shared" si="105"/>
        <v>0.39614226647241896</v>
      </c>
      <c r="I676" s="10">
        <f t="shared" si="108"/>
        <v>9.4302964652792642E-4</v>
      </c>
      <c r="J676" s="20">
        <f t="shared" si="106"/>
        <v>0</v>
      </c>
      <c r="K676" s="10">
        <f t="shared" si="109"/>
        <v>6.5730463248365734E-3</v>
      </c>
      <c r="L676" s="10">
        <f t="shared" si="110"/>
        <v>3.9438277949019884E-3</v>
      </c>
    </row>
    <row r="677" spans="1:12" x14ac:dyDescent="0.2">
      <c r="A677" s="14">
        <v>0.61199999999999999</v>
      </c>
      <c r="B677" s="10">
        <f t="shared" si="100"/>
        <v>0.45572694288905263</v>
      </c>
      <c r="C677" s="10">
        <f t="shared" si="101"/>
        <v>5.1041417603573891E-2</v>
      </c>
      <c r="D677" s="10">
        <f t="shared" si="102"/>
        <v>1.6526049711162536</v>
      </c>
      <c r="E677" s="10">
        <f t="shared" si="103"/>
        <v>5.220561541539058</v>
      </c>
      <c r="F677" s="10">
        <f t="shared" si="107"/>
        <v>3.4349457783804382E-2</v>
      </c>
      <c r="G677" s="10">
        <f t="shared" si="104"/>
        <v>-0.41760439053111387</v>
      </c>
      <c r="H677" s="10">
        <f t="shared" si="105"/>
        <v>0.39709014031286471</v>
      </c>
      <c r="I677" s="10">
        <f t="shared" si="108"/>
        <v>9.4787384044575651E-4</v>
      </c>
      <c r="J677" s="20">
        <f t="shared" si="106"/>
        <v>0</v>
      </c>
      <c r="K677" s="10">
        <f t="shared" si="109"/>
        <v>6.6013893953185132E-3</v>
      </c>
      <c r="L677" s="10">
        <f t="shared" si="110"/>
        <v>3.9608336371910191E-3</v>
      </c>
    </row>
    <row r="678" spans="1:12" x14ac:dyDescent="0.2">
      <c r="A678" s="14">
        <v>0.61299999999999999</v>
      </c>
      <c r="B678" s="10">
        <f t="shared" si="100"/>
        <v>0.4599402429064296</v>
      </c>
      <c r="C678" s="10">
        <f t="shared" si="101"/>
        <v>5.1973247448426539E-2</v>
      </c>
      <c r="D678" s="10">
        <f t="shared" si="102"/>
        <v>1.6592347908778871</v>
      </c>
      <c r="E678" s="10">
        <f t="shared" si="103"/>
        <v>5.2552879112016093</v>
      </c>
      <c r="F678" s="10">
        <f t="shared" si="107"/>
        <v>3.4726369662551271E-2</v>
      </c>
      <c r="G678" s="10">
        <f t="shared" si="104"/>
        <v>-0.41362649867413365</v>
      </c>
      <c r="H678" s="10">
        <f t="shared" si="105"/>
        <v>0.39804287441418457</v>
      </c>
      <c r="I678" s="10">
        <f t="shared" si="108"/>
        <v>9.5273410131985203E-4</v>
      </c>
      <c r="J678" s="20">
        <f t="shared" si="106"/>
        <v>0</v>
      </c>
      <c r="K678" s="10">
        <f t="shared" si="109"/>
        <v>6.6298197616334598E-3</v>
      </c>
      <c r="L678" s="10">
        <f t="shared" si="110"/>
        <v>3.9778918569802202E-3</v>
      </c>
    </row>
    <row r="679" spans="1:12" x14ac:dyDescent="0.2">
      <c r="A679" s="14">
        <v>0.61399999999999999</v>
      </c>
      <c r="B679" s="10">
        <f t="shared" si="100"/>
        <v>0.46415755868231151</v>
      </c>
      <c r="C679" s="10">
        <f t="shared" si="101"/>
        <v>5.2913961689783511E-2</v>
      </c>
      <c r="D679" s="10">
        <f t="shared" si="102"/>
        <v>1.6658931290608225</v>
      </c>
      <c r="E679" s="10">
        <f t="shared" si="103"/>
        <v>5.2903961469105383</v>
      </c>
      <c r="F679" s="10">
        <f t="shared" si="107"/>
        <v>3.5108235708928959E-2</v>
      </c>
      <c r="G679" s="10">
        <f t="shared" si="104"/>
        <v>-0.40963149576437236</v>
      </c>
      <c r="H679" s="10">
        <f t="shared" si="105"/>
        <v>0.39900048484513417</v>
      </c>
      <c r="I679" s="10">
        <f t="shared" si="108"/>
        <v>9.5761043094960696E-4</v>
      </c>
      <c r="J679" s="20">
        <f t="shared" si="106"/>
        <v>0</v>
      </c>
      <c r="K679" s="10">
        <f t="shared" si="109"/>
        <v>6.658338182935486E-3</v>
      </c>
      <c r="L679" s="10">
        <f t="shared" si="110"/>
        <v>3.9950029097612916E-3</v>
      </c>
    </row>
    <row r="680" spans="1:12" x14ac:dyDescent="0.2">
      <c r="A680" s="14">
        <v>0.61499999999999999</v>
      </c>
      <c r="B680" s="10">
        <f t="shared" si="100"/>
        <v>0.46837893351873361</v>
      </c>
      <c r="C680" s="10">
        <f t="shared" si="101"/>
        <v>5.3863577354654364E-2</v>
      </c>
      <c r="D680" s="10">
        <f t="shared" si="102"/>
        <v>1.6725800744861501</v>
      </c>
      <c r="E680" s="10">
        <f t="shared" si="103"/>
        <v>5.3258912819744548</v>
      </c>
      <c r="F680" s="10">
        <f t="shared" si="107"/>
        <v>3.549513506391655E-2</v>
      </c>
      <c r="G680" s="10">
        <f t="shared" si="104"/>
        <v>-0.40561932850917587</v>
      </c>
      <c r="H680" s="10">
        <f t="shared" si="105"/>
        <v>0.39996298767463612</v>
      </c>
      <c r="I680" s="10">
        <f t="shared" si="108"/>
        <v>9.6250282950194332E-4</v>
      </c>
      <c r="J680" s="20">
        <f t="shared" si="106"/>
        <v>0</v>
      </c>
      <c r="K680" s="10">
        <f t="shared" si="109"/>
        <v>6.6869454253275507E-3</v>
      </c>
      <c r="L680" s="10">
        <f t="shared" si="110"/>
        <v>4.012167255196486E-3</v>
      </c>
    </row>
    <row r="681" spans="1:12" x14ac:dyDescent="0.2">
      <c r="A681" s="14">
        <v>0.61599999999999999</v>
      </c>
      <c r="B681" s="10">
        <f t="shared" si="100"/>
        <v>0.47260441094579281</v>
      </c>
      <c r="C681" s="10">
        <f t="shared" si="101"/>
        <v>5.4822111669711959E-2</v>
      </c>
      <c r="D681" s="10">
        <f t="shared" si="102"/>
        <v>1.6792957167481062</v>
      </c>
      <c r="E681" s="10">
        <f t="shared" si="103"/>
        <v>5.3617784302999247</v>
      </c>
      <c r="F681" s="10">
        <f t="shared" si="107"/>
        <v>3.5887148325469909E-2</v>
      </c>
      <c r="G681" s="10">
        <f t="shared" si="104"/>
        <v>-0.40158994315200219</v>
      </c>
      <c r="H681" s="10">
        <f t="shared" si="105"/>
        <v>0.40093039897011834</v>
      </c>
      <c r="I681" s="10">
        <f t="shared" si="108"/>
        <v>9.6741129548222338E-4</v>
      </c>
      <c r="J681" s="20">
        <f t="shared" si="106"/>
        <v>0</v>
      </c>
      <c r="K681" s="10">
        <f t="shared" si="109"/>
        <v>6.7156422619560896E-3</v>
      </c>
      <c r="L681" s="10">
        <f t="shared" si="110"/>
        <v>4.029385357173676E-3</v>
      </c>
    </row>
    <row r="682" spans="1:12" x14ac:dyDescent="0.2">
      <c r="A682" s="14">
        <v>0.61699999999999999</v>
      </c>
      <c r="B682" s="10">
        <f t="shared" si="100"/>
        <v>0.47683403472474178</v>
      </c>
      <c r="C682" s="10">
        <f t="shared" si="101"/>
        <v>5.5789582062794787E-2</v>
      </c>
      <c r="D682" s="10">
        <f t="shared" si="102"/>
        <v>1.686040146221214</v>
      </c>
      <c r="E682" s="10">
        <f t="shared" si="103"/>
        <v>5.398062787879077</v>
      </c>
      <c r="F682" s="10">
        <f t="shared" si="107"/>
        <v>3.6284357579152271E-2</v>
      </c>
      <c r="G682" s="10">
        <f t="shared" si="104"/>
        <v>-0.39754328546813766</v>
      </c>
      <c r="H682" s="10">
        <f t="shared" si="105"/>
        <v>0.4019027347958215</v>
      </c>
      <c r="I682" s="10">
        <f t="shared" si="108"/>
        <v>9.7233582570316335E-4</v>
      </c>
      <c r="J682" s="20">
        <f t="shared" si="106"/>
        <v>0</v>
      </c>
      <c r="K682" s="10">
        <f t="shared" si="109"/>
        <v>6.7444294731078269E-3</v>
      </c>
      <c r="L682" s="10">
        <f t="shared" si="110"/>
        <v>4.0466576838645296E-3</v>
      </c>
    </row>
    <row r="683" spans="1:12" x14ac:dyDescent="0.2">
      <c r="A683" s="14">
        <v>0.61799999999999999</v>
      </c>
      <c r="B683" s="10">
        <f t="shared" si="100"/>
        <v>0.48106784885111553</v>
      </c>
      <c r="C683" s="10">
        <f t="shared" si="101"/>
        <v>5.6766006164431629E-2</v>
      </c>
      <c r="D683" s="10">
        <f t="shared" si="102"/>
        <v>1.6928134540675144</v>
      </c>
      <c r="E683" s="10">
        <f t="shared" si="103"/>
        <v>5.4347496343085275</v>
      </c>
      <c r="F683" s="10">
        <f t="shared" si="107"/>
        <v>3.6686846429450526E-2</v>
      </c>
      <c r="G683" s="10">
        <f t="shared" si="104"/>
        <v>-0.39347930076035731</v>
      </c>
      <c r="H683" s="10">
        <f t="shared" si="105"/>
        <v>0.40288001121107686</v>
      </c>
      <c r="I683" s="10">
        <f t="shared" si="108"/>
        <v>9.7727641525535702E-4</v>
      </c>
      <c r="J683" s="20">
        <f t="shared" si="106"/>
        <v>0</v>
      </c>
      <c r="K683" s="10">
        <f t="shared" si="109"/>
        <v>6.7733078463003693E-3</v>
      </c>
      <c r="L683" s="10">
        <f t="shared" si="110"/>
        <v>4.0639847077803548E-3</v>
      </c>
    </row>
    <row r="684" spans="1:12" x14ac:dyDescent="0.2">
      <c r="A684" s="14">
        <v>0.61899999999999999</v>
      </c>
      <c r="B684" s="10">
        <f t="shared" si="100"/>
        <v>0.48530589755789505</v>
      </c>
      <c r="C684" s="10">
        <f t="shared" si="101"/>
        <v>5.7751401809389508E-2</v>
      </c>
      <c r="D684" s="10">
        <f t="shared" si="102"/>
        <v>1.6996157322439021</v>
      </c>
      <c r="E684" s="10">
        <f t="shared" si="103"/>
        <v>5.4718443343404326</v>
      </c>
      <c r="F684" s="10">
        <f t="shared" si="107"/>
        <v>3.709470003190507E-2</v>
      </c>
      <c r="G684" s="10">
        <f t="shared" si="104"/>
        <v>-0.3893979338545247</v>
      </c>
      <c r="H684" s="10">
        <f t="shared" si="105"/>
        <v>0.40386224426855255</v>
      </c>
      <c r="I684" s="10">
        <f t="shared" si="108"/>
        <v>9.822330574756899E-4</v>
      </c>
      <c r="J684" s="20">
        <f t="shared" si="106"/>
        <v>0</v>
      </c>
      <c r="K684" s="10">
        <f t="shared" si="109"/>
        <v>6.8022781763876772E-3</v>
      </c>
      <c r="L684" s="10">
        <f t="shared" si="110"/>
        <v>4.0813669058326063E-3</v>
      </c>
    </row>
    <row r="685" spans="1:12" x14ac:dyDescent="0.2">
      <c r="A685" s="14">
        <v>0.62</v>
      </c>
      <c r="B685" s="10">
        <f t="shared" si="100"/>
        <v>0.48954822531870579</v>
      </c>
      <c r="C685" s="10">
        <f t="shared" si="101"/>
        <v>5.8745787038244693E-2</v>
      </c>
      <c r="D685" s="10">
        <f t="shared" si="102"/>
        <v>1.7064470735095527</v>
      </c>
      <c r="E685" s="10">
        <f t="shared" si="103"/>
        <v>5.509352339466342</v>
      </c>
      <c r="F685" s="10">
        <f t="shared" si="107"/>
        <v>3.7508005125909349E-2</v>
      </c>
      <c r="G685" s="10">
        <f t="shared" si="104"/>
        <v>-0.3852991290951342</v>
      </c>
      <c r="H685" s="10">
        <f t="shared" si="105"/>
        <v>0.40484945001246869</v>
      </c>
      <c r="I685" s="10">
        <f t="shared" si="108"/>
        <v>9.8720574391614191E-4</v>
      </c>
      <c r="J685" s="20">
        <f t="shared" si="106"/>
        <v>0</v>
      </c>
      <c r="K685" s="10">
        <f t="shared" si="109"/>
        <v>6.8313412656506589E-3</v>
      </c>
      <c r="L685" s="10">
        <f t="shared" si="110"/>
        <v>4.0988047593905064E-3</v>
      </c>
    </row>
    <row r="686" spans="1:12" x14ac:dyDescent="0.2">
      <c r="A686" s="14">
        <v>0.621</v>
      </c>
      <c r="B686" s="10">
        <f t="shared" si="100"/>
        <v>0.49379487685105233</v>
      </c>
      <c r="C686" s="10">
        <f t="shared" si="101"/>
        <v>5.9749180098977332E-2</v>
      </c>
      <c r="D686" s="10">
        <f t="shared" si="102"/>
        <v>1.7133075714334569</v>
      </c>
      <c r="E686" s="10">
        <f t="shared" si="103"/>
        <v>5.5472791895347093</v>
      </c>
      <c r="F686" s="10">
        <f t="shared" si="107"/>
        <v>3.7926850068367379E-2</v>
      </c>
      <c r="G686" s="10">
        <f t="shared" si="104"/>
        <v>-0.3811828303407917</v>
      </c>
      <c r="H686" s="10">
        <f t="shared" si="105"/>
        <v>0.40584164447678123</v>
      </c>
      <c r="I686" s="10">
        <f t="shared" si="108"/>
        <v>9.9219446431253466E-4</v>
      </c>
      <c r="J686" s="20">
        <f t="shared" si="106"/>
        <v>0</v>
      </c>
      <c r="K686" s="10">
        <f t="shared" si="109"/>
        <v>6.8604979239041963E-3</v>
      </c>
      <c r="L686" s="10">
        <f t="shared" si="110"/>
        <v>4.1162987543424956E-3</v>
      </c>
    </row>
    <row r="687" spans="1:12" x14ac:dyDescent="0.2">
      <c r="A687" s="14">
        <v>0.622</v>
      </c>
      <c r="B687" s="10">
        <f t="shared" si="100"/>
        <v>0.4980458971195918</v>
      </c>
      <c r="C687" s="10">
        <f t="shared" si="101"/>
        <v>6.0761599448590199E-2</v>
      </c>
      <c r="D687" s="10">
        <f t="shared" si="102"/>
        <v>1.7201973204020531</v>
      </c>
      <c r="E687" s="10">
        <f t="shared" si="103"/>
        <v>5.5856305144028129</v>
      </c>
      <c r="F687" s="10">
        <f t="shared" si="107"/>
        <v>3.8351324868103553E-2</v>
      </c>
      <c r="G687" s="10">
        <f t="shared" si="104"/>
        <v>-0.37704898095963413</v>
      </c>
      <c r="H687" s="10">
        <f t="shared" si="105"/>
        <v>0.40683884368333312</v>
      </c>
      <c r="I687" s="10">
        <f t="shared" si="108"/>
        <v>9.9719920655189087E-4</v>
      </c>
      <c r="J687" s="20">
        <f t="shared" si="106"/>
        <v>0</v>
      </c>
      <c r="K687" s="10">
        <f t="shared" si="109"/>
        <v>6.8897489685961766E-3</v>
      </c>
      <c r="L687" s="10">
        <f t="shared" si="110"/>
        <v>4.1338493811575727E-3</v>
      </c>
    </row>
    <row r="688" spans="1:12" x14ac:dyDescent="0.2">
      <c r="A688" s="14">
        <v>0.623</v>
      </c>
      <c r="B688" s="10">
        <f t="shared" si="100"/>
        <v>0.50230133133944244</v>
      </c>
      <c r="C688" s="10">
        <f t="shared" si="101"/>
        <v>6.178306375475142E-2</v>
      </c>
      <c r="D688" s="10">
        <f t="shared" si="102"/>
        <v>1.7271164156269632</v>
      </c>
      <c r="E688" s="10">
        <f t="shared" si="103"/>
        <v>5.624412035623914</v>
      </c>
      <c r="F688" s="10">
        <f t="shared" si="107"/>
        <v>3.8781521221101123E-2</v>
      </c>
      <c r="G688" s="10">
        <f t="shared" si="104"/>
        <v>-0.3728975238246881</v>
      </c>
      <c r="H688" s="10">
        <f t="shared" si="105"/>
        <v>0.40784106363997302</v>
      </c>
      <c r="I688" s="10">
        <f t="shared" si="108"/>
        <v>1.0022199566399048E-3</v>
      </c>
      <c r="J688" s="20">
        <f t="shared" si="106"/>
        <v>0</v>
      </c>
      <c r="K688" s="10">
        <f t="shared" si="109"/>
        <v>6.9190952249100768E-3</v>
      </c>
      <c r="L688" s="10">
        <f t="shared" si="110"/>
        <v>4.1514571349460239E-3</v>
      </c>
    </row>
    <row r="689" spans="1:12" x14ac:dyDescent="0.2">
      <c r="A689" s="14">
        <v>0.624</v>
      </c>
      <c r="B689" s="10">
        <f t="shared" si="100"/>
        <v>0.50656122497953315</v>
      </c>
      <c r="C689" s="10">
        <f t="shared" si="101"/>
        <v>6.2813591897462107E-2</v>
      </c>
      <c r="D689" s="10">
        <f t="shared" si="102"/>
        <v>1.7340649531528367</v>
      </c>
      <c r="E689" s="10">
        <f t="shared" si="103"/>
        <v>5.6636295681705251</v>
      </c>
      <c r="F689" s="10">
        <f t="shared" si="107"/>
        <v>3.9217532546611089E-2</v>
      </c>
      <c r="G689" s="10">
        <f t="shared" si="104"/>
        <v>-0.36872840130916379</v>
      </c>
      <c r="H689" s="10">
        <f t="shared" si="105"/>
        <v>0.40884832033864177</v>
      </c>
      <c r="I689" s="10">
        <f t="shared" si="108"/>
        <v>1.0072566986687459E-3</v>
      </c>
      <c r="J689" s="20">
        <f t="shared" si="106"/>
        <v>0</v>
      </c>
      <c r="K689" s="10">
        <f t="shared" si="109"/>
        <v>6.9485375258735438E-3</v>
      </c>
      <c r="L689" s="10">
        <f t="shared" si="110"/>
        <v>4.169122515524315E-3</v>
      </c>
    </row>
    <row r="690" spans="1:12" x14ac:dyDescent="0.2">
      <c r="A690" s="14">
        <v>0.625</v>
      </c>
      <c r="B690" s="10">
        <f t="shared" si="100"/>
        <v>0.51082562376599072</v>
      </c>
      <c r="C690" s="10">
        <f t="shared" si="101"/>
        <v>6.385320297074884E-2</v>
      </c>
      <c r="D690" s="10">
        <f t="shared" si="102"/>
        <v>1.741043029865301</v>
      </c>
      <c r="E690" s="10">
        <f t="shared" si="103"/>
        <v>5.7032890221946255</v>
      </c>
      <c r="F690" s="10">
        <f t="shared" si="107"/>
        <v>3.9659454024100427E-2</v>
      </c>
      <c r="G690" s="10">
        <f t="shared" si="104"/>
        <v>-0.3645415552816853</v>
      </c>
      <c r="H690" s="10">
        <f t="shared" si="105"/>
        <v>0.4098606297534248</v>
      </c>
      <c r="I690" s="10">
        <f t="shared" si="108"/>
        <v>1.0123094147830303E-3</v>
      </c>
      <c r="J690" s="20">
        <f t="shared" si="106"/>
        <v>0</v>
      </c>
      <c r="K690" s="10">
        <f t="shared" si="109"/>
        <v>6.9780767124643095E-3</v>
      </c>
      <c r="L690" s="10">
        <f t="shared" si="110"/>
        <v>4.1868460274784858E-3</v>
      </c>
    </row>
    <row r="691" spans="1:12" x14ac:dyDescent="0.2">
      <c r="A691" s="14">
        <v>0.626</v>
      </c>
      <c r="B691" s="10">
        <f t="shared" si="100"/>
        <v>0.51509457368556666</v>
      </c>
      <c r="C691" s="10">
        <f t="shared" si="101"/>
        <v>6.4901916284381397E-2</v>
      </c>
      <c r="D691" s="10">
        <f t="shared" si="102"/>
        <v>1.7480507434990153</v>
      </c>
      <c r="E691" s="10">
        <f t="shared" si="103"/>
        <v>5.7433964048256971</v>
      </c>
      <c r="F691" s="10">
        <f t="shared" si="107"/>
        <v>4.0107382631071609E-2</v>
      </c>
      <c r="G691" s="10">
        <f t="shared" si="104"/>
        <v>-0.36033692710145676</v>
      </c>
      <c r="H691" s="10">
        <f t="shared" si="105"/>
        <v>0.41087800783857059</v>
      </c>
      <c r="I691" s="10">
        <f t="shared" si="108"/>
        <v>1.0173780851457925E-3</v>
      </c>
      <c r="J691" s="20">
        <f t="shared" si="106"/>
        <v>0</v>
      </c>
      <c r="K691" s="10">
        <f t="shared" si="109"/>
        <v>7.0077136337143298E-3</v>
      </c>
      <c r="L691" s="10">
        <f t="shared" si="110"/>
        <v>4.2046281802285423E-3</v>
      </c>
    </row>
    <row r="692" spans="1:12" x14ac:dyDescent="0.2">
      <c r="A692" s="14">
        <v>0.627</v>
      </c>
      <c r="B692" s="10">
        <f t="shared" si="100"/>
        <v>0.51936812098910512</v>
      </c>
      <c r="C692" s="10">
        <f t="shared" si="101"/>
        <v>6.5959751365616354E-2</v>
      </c>
      <c r="D692" s="10">
        <f t="shared" si="102"/>
        <v>1.7550881926458415</v>
      </c>
      <c r="E692" s="10">
        <f t="shared" si="103"/>
        <v>5.7839578220075474</v>
      </c>
      <c r="F692" s="10">
        <f t="shared" si="107"/>
        <v>4.0561417181850246E-2</v>
      </c>
      <c r="G692" s="10">
        <f t="shared" si="104"/>
        <v>-0.35611445761336108</v>
      </c>
      <c r="H692" s="10">
        <f t="shared" si="105"/>
        <v>0.41190047052647616</v>
      </c>
      <c r="I692" s="10">
        <f t="shared" si="108"/>
        <v>1.0224626879055676E-3</v>
      </c>
      <c r="J692" s="20">
        <f t="shared" si="106"/>
        <v>0</v>
      </c>
      <c r="K692" s="10">
        <f t="shared" si="109"/>
        <v>7.0374491468261358E-3</v>
      </c>
      <c r="L692" s="10">
        <f t="shared" si="110"/>
        <v>4.2224694880956815E-3</v>
      </c>
    </row>
    <row r="693" spans="1:12" x14ac:dyDescent="0.2">
      <c r="A693" s="14">
        <v>0.628</v>
      </c>
      <c r="B693" s="10">
        <f t="shared" si="100"/>
        <v>0.5236463121950522</v>
      </c>
      <c r="C693" s="10">
        <f t="shared" si="101"/>
        <v>6.7026727960966689E-2</v>
      </c>
      <c r="D693" s="10">
        <f t="shared" si="102"/>
        <v>1.7621554767631229</v>
      </c>
      <c r="E693" s="10">
        <f t="shared" si="103"/>
        <v>5.8249794803748065</v>
      </c>
      <c r="F693" s="10">
        <f t="shared" si="107"/>
        <v>4.1021658367259128E-2</v>
      </c>
      <c r="G693" s="10">
        <f t="shared" si="104"/>
        <v>-0.35187408714299218</v>
      </c>
      <c r="H693" s="10">
        <f t="shared" si="105"/>
        <v>0.41292803372563658</v>
      </c>
      <c r="I693" s="10">
        <f t="shared" si="108"/>
        <v>1.0275631991604195E-3</v>
      </c>
      <c r="J693" s="20">
        <f t="shared" si="106"/>
        <v>0</v>
      </c>
      <c r="K693" s="10">
        <f t="shared" si="109"/>
        <v>7.0672841172814138E-3</v>
      </c>
      <c r="L693" s="10">
        <f t="shared" si="110"/>
        <v>4.2403704703689038E-3</v>
      </c>
    </row>
    <row r="694" spans="1:12" x14ac:dyDescent="0.2">
      <c r="A694" s="14">
        <v>0.629</v>
      </c>
      <c r="B694" s="10">
        <f t="shared" si="100"/>
        <v>0.52792919409300543</v>
      </c>
      <c r="C694" s="10">
        <f t="shared" si="101"/>
        <v>6.81028660379977E-2</v>
      </c>
      <c r="D694" s="10">
        <f t="shared" si="102"/>
        <v>1.7692526961820771</v>
      </c>
      <c r="E694" s="10">
        <f t="shared" si="103"/>
        <v>5.8664676891700722</v>
      </c>
      <c r="F694" s="10">
        <f t="shared" si="107"/>
        <v>4.1488208795265713E-2</v>
      </c>
      <c r="G694" s="10">
        <f t="shared" si="104"/>
        <v>-0.34761575549161972</v>
      </c>
      <c r="H694" s="10">
        <f t="shared" si="105"/>
        <v>0.41396071331856044</v>
      </c>
      <c r="I694" s="10">
        <f t="shared" si="108"/>
        <v>1.0326795929238575E-3</v>
      </c>
      <c r="J694" s="20">
        <f t="shared" si="106"/>
        <v>0</v>
      </c>
      <c r="K694" s="10">
        <f t="shared" si="109"/>
        <v>7.0972194189542481E-3</v>
      </c>
      <c r="L694" s="10">
        <f t="shared" si="110"/>
        <v>4.2583316513724601E-3</v>
      </c>
    </row>
    <row r="695" spans="1:12" x14ac:dyDescent="0.2">
      <c r="A695" s="14">
        <v>0.63</v>
      </c>
      <c r="B695" s="10">
        <f t="shared" si="100"/>
        <v>0.53221681374730823</v>
      </c>
      <c r="C695" s="10">
        <f t="shared" si="101"/>
        <v>6.9188185787150067E-2</v>
      </c>
      <c r="D695" s="10">
        <f t="shared" si="102"/>
        <v>1.7763799521163051</v>
      </c>
      <c r="E695" s="10">
        <f t="shared" si="103"/>
        <v>5.9084288622027081</v>
      </c>
      <c r="F695" s="10">
        <f t="shared" si="107"/>
        <v>4.1961173032635912E-2</v>
      </c>
      <c r="G695" s="10">
        <f t="shared" si="104"/>
        <v>-0.34333940193108292</v>
      </c>
      <c r="H695" s="10">
        <f t="shared" si="105"/>
        <v>0.41499852515964908</v>
      </c>
      <c r="I695" s="10">
        <f t="shared" si="108"/>
        <v>1.0378118410886428E-3</v>
      </c>
      <c r="J695" s="20">
        <f t="shared" si="106"/>
        <v>0</v>
      </c>
      <c r="K695" s="10">
        <f t="shared" si="109"/>
        <v>7.1272559342279163E-3</v>
      </c>
      <c r="L695" s="10">
        <f t="shared" si="110"/>
        <v>4.2763535605367942E-3</v>
      </c>
    </row>
    <row r="696" spans="1:12" x14ac:dyDescent="0.2">
      <c r="A696" s="14">
        <v>0.63100000000000001</v>
      </c>
      <c r="B696" s="10">
        <f t="shared" si="100"/>
        <v>0.536509218500686</v>
      </c>
      <c r="C696" s="10">
        <f t="shared" si="101"/>
        <v>7.0282707623589874E-2</v>
      </c>
      <c r="D696" s="10">
        <f t="shared" si="102"/>
        <v>1.7835373466704172</v>
      </c>
      <c r="E696" s="10">
        <f t="shared" si="103"/>
        <v>5.9508695198502943</v>
      </c>
      <c r="F696" s="10">
        <f t="shared" si="107"/>
        <v>4.24406576475862E-2</v>
      </c>
      <c r="G696" s="10">
        <f t="shared" si="104"/>
        <v>-0.3390449651986156</v>
      </c>
      <c r="H696" s="10">
        <f t="shared" si="105"/>
        <v>0.41604148507304123</v>
      </c>
      <c r="I696" s="10">
        <f t="shared" si="108"/>
        <v>1.0429599133921497E-3</v>
      </c>
      <c r="J696" s="20">
        <f t="shared" si="106"/>
        <v>0</v>
      </c>
      <c r="K696" s="10">
        <f t="shared" si="109"/>
        <v>7.1573945541121287E-3</v>
      </c>
      <c r="L696" s="10">
        <f t="shared" si="110"/>
        <v>4.2944367324673216E-3</v>
      </c>
    </row>
    <row r="697" spans="1:12" x14ac:dyDescent="0.2">
      <c r="A697" s="14">
        <v>0.63200000000000001</v>
      </c>
      <c r="B697" s="10">
        <f t="shared" si="100"/>
        <v>0.54080645597792654</v>
      </c>
      <c r="C697" s="10">
        <f t="shared" si="101"/>
        <v>7.1386452189086305E-2</v>
      </c>
      <c r="D697" s="10">
        <f t="shared" si="102"/>
        <v>1.7907249828487772</v>
      </c>
      <c r="E697" s="10">
        <f t="shared" si="103"/>
        <v>5.9937962911037586</v>
      </c>
      <c r="F697" s="10">
        <f t="shared" si="107"/>
        <v>4.2926771253464224E-2</v>
      </c>
      <c r="G697" s="10">
        <f t="shared" si="104"/>
        <v>-0.33473238349159962</v>
      </c>
      <c r="H697" s="10">
        <f t="shared" si="105"/>
        <v>0.41708960885041979</v>
      </c>
      <c r="I697" s="10">
        <f t="shared" si="108"/>
        <v>1.0481237773785623E-3</v>
      </c>
      <c r="J697" s="20">
        <f t="shared" si="106"/>
        <v>0</v>
      </c>
      <c r="K697" s="10">
        <f t="shared" si="109"/>
        <v>7.1876361783600462E-3</v>
      </c>
      <c r="L697" s="10">
        <f t="shared" si="110"/>
        <v>4.3125817070159833E-3</v>
      </c>
    </row>
    <row r="698" spans="1:12" x14ac:dyDescent="0.2">
      <c r="A698" s="14">
        <v>0.63300000000000001</v>
      </c>
      <c r="B698" s="10">
        <f t="shared" si="100"/>
        <v>0.54510857408960589</v>
      </c>
      <c r="C698" s="10">
        <f t="shared" si="101"/>
        <v>7.2499440353917588E-2</v>
      </c>
      <c r="D698" s="10">
        <f t="shared" si="102"/>
        <v>1.7979429645643692</v>
      </c>
      <c r="E698" s="10">
        <f t="shared" si="103"/>
        <v>6.0372159156572955</v>
      </c>
      <c r="F698" s="10">
        <f t="shared" si="107"/>
        <v>4.3419624553536984E-2</v>
      </c>
      <c r="G698" s="10">
        <f t="shared" si="104"/>
        <v>-0.3304015944622446</v>
      </c>
      <c r="H698" s="10">
        <f t="shared" si="105"/>
        <v>0.41814291224878303</v>
      </c>
      <c r="I698" s="10">
        <f t="shared" si="108"/>
        <v>1.0533033983632367E-3</v>
      </c>
      <c r="J698" s="20">
        <f t="shared" si="106"/>
        <v>0</v>
      </c>
      <c r="K698" s="10">
        <f t="shared" si="109"/>
        <v>7.217981715591959E-3</v>
      </c>
      <c r="L698" s="10">
        <f t="shared" si="110"/>
        <v>4.33078902935502E-3</v>
      </c>
    </row>
    <row r="699" spans="1:12" x14ac:dyDescent="0.2">
      <c r="A699" s="14">
        <v>0.63400000000000001</v>
      </c>
      <c r="B699" s="10">
        <f t="shared" si="100"/>
        <v>0.54941562103585972</v>
      </c>
      <c r="C699" s="10">
        <f t="shared" si="101"/>
        <v>7.3621693218805212E-2</v>
      </c>
      <c r="D699" s="10">
        <f t="shared" si="102"/>
        <v>1.8051913966477844</v>
      </c>
      <c r="E699" s="10">
        <f t="shared" si="103"/>
        <v>6.0811352460441297</v>
      </c>
      <c r="F699" s="10">
        <f t="shared" si="107"/>
        <v>4.3919330386834154E-2</v>
      </c>
      <c r="G699" s="10">
        <f t="shared" si="104"/>
        <v>-0.32605253521219524</v>
      </c>
      <c r="H699" s="10">
        <f t="shared" si="105"/>
        <v>0.41920141098817815</v>
      </c>
      <c r="I699" s="10">
        <f t="shared" si="108"/>
        <v>1.0584987393951195E-3</v>
      </c>
      <c r="J699" s="20">
        <f t="shared" si="106"/>
        <v>0</v>
      </c>
      <c r="K699" s="10">
        <f t="shared" si="109"/>
        <v>7.2484320834151905E-3</v>
      </c>
      <c r="L699" s="10">
        <f t="shared" si="110"/>
        <v>4.3490592500493586E-3</v>
      </c>
    </row>
    <row r="700" spans="1:12" x14ac:dyDescent="0.2">
      <c r="A700" s="14">
        <v>0.63500000000000001</v>
      </c>
      <c r="B700" s="10">
        <f t="shared" si="100"/>
        <v>0.55372764531020013</v>
      </c>
      <c r="C700" s="10">
        <f t="shared" si="101"/>
        <v>7.4753232116877025E-2</v>
      </c>
      <c r="D700" s="10">
        <f t="shared" si="102"/>
        <v>1.812470384856337</v>
      </c>
      <c r="E700" s="10">
        <f t="shared" si="103"/>
        <v>6.1255612498192971</v>
      </c>
      <c r="F700" s="10">
        <f t="shared" si="107"/>
        <v>4.4426003775167366E-2</v>
      </c>
      <c r="G700" s="10">
        <f t="shared" si="104"/>
        <v>-0.32168514228706363</v>
      </c>
      <c r="H700" s="10">
        <f t="shared" si="105"/>
        <v>0.42026512074939754</v>
      </c>
      <c r="I700" s="10">
        <f t="shared" si="108"/>
        <v>1.0637097612193891E-3</v>
      </c>
      <c r="J700" s="20">
        <f t="shared" si="106"/>
        <v>0</v>
      </c>
      <c r="K700" s="10">
        <f t="shared" si="109"/>
        <v>7.2789882085526614E-3</v>
      </c>
      <c r="L700" s="10">
        <f t="shared" si="110"/>
        <v>4.3673929251316079E-3</v>
      </c>
    </row>
    <row r="701" spans="1:12" x14ac:dyDescent="0.2">
      <c r="A701" s="14">
        <v>0.63600000000000001</v>
      </c>
      <c r="B701" s="10">
        <f t="shared" si="100"/>
        <v>0.55804469570338144</v>
      </c>
      <c r="C701" s="10">
        <f t="shared" si="101"/>
        <v>7.5894078615659888E-2</v>
      </c>
      <c r="D701" s="10">
        <f t="shared" si="102"/>
        <v>1.8197800358833025</v>
      </c>
      <c r="E701" s="10">
        <f t="shared" si="103"/>
        <v>6.1705010117905514</v>
      </c>
      <c r="F701" s="10">
        <f t="shared" si="107"/>
        <v>4.4939761971254377E-2</v>
      </c>
      <c r="G701" s="10">
        <f t="shared" si="104"/>
        <v>-0.31729935167088436</v>
      </c>
      <c r="H701" s="10">
        <f t="shared" si="105"/>
        <v>0.42133405717163697</v>
      </c>
      <c r="I701" s="10">
        <f t="shared" si="108"/>
        <v>1.0689364222394304E-3</v>
      </c>
      <c r="J701" s="20">
        <f t="shared" si="106"/>
        <v>0</v>
      </c>
      <c r="K701" s="10">
        <f t="shared" si="109"/>
        <v>7.309651026965458E-3</v>
      </c>
      <c r="L701" s="10">
        <f t="shared" si="110"/>
        <v>4.3857906161792748E-3</v>
      </c>
    </row>
    <row r="702" spans="1:12" x14ac:dyDescent="0.2">
      <c r="A702" s="14">
        <v>0.63700000000000001</v>
      </c>
      <c r="B702" s="10">
        <f t="shared" si="100"/>
        <v>0.56236682130731264</v>
      </c>
      <c r="C702" s="10">
        <f t="shared" si="101"/>
        <v>7.7044254519101837E-2</v>
      </c>
      <c r="D702" s="10">
        <f t="shared" si="102"/>
        <v>1.827120457367287</v>
      </c>
      <c r="E702" s="10">
        <f t="shared" si="103"/>
        <v>6.2159617362986337</v>
      </c>
      <c r="F702" s="10">
        <f t="shared" si="107"/>
        <v>4.5460724508082251E-2</v>
      </c>
      <c r="G702" s="10">
        <f t="shared" si="104"/>
        <v>-0.31289509878049371</v>
      </c>
      <c r="H702" s="10">
        <f t="shared" si="105"/>
        <v>0.422408235850115</v>
      </c>
      <c r="I702" s="10">
        <f t="shared" si="108"/>
        <v>1.0741786784780327E-3</v>
      </c>
      <c r="J702" s="20">
        <f t="shared" si="106"/>
        <v>0</v>
      </c>
      <c r="K702" s="10">
        <f t="shared" si="109"/>
        <v>7.340421483984505E-3</v>
      </c>
      <c r="L702" s="10">
        <f t="shared" si="110"/>
        <v>4.4042528903906475E-3</v>
      </c>
    </row>
    <row r="703" spans="1:12" x14ac:dyDescent="0.2">
      <c r="A703" s="14">
        <v>0.63800000000000001</v>
      </c>
      <c r="B703" s="10">
        <f t="shared" si="100"/>
        <v>0.56669407151901885</v>
      </c>
      <c r="C703" s="10">
        <f t="shared" si="101"/>
        <v>7.8203781869624608E-2</v>
      </c>
      <c r="D703" s="10">
        <f t="shared" si="102"/>
        <v>1.834491757901727</v>
      </c>
      <c r="E703" s="10">
        <f t="shared" si="103"/>
        <v>6.2619507495481042</v>
      </c>
      <c r="F703" s="10">
        <f t="shared" si="107"/>
        <v>4.5989013249470467E-2</v>
      </c>
      <c r="G703" s="10">
        <f t="shared" si="104"/>
        <v>-0.30847231845982981</v>
      </c>
      <c r="H703" s="10">
        <f t="shared" si="105"/>
        <v>0.42348767233365381</v>
      </c>
      <c r="I703" s="10">
        <f t="shared" si="108"/>
        <v>1.0794364835388093E-3</v>
      </c>
      <c r="J703" s="20">
        <f t="shared" si="106"/>
        <v>0</v>
      </c>
      <c r="K703" s="10">
        <f t="shared" si="109"/>
        <v>7.3713005344400173E-3</v>
      </c>
      <c r="L703" s="10">
        <f t="shared" si="110"/>
        <v>4.4227803206638994E-3</v>
      </c>
    </row>
    <row r="704" spans="1:12" x14ac:dyDescent="0.2">
      <c r="A704" s="14">
        <v>0.63900000000000001</v>
      </c>
      <c r="B704" s="10">
        <f t="shared" si="100"/>
        <v>0.57102649604465394</v>
      </c>
      <c r="C704" s="10">
        <f t="shared" si="101"/>
        <v>7.9372682950206899E-2</v>
      </c>
      <c r="D704" s="10">
        <f t="shared" si="102"/>
        <v>1.8418940470445224</v>
      </c>
      <c r="E704" s="10">
        <f t="shared" si="103"/>
        <v>6.3084755019900074</v>
      </c>
      <c r="F704" s="10">
        <f t="shared" si="107"/>
        <v>4.6524752441903239E-2</v>
      </c>
      <c r="G704" s="10">
        <f t="shared" si="104"/>
        <v>-0.30403094497415251</v>
      </c>
      <c r="H704" s="10">
        <f t="shared" si="105"/>
        <v>0.42457238212222131</v>
      </c>
      <c r="I704" s="10">
        <f t="shared" si="108"/>
        <v>1.0847097885675061E-3</v>
      </c>
      <c r="J704" s="20">
        <f t="shared" si="106"/>
        <v>0</v>
      </c>
      <c r="K704" s="10">
        <f t="shared" si="109"/>
        <v>7.402289142795393E-3</v>
      </c>
      <c r="L704" s="10">
        <f t="shared" si="110"/>
        <v>4.4413734856773024E-3</v>
      </c>
    </row>
    <row r="705" spans="1:12" x14ac:dyDescent="0.2">
      <c r="A705" s="14">
        <v>0.64</v>
      </c>
      <c r="B705" s="10">
        <f t="shared" si="100"/>
        <v>0.57536414490356191</v>
      </c>
      <c r="C705" s="10">
        <f t="shared" si="101"/>
        <v>8.055098028649868E-2</v>
      </c>
      <c r="D705" s="10">
        <f t="shared" si="102"/>
        <v>1.8493274353278049</v>
      </c>
      <c r="E705" s="10">
        <f t="shared" si="103"/>
        <v>6.3555435707576509</v>
      </c>
      <c r="F705" s="10">
        <f t="shared" si="107"/>
        <v>4.7068068767643467E-2</v>
      </c>
      <c r="G705" s="10">
        <f t="shared" si="104"/>
        <v>-0.29957091200418318</v>
      </c>
      <c r="H705" s="10">
        <f t="shared" si="105"/>
        <v>0.42566238066443179</v>
      </c>
      <c r="I705" s="10">
        <f t="shared" si="108"/>
        <v>1.0899985422104796E-3</v>
      </c>
      <c r="J705" s="20">
        <f t="shared" si="106"/>
        <v>0</v>
      </c>
      <c r="K705" s="10">
        <f t="shared" si="109"/>
        <v>7.4333882832824383E-3</v>
      </c>
      <c r="L705" s="10">
        <f t="shared" si="110"/>
        <v>4.4600329699693297E-3</v>
      </c>
    </row>
    <row r="706" spans="1:12" x14ac:dyDescent="0.2">
      <c r="A706" s="14">
        <v>0.64100000000000001</v>
      </c>
      <c r="B706" s="10">
        <f t="shared" ref="B706:B769" si="111">LN(A706/(1-A706))</f>
        <v>0.57970706843239128</v>
      </c>
      <c r="C706" s="10">
        <f t="shared" ref="C706:C769" si="112">(A706-0.5)*B706</f>
        <v>8.1738696648967185E-2</v>
      </c>
      <c r="D706" s="10">
        <f t="shared" ref="D706:D769" si="113">$B$45+$B$46*B706+$B$47*C706</f>
        <v>1.8567920342678412</v>
      </c>
      <c r="E706" s="10">
        <f t="shared" ref="E706:E769" si="114">$B$14+EXP(D706)</f>
        <v>6.4031626621568245</v>
      </c>
      <c r="F706" s="10">
        <f t="shared" si="107"/>
        <v>4.7619091399173641E-2</v>
      </c>
      <c r="G706" s="10">
        <f t="shared" ref="G706:G769" si="115">$C$45+$C$46*B706+$C$47*C706</f>
        <v>-0.29509215264016114</v>
      </c>
      <c r="H706" s="10">
        <f t="shared" ref="H706:H769" si="116">$C$14+($C$15-$C$14)/(1+EXP(-G706))</f>
        <v>0.42675768335500863</v>
      </c>
      <c r="I706" s="10">
        <f t="shared" si="108"/>
        <v>1.0953026905768382E-3</v>
      </c>
      <c r="J706" s="20">
        <f t="shared" ref="J706:J769" si="117">G706-($B$22+$B$21*D706)</f>
        <v>0</v>
      </c>
      <c r="K706" s="10">
        <f t="shared" si="109"/>
        <v>7.464598940036371E-3</v>
      </c>
      <c r="L706" s="10">
        <f t="shared" si="110"/>
        <v>4.4787593640220336E-3</v>
      </c>
    </row>
    <row r="707" spans="1:12" x14ac:dyDescent="0.2">
      <c r="A707" s="14">
        <v>0.64200000000000002</v>
      </c>
      <c r="B707" s="10">
        <f t="shared" si="111"/>
        <v>0.58405531728926097</v>
      </c>
      <c r="C707" s="10">
        <f t="shared" si="112"/>
        <v>8.2935855055075072E-2</v>
      </c>
      <c r="D707" s="10">
        <f t="shared" si="113"/>
        <v>1.8642879563750812</v>
      </c>
      <c r="E707" s="10">
        <f t="shared" si="114"/>
        <v>6.4513406142118592</v>
      </c>
      <c r="F707" s="10">
        <f t="shared" ref="F707:F770" si="118">E707-E706</f>
        <v>4.8177952055034723E-2</v>
      </c>
      <c r="G707" s="10">
        <f t="shared" si="115"/>
        <v>-0.29059459937581733</v>
      </c>
      <c r="H707" s="10">
        <f t="shared" si="116"/>
        <v>0.42785830553220422</v>
      </c>
      <c r="I707" s="10">
        <f t="shared" ref="I707:I770" si="119">H707-H706</f>
        <v>1.1006221771955871E-3</v>
      </c>
      <c r="J707" s="20">
        <f t="shared" si="117"/>
        <v>0</v>
      </c>
      <c r="K707" s="10">
        <f t="shared" ref="K707:K770" si="120">D707-D706</f>
        <v>7.4959221072399274E-3</v>
      </c>
      <c r="L707" s="10">
        <f t="shared" ref="L707:L770" si="121">G707-G706</f>
        <v>4.4975532643438121E-3</v>
      </c>
    </row>
    <row r="708" spans="1:12" x14ac:dyDescent="0.2">
      <c r="A708" s="14">
        <v>0.64300000000000002</v>
      </c>
      <c r="B708" s="10">
        <f t="shared" si="111"/>
        <v>0.58840894245798037</v>
      </c>
      <c r="C708" s="10">
        <f t="shared" si="112"/>
        <v>8.4142478771491197E-2</v>
      </c>
      <c r="D708" s="10">
        <f t="shared" si="113"/>
        <v>1.8718153151643404</v>
      </c>
      <c r="E708" s="10">
        <f t="shared" si="114"/>
        <v>6.5000853992688663</v>
      </c>
      <c r="F708" s="10">
        <f t="shared" si="118"/>
        <v>4.8744785057007078E-2</v>
      </c>
      <c r="G708" s="10">
        <f t="shared" si="115"/>
        <v>-0.28607818410226171</v>
      </c>
      <c r="H708" s="10">
        <f t="shared" si="116"/>
        <v>0.4289642624751806</v>
      </c>
      <c r="I708" s="10">
        <f t="shared" si="119"/>
        <v>1.1059569429763827E-3</v>
      </c>
      <c r="J708" s="20">
        <f t="shared" si="117"/>
        <v>0</v>
      </c>
      <c r="K708" s="10">
        <f t="shared" si="120"/>
        <v>7.5273587892592531E-3</v>
      </c>
      <c r="L708" s="10">
        <f t="shared" si="121"/>
        <v>4.5164152735556184E-3</v>
      </c>
    </row>
    <row r="709" spans="1:12" x14ac:dyDescent="0.2">
      <c r="A709" s="14">
        <v>0.64400000000000002</v>
      </c>
      <c r="B709" s="10">
        <f t="shared" si="111"/>
        <v>0.59276799525232327</v>
      </c>
      <c r="C709" s="10">
        <f t="shared" si="112"/>
        <v>8.5358591316334553E-2</v>
      </c>
      <c r="D709" s="10">
        <f t="shared" si="113"/>
        <v>1.8793742251651346</v>
      </c>
      <c r="E709" s="10">
        <f t="shared" si="114"/>
        <v>6.5494051266576712</v>
      </c>
      <c r="F709" s="10">
        <f t="shared" si="118"/>
        <v>4.9319727388804857E-2</v>
      </c>
      <c r="G709" s="10">
        <f t="shared" si="115"/>
        <v>-0.28154283810178526</v>
      </c>
      <c r="H709" s="10">
        <f t="shared" si="116"/>
        <v>0.43007556940134739</v>
      </c>
      <c r="I709" s="10">
        <f t="shared" si="119"/>
        <v>1.1113069261667885E-3</v>
      </c>
      <c r="J709" s="20">
        <f t="shared" si="117"/>
        <v>0</v>
      </c>
      <c r="K709" s="10">
        <f t="shared" si="120"/>
        <v>7.5589100007942278E-3</v>
      </c>
      <c r="L709" s="10">
        <f t="shared" si="121"/>
        <v>4.5353460004764479E-3</v>
      </c>
    </row>
    <row r="710" spans="1:12" x14ac:dyDescent="0.2">
      <c r="A710" s="14">
        <v>0.64500000000000002</v>
      </c>
      <c r="B710" s="10">
        <f t="shared" si="111"/>
        <v>0.59713252732035682</v>
      </c>
      <c r="C710" s="10">
        <f t="shared" si="112"/>
        <v>8.6584216461451743E-2</v>
      </c>
      <c r="D710" s="10">
        <f t="shared" si="113"/>
        <v>1.8869648019321539</v>
      </c>
      <c r="E710" s="10">
        <f t="shared" si="114"/>
        <v>6.5993080454138582</v>
      </c>
      <c r="F710" s="10">
        <f t="shared" si="118"/>
        <v>4.990291875618702E-2</v>
      </c>
      <c r="G710" s="10">
        <f t="shared" si="115"/>
        <v>-0.27698849204157361</v>
      </c>
      <c r="H710" s="10">
        <f t="shared" si="116"/>
        <v>0.43119224146365848</v>
      </c>
      <c r="I710" s="10">
        <f t="shared" si="119"/>
        <v>1.116672062311086E-3</v>
      </c>
      <c r="J710" s="20">
        <f t="shared" si="117"/>
        <v>0</v>
      </c>
      <c r="K710" s="10">
        <f t="shared" si="120"/>
        <v>7.5905767670192414E-3</v>
      </c>
      <c r="L710" s="10">
        <f t="shared" si="121"/>
        <v>4.5543460602116559E-3</v>
      </c>
    </row>
    <row r="711" spans="1:12" x14ac:dyDescent="0.2">
      <c r="A711" s="14">
        <v>0.64600000000000002</v>
      </c>
      <c r="B711" s="10">
        <f t="shared" si="111"/>
        <v>0.6015025906488275</v>
      </c>
      <c r="C711" s="10">
        <f t="shared" si="112"/>
        <v>8.7819378234728823E-2</v>
      </c>
      <c r="D711" s="10">
        <f t="shared" si="113"/>
        <v>1.8945871620558912</v>
      </c>
      <c r="E711" s="10">
        <f t="shared" si="114"/>
        <v>6.6498025470625155</v>
      </c>
      <c r="F711" s="10">
        <f t="shared" si="118"/>
        <v>5.0494501648657319E-2</v>
      </c>
      <c r="G711" s="10">
        <f t="shared" si="115"/>
        <v>-0.27241507596733139</v>
      </c>
      <c r="H711" s="10">
        <f t="shared" si="116"/>
        <v>0.43231429374786551</v>
      </c>
      <c r="I711" s="10">
        <f t="shared" si="119"/>
        <v>1.1220522842070313E-3</v>
      </c>
      <c r="J711" s="20">
        <f t="shared" si="117"/>
        <v>0</v>
      </c>
      <c r="K711" s="10">
        <f t="shared" si="120"/>
        <v>7.6223601237372929E-3</v>
      </c>
      <c r="L711" s="10">
        <f t="shared" si="121"/>
        <v>4.5734160742422203E-3</v>
      </c>
    </row>
    <row r="712" spans="1:12" x14ac:dyDescent="0.2">
      <c r="A712" s="14">
        <v>0.64700000000000002</v>
      </c>
      <c r="B712" s="10">
        <f t="shared" si="111"/>
        <v>0.60587823756760384</v>
      </c>
      <c r="C712" s="10">
        <f t="shared" si="112"/>
        <v>8.9064100922437772E-2</v>
      </c>
      <c r="D712" s="10">
        <f t="shared" si="113"/>
        <v>1.9022414231734173</v>
      </c>
      <c r="E712" s="10">
        <f t="shared" si="114"/>
        <v>6.7008971684651719</v>
      </c>
      <c r="F712" s="10">
        <f t="shared" si="118"/>
        <v>5.1094621402656415E-2</v>
      </c>
      <c r="G712" s="10">
        <f t="shared" si="115"/>
        <v>-0.26782251929681555</v>
      </c>
      <c r="H712" s="10">
        <f t="shared" si="116"/>
        <v>0.43344174126972984</v>
      </c>
      <c r="I712" s="10">
        <f t="shared" si="119"/>
        <v>1.1274475218643332E-3</v>
      </c>
      <c r="J712" s="20">
        <f t="shared" si="117"/>
        <v>0</v>
      </c>
      <c r="K712" s="10">
        <f t="shared" si="120"/>
        <v>7.6542611175260955E-3</v>
      </c>
      <c r="L712" s="10">
        <f t="shared" si="121"/>
        <v>4.5925566705158349E-3</v>
      </c>
    </row>
    <row r="713" spans="1:12" x14ac:dyDescent="0.2">
      <c r="A713" s="14">
        <v>0.64800000000000002</v>
      </c>
      <c r="B713" s="10">
        <f t="shared" si="111"/>
        <v>0.61025952075417766</v>
      </c>
      <c r="C713" s="10">
        <f t="shared" si="112"/>
        <v>9.0318409071618311E-2</v>
      </c>
      <c r="D713" s="10">
        <f t="shared" si="113"/>
        <v>1.9099277039793159</v>
      </c>
      <c r="E713" s="10">
        <f t="shared" si="114"/>
        <v>6.7526005947316348</v>
      </c>
      <c r="F713" s="10">
        <f t="shared" si="118"/>
        <v>5.1703426266462849E-2</v>
      </c>
      <c r="G713" s="10">
        <f t="shared" si="115"/>
        <v>-0.26321075081327644</v>
      </c>
      <c r="H713" s="10">
        <f t="shared" si="116"/>
        <v>0.4345745989721897</v>
      </c>
      <c r="I713" s="10">
        <f t="shared" si="119"/>
        <v>1.1328577024598552E-3</v>
      </c>
      <c r="J713" s="20">
        <f t="shared" si="117"/>
        <v>0</v>
      </c>
      <c r="K713" s="10">
        <f t="shared" si="120"/>
        <v>7.6862808058986154E-3</v>
      </c>
      <c r="L713" s="10">
        <f t="shared" si="121"/>
        <v>4.6117684835391137E-3</v>
      </c>
    </row>
    <row r="714" spans="1:12" x14ac:dyDescent="0.2">
      <c r="A714" s="14">
        <v>0.64900000000000002</v>
      </c>
      <c r="B714" s="10">
        <f t="shared" si="111"/>
        <v>0.61464649323822429</v>
      </c>
      <c r="C714" s="10">
        <f t="shared" si="112"/>
        <v>9.1582327492495438E-2</v>
      </c>
      <c r="D714" s="10">
        <f t="shared" si="113"/>
        <v>1.9176461242367675</v>
      </c>
      <c r="E714" s="10">
        <f t="shared" si="114"/>
        <v>6.8049216621982742</v>
      </c>
      <c r="F714" s="10">
        <f t="shared" si="118"/>
        <v>5.2321067466639448E-2</v>
      </c>
      <c r="G714" s="10">
        <f t="shared" si="115"/>
        <v>-0.25857969865880559</v>
      </c>
      <c r="H714" s="10">
        <f t="shared" si="116"/>
        <v>0.43571288172248507</v>
      </c>
      <c r="I714" s="10">
        <f t="shared" si="119"/>
        <v>1.1382827502953718E-3</v>
      </c>
      <c r="J714" s="20">
        <f t="shared" si="117"/>
        <v>0</v>
      </c>
      <c r="K714" s="10">
        <f t="shared" si="120"/>
        <v>7.7184202574516192E-3</v>
      </c>
      <c r="L714" s="10">
        <f t="shared" si="121"/>
        <v>4.6310521544708494E-3</v>
      </c>
    </row>
    <row r="715" spans="1:12" x14ac:dyDescent="0.2">
      <c r="A715" s="14">
        <v>0.65</v>
      </c>
      <c r="B715" s="10">
        <f t="shared" si="111"/>
        <v>0.61903920840622362</v>
      </c>
      <c r="C715" s="10">
        <f t="shared" si="112"/>
        <v>9.2855881260933554E-2</v>
      </c>
      <c r="D715" s="10">
        <f t="shared" si="113"/>
        <v>1.9253968047887984</v>
      </c>
      <c r="E715" s="10">
        <f t="shared" si="114"/>
        <v>6.8578693614745498</v>
      </c>
      <c r="F715" s="10">
        <f t="shared" si="118"/>
        <v>5.2947699276275628E-2</v>
      </c>
      <c r="G715" s="10">
        <f t="shared" si="115"/>
        <v>-0.25392929032758693</v>
      </c>
      <c r="H715" s="10">
        <f t="shared" si="116"/>
        <v>0.43685660430923706</v>
      </c>
      <c r="I715" s="10">
        <f t="shared" si="119"/>
        <v>1.143722586751994E-3</v>
      </c>
      <c r="J715" s="20">
        <f t="shared" si="117"/>
        <v>0</v>
      </c>
      <c r="K715" s="10">
        <f t="shared" si="120"/>
        <v>7.7506805520308752E-3</v>
      </c>
      <c r="L715" s="10">
        <f t="shared" si="121"/>
        <v>4.6504083312186584E-3</v>
      </c>
    </row>
    <row r="716" spans="1:12" x14ac:dyDescent="0.2">
      <c r="A716" s="14">
        <v>0.65100000000000002</v>
      </c>
      <c r="B716" s="10">
        <f t="shared" si="111"/>
        <v>0.62343772000614217</v>
      </c>
      <c r="C716" s="10">
        <f t="shared" si="112"/>
        <v>9.4139095720927476E-2</v>
      </c>
      <c r="D716" s="10">
        <f t="shared" si="113"/>
        <v>1.9331798675696892</v>
      </c>
      <c r="E716" s="10">
        <f t="shared" si="114"/>
        <v>6.9114528405594964</v>
      </c>
      <c r="F716" s="10">
        <f t="shared" si="118"/>
        <v>5.3583479084946539E-2</v>
      </c>
      <c r="G716" s="10">
        <f t="shared" si="115"/>
        <v>-0.24925945265905233</v>
      </c>
      <c r="H716" s="10">
        <f t="shared" si="116"/>
        <v>0.43800578143948382</v>
      </c>
      <c r="I716" s="10">
        <f t="shared" si="119"/>
        <v>1.149177130246759E-3</v>
      </c>
      <c r="J716" s="20">
        <f t="shared" si="117"/>
        <v>0</v>
      </c>
      <c r="K716" s="10">
        <f t="shared" si="120"/>
        <v>7.7830627808908037E-3</v>
      </c>
      <c r="L716" s="10">
        <f t="shared" si="121"/>
        <v>4.6698376685345988E-3</v>
      </c>
    </row>
    <row r="717" spans="1:12" x14ac:dyDescent="0.2">
      <c r="A717" s="14">
        <v>0.65200000000000002</v>
      </c>
      <c r="B717" s="10">
        <f t="shared" si="111"/>
        <v>0.62784208215217874</v>
      </c>
      <c r="C717" s="10">
        <f t="shared" si="112"/>
        <v>9.5431996487131188E-2</v>
      </c>
      <c r="D717" s="10">
        <f t="shared" si="113"/>
        <v>1.9409954356165489</v>
      </c>
      <c r="E717" s="10">
        <f t="shared" si="114"/>
        <v>6.9656814080299716</v>
      </c>
      <c r="F717" s="10">
        <f t="shared" si="118"/>
        <v>5.422856747047522E-2</v>
      </c>
      <c r="G717" s="10">
        <f t="shared" si="115"/>
        <v>-0.24457011183093674</v>
      </c>
      <c r="H717" s="10">
        <f t="shared" si="116"/>
        <v>0.43916042773567088</v>
      </c>
      <c r="I717" s="10">
        <f t="shared" si="119"/>
        <v>1.1546462961870563E-3</v>
      </c>
      <c r="J717" s="20">
        <f t="shared" si="117"/>
        <v>-2.7755575615628914E-16</v>
      </c>
      <c r="K717" s="10">
        <f t="shared" si="120"/>
        <v>7.8155680468596778E-3</v>
      </c>
      <c r="L717" s="10">
        <f t="shared" si="121"/>
        <v>4.6893408281155902E-3</v>
      </c>
    </row>
    <row r="718" spans="1:12" x14ac:dyDescent="0.2">
      <c r="A718" s="14">
        <v>0.65300000000000002</v>
      </c>
      <c r="B718" s="10">
        <f t="shared" si="111"/>
        <v>0.63225234932957197</v>
      </c>
      <c r="C718" s="10">
        <f t="shared" si="112"/>
        <v>9.6734609447424527E-2</v>
      </c>
      <c r="D718" s="10">
        <f t="shared" si="113"/>
        <v>1.9488436330810515</v>
      </c>
      <c r="E718" s="10">
        <f t="shared" si="114"/>
        <v>7.0205645363024898</v>
      </c>
      <c r="F718" s="10">
        <f t="shared" si="118"/>
        <v>5.4883128272518178E-2</v>
      </c>
      <c r="G718" s="10">
        <f t="shared" si="115"/>
        <v>-0.23986119335223502</v>
      </c>
      <c r="H718" s="10">
        <f t="shared" si="116"/>
        <v>0.44032055773259593</v>
      </c>
      <c r="I718" s="10">
        <f t="shared" si="119"/>
        <v>1.1601299969250523E-3</v>
      </c>
      <c r="J718" s="20">
        <f t="shared" si="117"/>
        <v>0</v>
      </c>
      <c r="K718" s="10">
        <f t="shared" si="120"/>
        <v>7.8481974645026042E-3</v>
      </c>
      <c r="L718" s="10">
        <f t="shared" si="121"/>
        <v>4.7089184787017235E-3</v>
      </c>
    </row>
    <row r="719" spans="1:12" x14ac:dyDescent="0.2">
      <c r="A719" s="14">
        <v>0.65400000000000003</v>
      </c>
      <c r="B719" s="10">
        <f t="shared" si="111"/>
        <v>0.6366685763994745</v>
      </c>
      <c r="C719" s="10">
        <f t="shared" si="112"/>
        <v>9.8046960765519095E-2</v>
      </c>
      <c r="D719" s="10">
        <f t="shared" si="113"/>
        <v>1.9567245852413515</v>
      </c>
      <c r="E719" s="10">
        <f t="shared" si="114"/>
        <v>7.0761118649706498</v>
      </c>
      <c r="F719" s="10">
        <f t="shared" si="118"/>
        <v>5.5547328668160034E-2</v>
      </c>
      <c r="G719" s="10">
        <f t="shared" si="115"/>
        <v>-0.23513262205605523</v>
      </c>
      <c r="H719" s="10">
        <f t="shared" si="116"/>
        <v>0.44148618587430782</v>
      </c>
      <c r="I719" s="10">
        <f t="shared" si="119"/>
        <v>1.1656281417118941E-3</v>
      </c>
      <c r="J719" s="20">
        <f t="shared" si="117"/>
        <v>-2.2204460492503131E-16</v>
      </c>
      <c r="K719" s="10">
        <f t="shared" si="120"/>
        <v>7.8809521603000476E-3</v>
      </c>
      <c r="L719" s="10">
        <f t="shared" si="121"/>
        <v>4.7285712961797899E-3</v>
      </c>
    </row>
    <row r="720" spans="1:12" x14ac:dyDescent="0.2">
      <c r="A720" s="14">
        <v>0.65500000000000003</v>
      </c>
      <c r="B720" s="10">
        <f t="shared" si="111"/>
        <v>0.64109081860389228</v>
      </c>
      <c r="C720" s="10">
        <f t="shared" si="112"/>
        <v>9.9369076883603316E-2</v>
      </c>
      <c r="D720" s="10">
        <f t="shared" si="113"/>
        <v>1.9646384185141621</v>
      </c>
      <c r="E720" s="10">
        <f t="shared" si="114"/>
        <v>7.1323332042199707</v>
      </c>
      <c r="F720" s="10">
        <f t="shared" si="118"/>
        <v>5.6221339249320934E-2</v>
      </c>
      <c r="G720" s="10">
        <f t="shared" si="115"/>
        <v>-0.23038432209236867</v>
      </c>
      <c r="H720" s="10">
        <f t="shared" si="116"/>
        <v>0.44265732651095957</v>
      </c>
      <c r="I720" s="10">
        <f t="shared" si="119"/>
        <v>1.1711406366517463E-3</v>
      </c>
      <c r="J720" s="20">
        <f t="shared" si="117"/>
        <v>0</v>
      </c>
      <c r="K720" s="10">
        <f t="shared" si="120"/>
        <v>7.9138332728105887E-3</v>
      </c>
      <c r="L720" s="10">
        <f t="shared" si="121"/>
        <v>4.7482999636865586E-3</v>
      </c>
    </row>
    <row r="721" spans="1:12" x14ac:dyDescent="0.2">
      <c r="A721" s="14">
        <v>0.65600000000000003</v>
      </c>
      <c r="B721" s="10">
        <f t="shared" si="111"/>
        <v>0.64551913157069085</v>
      </c>
      <c r="C721" s="10">
        <f t="shared" si="112"/>
        <v>0.10070098452502779</v>
      </c>
      <c r="D721" s="10">
        <f t="shared" si="113"/>
        <v>1.9725852604670189</v>
      </c>
      <c r="E721" s="10">
        <f t="shared" si="114"/>
        <v>7.1892385383223143</v>
      </c>
      <c r="F721" s="10">
        <f t="shared" si="118"/>
        <v>5.6905334102343552E-2</v>
      </c>
      <c r="G721" s="10">
        <f t="shared" si="115"/>
        <v>-0.22561621692065476</v>
      </c>
      <c r="H721" s="10">
        <f t="shared" si="116"/>
        <v>0.44383399389561412</v>
      </c>
      <c r="I721" s="10">
        <f t="shared" si="119"/>
        <v>1.1766673846545506E-3</v>
      </c>
      <c r="J721" s="20">
        <f t="shared" si="117"/>
        <v>0</v>
      </c>
      <c r="K721" s="10">
        <f t="shared" si="120"/>
        <v>7.9468419528567757E-3</v>
      </c>
      <c r="L721" s="10">
        <f t="shared" si="121"/>
        <v>4.7681051717139156E-3</v>
      </c>
    </row>
    <row r="722" spans="1:12" x14ac:dyDescent="0.2">
      <c r="A722" s="14">
        <v>0.65700000000000003</v>
      </c>
      <c r="B722" s="10">
        <f t="shared" si="111"/>
        <v>0.64995357131867071</v>
      </c>
      <c r="C722" s="10">
        <f t="shared" si="112"/>
        <v>0.10204271069703132</v>
      </c>
      <c r="D722" s="10">
        <f t="shared" si="113"/>
        <v>1.9805652398307134</v>
      </c>
      <c r="E722" s="10">
        <f t="shared" si="114"/>
        <v>7.2468380292118191</v>
      </c>
      <c r="F722" s="10">
        <f t="shared" si="118"/>
        <v>5.7599490889504779E-2</v>
      </c>
      <c r="G722" s="10">
        <f t="shared" si="115"/>
        <v>-0.22082822930243798</v>
      </c>
      <c r="H722" s="10">
        <f t="shared" si="116"/>
        <v>0.44501620218100252</v>
      </c>
      <c r="I722" s="10">
        <f t="shared" si="119"/>
        <v>1.1822082853883975E-3</v>
      </c>
      <c r="J722" s="20">
        <f t="shared" si="117"/>
        <v>-2.4980018054066022E-16</v>
      </c>
      <c r="K722" s="10">
        <f t="shared" si="120"/>
        <v>7.9799793636945449E-3</v>
      </c>
      <c r="L722" s="10">
        <f t="shared" si="121"/>
        <v>4.7879876182167769E-3</v>
      </c>
    </row>
    <row r="723" spans="1:12" x14ac:dyDescent="0.2">
      <c r="A723" s="14">
        <v>0.65800000000000003</v>
      </c>
      <c r="B723" s="10">
        <f t="shared" si="111"/>
        <v>0.65439419426271217</v>
      </c>
      <c r="C723" s="10">
        <f t="shared" si="112"/>
        <v>0.10339428269350855</v>
      </c>
      <c r="D723" s="10">
        <f t="shared" si="113"/>
        <v>1.9885784865119169</v>
      </c>
      <c r="E723" s="10">
        <f t="shared" si="114"/>
        <v>7.3051420201446255</v>
      </c>
      <c r="F723" s="10">
        <f t="shared" si="118"/>
        <v>5.8303990932806471E-2</v>
      </c>
      <c r="G723" s="10">
        <f t="shared" si="115"/>
        <v>-0.21602028129371581</v>
      </c>
      <c r="H723" s="10">
        <f t="shared" si="116"/>
        <v>0.44620396541623597</v>
      </c>
      <c r="I723" s="10">
        <f t="shared" si="119"/>
        <v>1.1877632352334522E-3</v>
      </c>
      <c r="J723" s="20">
        <f t="shared" si="117"/>
        <v>0</v>
      </c>
      <c r="K723" s="10">
        <f t="shared" si="120"/>
        <v>8.0132466812035119E-3</v>
      </c>
      <c r="L723" s="10">
        <f t="shared" si="121"/>
        <v>4.8079480087221682E-3</v>
      </c>
    </row>
    <row r="724" spans="1:12" x14ac:dyDescent="0.2">
      <c r="A724" s="14">
        <v>0.65900000000000003</v>
      </c>
      <c r="B724" s="10">
        <f t="shared" si="111"/>
        <v>0.65884105721899056</v>
      </c>
      <c r="C724" s="10">
        <f t="shared" si="112"/>
        <v>0.10475572809781952</v>
      </c>
      <c r="D724" s="10">
        <f t="shared" si="113"/>
        <v>1.9966251316059831</v>
      </c>
      <c r="E724" s="10">
        <f t="shared" si="114"/>
        <v>7.3641610394444745</v>
      </c>
      <c r="F724" s="10">
        <f t="shared" si="118"/>
        <v>5.9019019299848985E-2</v>
      </c>
      <c r="G724" s="10">
        <f t="shared" si="115"/>
        <v>-0.21119229423727617</v>
      </c>
      <c r="H724" s="10">
        <f t="shared" si="116"/>
        <v>0.4473972975434678</v>
      </c>
      <c r="I724" s="10">
        <f t="shared" si="119"/>
        <v>1.1933321272318276E-3</v>
      </c>
      <c r="J724" s="20">
        <f t="shared" si="117"/>
        <v>-2.4980018054066022E-16</v>
      </c>
      <c r="K724" s="10">
        <f t="shared" si="120"/>
        <v>8.0466450940661627E-3</v>
      </c>
      <c r="L724" s="10">
        <f t="shared" si="121"/>
        <v>4.8279870564396365E-3</v>
      </c>
    </row>
    <row r="725" spans="1:12" x14ac:dyDescent="0.2">
      <c r="A725" s="14">
        <v>0.66</v>
      </c>
      <c r="B725" s="10">
        <f t="shared" si="111"/>
        <v>0.66329421741026429</v>
      </c>
      <c r="C725" s="10">
        <f t="shared" si="112"/>
        <v>0.1061270747856423</v>
      </c>
      <c r="D725" s="10">
        <f t="shared" si="113"/>
        <v>2.0047053074099415</v>
      </c>
      <c r="E725" s="10">
        <f t="shared" si="114"/>
        <v>7.4239058043365178</v>
      </c>
      <c r="F725" s="10">
        <f t="shared" si="118"/>
        <v>5.9744764892043278E-2</v>
      </c>
      <c r="G725" s="10">
        <f t="shared" si="115"/>
        <v>-0.20634418875490124</v>
      </c>
      <c r="H725" s="10">
        <f t="shared" si="116"/>
        <v>0.44859621239450831</v>
      </c>
      <c r="I725" s="10">
        <f t="shared" si="119"/>
        <v>1.1989148510405112E-3</v>
      </c>
      <c r="J725" s="20">
        <f t="shared" si="117"/>
        <v>-3.3306690738754696E-16</v>
      </c>
      <c r="K725" s="10">
        <f t="shared" si="120"/>
        <v>8.0801758039583671E-3</v>
      </c>
      <c r="L725" s="10">
        <f t="shared" si="121"/>
        <v>4.848105482374937E-3</v>
      </c>
    </row>
    <row r="726" spans="1:12" x14ac:dyDescent="0.2">
      <c r="A726" s="14">
        <v>0.66100000000000003</v>
      </c>
      <c r="B726" s="10">
        <f t="shared" si="111"/>
        <v>0.66775373247123615</v>
      </c>
      <c r="C726" s="10">
        <f t="shared" si="112"/>
        <v>0.10750835092786905</v>
      </c>
      <c r="D726" s="10">
        <f t="shared" si="113"/>
        <v>2.0128191474356822</v>
      </c>
      <c r="E726" s="10">
        <f t="shared" si="114"/>
        <v>7.4843872248716439</v>
      </c>
      <c r="F726" s="10">
        <f t="shared" si="118"/>
        <v>6.0481420535126063E-2</v>
      </c>
      <c r="G726" s="10">
        <f t="shared" si="115"/>
        <v>-0.20147588473945668</v>
      </c>
      <c r="H726" s="10">
        <f t="shared" si="116"/>
        <v>0.44980072368739082</v>
      </c>
      <c r="I726" s="10">
        <f t="shared" si="119"/>
        <v>1.2045112928825152E-3</v>
      </c>
      <c r="J726" s="20">
        <f t="shared" si="117"/>
        <v>-2.4980018054066022E-16</v>
      </c>
      <c r="K726" s="10">
        <f t="shared" si="120"/>
        <v>8.1138400257407817E-3</v>
      </c>
      <c r="L726" s="10">
        <f t="shared" si="121"/>
        <v>4.8683040154445523E-3</v>
      </c>
    </row>
    <row r="727" spans="1:12" x14ac:dyDescent="0.2">
      <c r="A727" s="14">
        <v>0.66200000000000003</v>
      </c>
      <c r="B727" s="10">
        <f t="shared" si="111"/>
        <v>0.67221966045398951</v>
      </c>
      <c r="C727" s="10">
        <f t="shared" si="112"/>
        <v>0.10889958499354632</v>
      </c>
      <c r="D727" s="10">
        <f t="shared" si="113"/>
        <v>2.0209667864233363</v>
      </c>
      <c r="E727" s="10">
        <f t="shared" si="114"/>
        <v>7.545616407943724</v>
      </c>
      <c r="F727" s="10">
        <f t="shared" si="118"/>
        <v>6.122918307208014E-2</v>
      </c>
      <c r="G727" s="10">
        <f t="shared" si="115"/>
        <v>-0.19658730134686425</v>
      </c>
      <c r="H727" s="10">
        <f t="shared" si="116"/>
        <v>0.45101084502288658</v>
      </c>
      <c r="I727" s="10">
        <f t="shared" si="119"/>
        <v>1.2101213354957507E-3</v>
      </c>
      <c r="J727" s="20">
        <f t="shared" si="117"/>
        <v>0</v>
      </c>
      <c r="K727" s="10">
        <f t="shared" si="120"/>
        <v>8.1476389876540267E-3</v>
      </c>
      <c r="L727" s="10">
        <f t="shared" si="121"/>
        <v>4.8885833925924327E-3</v>
      </c>
    </row>
    <row r="728" spans="1:12" x14ac:dyDescent="0.2">
      <c r="A728" s="14">
        <v>0.66300000000000003</v>
      </c>
      <c r="B728" s="10">
        <f t="shared" si="111"/>
        <v>0.67669205983350089</v>
      </c>
      <c r="C728" s="10">
        <f t="shared" si="112"/>
        <v>0.11030080575286066</v>
      </c>
      <c r="D728" s="10">
        <f t="shared" si="113"/>
        <v>2.0291483603548524</v>
      </c>
      <c r="E728" s="10">
        <f t="shared" si="114"/>
        <v>7.6076046614022461</v>
      </c>
      <c r="F728" s="10">
        <f t="shared" si="118"/>
        <v>6.1988253458522102E-2</v>
      </c>
      <c r="G728" s="10">
        <f t="shared" si="115"/>
        <v>-0.19167835698795452</v>
      </c>
      <c r="H728" s="10">
        <f t="shared" si="116"/>
        <v>0.45222658988097253</v>
      </c>
      <c r="I728" s="10">
        <f t="shared" si="119"/>
        <v>1.2157448580859542E-3</v>
      </c>
      <c r="J728" s="20">
        <f t="shared" si="117"/>
        <v>0</v>
      </c>
      <c r="K728" s="10">
        <f t="shared" si="120"/>
        <v>8.181573931516084E-3</v>
      </c>
      <c r="L728" s="10">
        <f t="shared" si="121"/>
        <v>4.9089443589097337E-3</v>
      </c>
    </row>
    <row r="729" spans="1:12" x14ac:dyDescent="0.2">
      <c r="A729" s="14">
        <v>0.66400000000000003</v>
      </c>
      <c r="B729" s="10">
        <f t="shared" si="111"/>
        <v>0.68117098951322974</v>
      </c>
      <c r="C729" s="10">
        <f t="shared" si="112"/>
        <v>0.1117120422801697</v>
      </c>
      <c r="D729" s="10">
        <f t="shared" si="113"/>
        <v>2.0373640064677767</v>
      </c>
      <c r="E729" s="10">
        <f t="shared" si="114"/>
        <v>7.6703634982628746</v>
      </c>
      <c r="F729" s="10">
        <f t="shared" si="118"/>
        <v>6.2758836860628442E-2</v>
      </c>
      <c r="G729" s="10">
        <f t="shared" si="115"/>
        <v>-0.1867489693202001</v>
      </c>
      <c r="H729" s="10">
        <f t="shared" si="116"/>
        <v>0.45344797161724676</v>
      </c>
      <c r="I729" s="10">
        <f t="shared" si="119"/>
        <v>1.2213817362742296E-3</v>
      </c>
      <c r="J729" s="20">
        <f t="shared" si="117"/>
        <v>-3.0531133177191805E-16</v>
      </c>
      <c r="K729" s="10">
        <f t="shared" si="120"/>
        <v>8.2156461129243574E-3</v>
      </c>
      <c r="L729" s="10">
        <f t="shared" si="121"/>
        <v>4.9293876677544146E-3</v>
      </c>
    </row>
    <row r="730" spans="1:12" x14ac:dyDescent="0.2">
      <c r="A730" s="14">
        <v>0.66500000000000004</v>
      </c>
      <c r="B730" s="10">
        <f t="shared" si="111"/>
        <v>0.68565650883078788</v>
      </c>
      <c r="C730" s="10">
        <f t="shared" si="112"/>
        <v>0.11313332395708002</v>
      </c>
      <c r="D730" s="10">
        <f t="shared" si="113"/>
        <v>2.045613863269236</v>
      </c>
      <c r="E730" s="10">
        <f t="shared" si="114"/>
        <v>7.7339046410185519</v>
      </c>
      <c r="F730" s="10">
        <f t="shared" si="118"/>
        <v>6.3541142755677349E-2</v>
      </c>
      <c r="G730" s="10">
        <f t="shared" si="115"/>
        <v>-0.18179905523932438</v>
      </c>
      <c r="H730" s="10">
        <f t="shared" si="116"/>
        <v>0.45467500345929407</v>
      </c>
      <c r="I730" s="10">
        <f t="shared" si="119"/>
        <v>1.2270318420473103E-3</v>
      </c>
      <c r="J730" s="20">
        <f t="shared" si="117"/>
        <v>0</v>
      </c>
      <c r="K730" s="10">
        <f t="shared" si="120"/>
        <v>8.2498568014592877E-3</v>
      </c>
      <c r="L730" s="10">
        <f t="shared" si="121"/>
        <v>4.9499140808757225E-3</v>
      </c>
    </row>
    <row r="731" spans="1:12" x14ac:dyDescent="0.2">
      <c r="A731" s="14">
        <v>0.66600000000000004</v>
      </c>
      <c r="B731" s="10">
        <f t="shared" si="111"/>
        <v>0.69014867756368892</v>
      </c>
      <c r="C731" s="10">
        <f t="shared" si="112"/>
        <v>0.11456468047557239</v>
      </c>
      <c r="D731" s="10">
        <f t="shared" si="113"/>
        <v>2.053898070550134</v>
      </c>
      <c r="E731" s="10">
        <f t="shared" si="114"/>
        <v>7.7982400260538824</v>
      </c>
      <c r="F731" s="10">
        <f t="shared" si="118"/>
        <v>6.4335385035330539E-2</v>
      </c>
      <c r="G731" s="10">
        <f t="shared" si="115"/>
        <v>-0.17682853087078568</v>
      </c>
      <c r="H731" s="10">
        <f t="shared" si="116"/>
        <v>0.45590769850300095</v>
      </c>
      <c r="I731" s="10">
        <f t="shared" si="119"/>
        <v>1.2326950437068773E-3</v>
      </c>
      <c r="J731" s="20">
        <f t="shared" si="117"/>
        <v>0</v>
      </c>
      <c r="K731" s="10">
        <f t="shared" si="120"/>
        <v>8.2842072808979594E-3</v>
      </c>
      <c r="L731" s="10">
        <f t="shared" si="121"/>
        <v>4.9705243685387035E-3</v>
      </c>
    </row>
    <row r="732" spans="1:12" x14ac:dyDescent="0.2">
      <c r="A732" s="14">
        <v>0.66700000000000004</v>
      </c>
      <c r="B732" s="10">
        <f t="shared" si="111"/>
        <v>0.69464755593518002</v>
      </c>
      <c r="C732" s="10">
        <f t="shared" si="112"/>
        <v>0.11600614184117509</v>
      </c>
      <c r="D732" s="10">
        <f t="shared" si="113"/>
        <v>2.0622167693995537</v>
      </c>
      <c r="E732" s="10">
        <f t="shared" si="114"/>
        <v>7.8633818081654816</v>
      </c>
      <c r="F732" s="10">
        <f t="shared" si="118"/>
        <v>6.5141782111599156E-2</v>
      </c>
      <c r="G732" s="10">
        <f t="shared" si="115"/>
        <v>-0.1718373115611338</v>
      </c>
      <c r="H732" s="10">
        <f t="shared" si="116"/>
        <v>0.45714606970881883</v>
      </c>
      <c r="I732" s="10">
        <f t="shared" si="119"/>
        <v>1.2383712058178786E-3</v>
      </c>
      <c r="J732" s="20">
        <f t="shared" si="117"/>
        <v>-2.2204460492503131E-16</v>
      </c>
      <c r="K732" s="10">
        <f t="shared" si="120"/>
        <v>8.3186988494197145E-3</v>
      </c>
      <c r="L732" s="10">
        <f t="shared" si="121"/>
        <v>4.9912193096518787E-3</v>
      </c>
    </row>
    <row r="733" spans="1:12" x14ac:dyDescent="0.2">
      <c r="A733" s="14">
        <v>0.66800000000000004</v>
      </c>
      <c r="B733" s="10">
        <f t="shared" si="111"/>
        <v>0.69915320462015729</v>
      </c>
      <c r="C733" s="10">
        <f t="shared" si="112"/>
        <v>0.11745773837618645</v>
      </c>
      <c r="D733" s="10">
        <f t="shared" si="113"/>
        <v>2.0705701022193819</v>
      </c>
      <c r="E733" s="10">
        <f t="shared" si="114"/>
        <v>7.9293423651912498</v>
      </c>
      <c r="F733" s="10">
        <f t="shared" si="118"/>
        <v>6.5960557025768196E-2</v>
      </c>
      <c r="G733" s="10">
        <f t="shared" si="115"/>
        <v>-0.16682531186923677</v>
      </c>
      <c r="H733" s="10">
        <f t="shared" si="116"/>
        <v>0.45839012989797467</v>
      </c>
      <c r="I733" s="10">
        <f t="shared" si="119"/>
        <v>1.2440601891558489E-3</v>
      </c>
      <c r="J733" s="20">
        <f t="shared" si="117"/>
        <v>0</v>
      </c>
      <c r="K733" s="10">
        <f t="shared" si="120"/>
        <v>8.3533328198281964E-3</v>
      </c>
      <c r="L733" s="10">
        <f t="shared" si="121"/>
        <v>5.0119996918970289E-3</v>
      </c>
    </row>
    <row r="734" spans="1:12" x14ac:dyDescent="0.2">
      <c r="A734" s="14">
        <v>0.66900000000000004</v>
      </c>
      <c r="B734" s="10">
        <f t="shared" si="111"/>
        <v>0.70366568475116564</v>
      </c>
      <c r="C734" s="10">
        <f t="shared" si="112"/>
        <v>0.11891950072294702</v>
      </c>
      <c r="D734" s="10">
        <f t="shared" si="113"/>
        <v>2.0789582127391508</v>
      </c>
      <c r="E734" s="10">
        <f t="shared" si="114"/>
        <v>7.996134302751452</v>
      </c>
      <c r="F734" s="10">
        <f t="shared" si="118"/>
        <v>6.6791937560202186E-2</v>
      </c>
      <c r="G734" s="10">
        <f t="shared" si="115"/>
        <v>-0.1617924455573754</v>
      </c>
      <c r="H734" s="10">
        <f t="shared" si="116"/>
        <v>0.45963989174863135</v>
      </c>
      <c r="I734" s="10">
        <f t="shared" si="119"/>
        <v>1.2497618506566721E-3</v>
      </c>
      <c r="J734" s="20">
        <f t="shared" si="117"/>
        <v>0</v>
      </c>
      <c r="K734" s="10">
        <f t="shared" si="120"/>
        <v>8.3881105197689543E-3</v>
      </c>
      <c r="L734" s="10">
        <f t="shared" si="121"/>
        <v>5.032866311861367E-3</v>
      </c>
    </row>
    <row r="735" spans="1:12" x14ac:dyDescent="0.2">
      <c r="A735" s="14">
        <v>0.67</v>
      </c>
      <c r="B735" s="10">
        <f t="shared" si="111"/>
        <v>0.70818505792448605</v>
      </c>
      <c r="C735" s="10">
        <f t="shared" si="112"/>
        <v>0.12039145984716265</v>
      </c>
      <c r="D735" s="10">
        <f t="shared" si="113"/>
        <v>2.0873812460311036</v>
      </c>
      <c r="E735" s="10">
        <f t="shared" si="114"/>
        <v>8.0637704591046511</v>
      </c>
      <c r="F735" s="10">
        <f t="shared" si="118"/>
        <v>6.7636156353199084E-2</v>
      </c>
      <c r="G735" s="10">
        <f t="shared" si="115"/>
        <v>-0.15673862558220392</v>
      </c>
      <c r="H735" s="10">
        <f t="shared" si="116"/>
        <v>0.46089536779199297</v>
      </c>
      <c r="I735" s="10">
        <f t="shared" si="119"/>
        <v>1.2554760433616252E-3</v>
      </c>
      <c r="J735" s="20">
        <f t="shared" si="117"/>
        <v>-2.7755575615628914E-16</v>
      </c>
      <c r="K735" s="10">
        <f t="shared" si="120"/>
        <v>8.4230332919528195E-3</v>
      </c>
      <c r="L735" s="10">
        <f t="shared" si="121"/>
        <v>5.0538199751714863E-3</v>
      </c>
    </row>
    <row r="736" spans="1:12" x14ac:dyDescent="0.2">
      <c r="A736" s="14">
        <v>0.67100000000000004</v>
      </c>
      <c r="B736" s="10">
        <f t="shared" si="111"/>
        <v>0.71271138620631003</v>
      </c>
      <c r="C736" s="10">
        <f t="shared" si="112"/>
        <v>0.12187364704127904</v>
      </c>
      <c r="D736" s="10">
        <f t="shared" si="113"/>
        <v>2.0958393485254874</v>
      </c>
      <c r="E736" s="10">
        <f t="shared" si="114"/>
        <v>8.132263910121619</v>
      </c>
      <c r="F736" s="10">
        <f t="shared" si="118"/>
        <v>6.849345101696791E-2</v>
      </c>
      <c r="G736" s="10">
        <f t="shared" si="115"/>
        <v>-0.15166376408557364</v>
      </c>
      <c r="H736" s="10">
        <f t="shared" si="116"/>
        <v>0.46215657040835934</v>
      </c>
      <c r="I736" s="10">
        <f t="shared" si="119"/>
        <v>1.2612026163663637E-3</v>
      </c>
      <c r="J736" s="20">
        <f t="shared" si="117"/>
        <v>-2.7755575615628914E-16</v>
      </c>
      <c r="K736" s="10">
        <f t="shared" si="120"/>
        <v>8.4581024943837235E-3</v>
      </c>
      <c r="L736" s="10">
        <f t="shared" si="121"/>
        <v>5.0748614966302785E-3</v>
      </c>
    </row>
    <row r="737" spans="1:12" x14ac:dyDescent="0.2">
      <c r="A737" s="14">
        <v>0.67200000000000004</v>
      </c>
      <c r="B737" s="10">
        <f t="shared" si="111"/>
        <v>0.71724473213900608</v>
      </c>
      <c r="C737" s="10">
        <f t="shared" si="112"/>
        <v>0.12336609392790908</v>
      </c>
      <c r="D737" s="10">
        <f t="shared" si="113"/>
        <v>2.1043326680260828</v>
      </c>
      <c r="E737" s="10">
        <f t="shared" si="114"/>
        <v>8.2016279743804859</v>
      </c>
      <c r="F737" s="10">
        <f t="shared" si="118"/>
        <v>6.9364064258866875E-2</v>
      </c>
      <c r="G737" s="10">
        <f t="shared" si="115"/>
        <v>-0.14656777238521632</v>
      </c>
      <c r="H737" s="10">
        <f t="shared" si="116"/>
        <v>0.46342351182312569</v>
      </c>
      <c r="I737" s="10">
        <f t="shared" si="119"/>
        <v>1.2669414147663538E-3</v>
      </c>
      <c r="J737" s="20">
        <f t="shared" si="117"/>
        <v>0</v>
      </c>
      <c r="K737" s="10">
        <f t="shared" si="120"/>
        <v>8.4933195005953976E-3</v>
      </c>
      <c r="L737" s="10">
        <f t="shared" si="121"/>
        <v>5.0959917003573219E-3</v>
      </c>
    </row>
    <row r="738" spans="1:12" x14ac:dyDescent="0.2">
      <c r="A738" s="14">
        <v>0.67300000000000004</v>
      </c>
      <c r="B738" s="10">
        <f t="shared" si="111"/>
        <v>0.72178515874747462</v>
      </c>
      <c r="C738" s="10">
        <f t="shared" si="112"/>
        <v>0.12486883246331314</v>
      </c>
      <c r="D738" s="10">
        <f t="shared" si="113"/>
        <v>2.1128613537259628</v>
      </c>
      <c r="E738" s="10">
        <f t="shared" si="114"/>
        <v>8.2718762183863443</v>
      </c>
      <c r="F738" s="10">
        <f t="shared" si="118"/>
        <v>7.0248244005858496E-2</v>
      </c>
      <c r="G738" s="10">
        <f t="shared" si="115"/>
        <v>-0.14145056096528827</v>
      </c>
      <c r="H738" s="10">
        <f t="shared" si="116"/>
        <v>0.46469620410272938</v>
      </c>
      <c r="I738" s="10">
        <f t="shared" si="119"/>
        <v>1.2726922796036932E-3</v>
      </c>
      <c r="J738" s="20">
        <f t="shared" si="117"/>
        <v>0</v>
      </c>
      <c r="K738" s="10">
        <f t="shared" si="120"/>
        <v>8.5286856998800786E-3</v>
      </c>
      <c r="L738" s="10">
        <f t="shared" si="121"/>
        <v>5.1172114199280472E-3</v>
      </c>
    </row>
    <row r="739" spans="1:12" x14ac:dyDescent="0.2">
      <c r="A739" s="14">
        <v>0.67400000000000004</v>
      </c>
      <c r="B739" s="10">
        <f t="shared" si="111"/>
        <v>0.72633272954559969</v>
      </c>
      <c r="C739" s="10">
        <f t="shared" si="112"/>
        <v>0.12638189494093438</v>
      </c>
      <c r="D739" s="10">
        <f t="shared" si="113"/>
        <v>2.1214255562234987</v>
      </c>
      <c r="E739" s="10">
        <f t="shared" si="114"/>
        <v>8.3430224619188493</v>
      </c>
      <c r="F739" s="10">
        <f t="shared" si="118"/>
        <v>7.1146243532504982E-2</v>
      </c>
      <c r="G739" s="10">
        <f t="shared" si="115"/>
        <v>-0.13631203946676673</v>
      </c>
      <c r="H739" s="10">
        <f t="shared" si="116"/>
        <v>0.46597465915054181</v>
      </c>
      <c r="I739" s="10">
        <f t="shared" si="119"/>
        <v>1.2784550478124324E-3</v>
      </c>
      <c r="J739" s="20">
        <f t="shared" si="117"/>
        <v>0</v>
      </c>
      <c r="K739" s="10">
        <f t="shared" si="120"/>
        <v>8.5642024975358666E-3</v>
      </c>
      <c r="L739" s="10">
        <f t="shared" si="121"/>
        <v>5.1385214985215366E-3</v>
      </c>
    </row>
    <row r="740" spans="1:12" x14ac:dyDescent="0.2">
      <c r="A740" s="14">
        <v>0.67500000000000004</v>
      </c>
      <c r="B740" s="10">
        <f t="shared" si="111"/>
        <v>0.73088750854279261</v>
      </c>
      <c r="C740" s="10">
        <f t="shared" si="112"/>
        <v>0.12790531399498875</v>
      </c>
      <c r="D740" s="10">
        <f t="shared" si="113"/>
        <v>2.1300254275386048</v>
      </c>
      <c r="E740" s="10">
        <f t="shared" si="114"/>
        <v>8.4150807835112111</v>
      </c>
      <c r="F740" s="10">
        <f t="shared" si="118"/>
        <v>7.2058321592361807E-2</v>
      </c>
      <c r="G740" s="10">
        <f t="shared" si="115"/>
        <v>-0.13115211667770305</v>
      </c>
      <c r="H740" s="10">
        <f t="shared" si="116"/>
        <v>0.46725888870270699</v>
      </c>
      <c r="I740" s="10">
        <f t="shared" si="119"/>
        <v>1.2842295521651725E-3</v>
      </c>
      <c r="J740" s="20">
        <f t="shared" si="117"/>
        <v>0</v>
      </c>
      <c r="K740" s="10">
        <f t="shared" si="120"/>
        <v>8.599871315106089E-3</v>
      </c>
      <c r="L740" s="10">
        <f t="shared" si="121"/>
        <v>5.1599227890636867E-3</v>
      </c>
    </row>
    <row r="741" spans="1:12" x14ac:dyDescent="0.2">
      <c r="A741" s="14">
        <v>0.67600000000000005</v>
      </c>
      <c r="B741" s="10">
        <f t="shared" si="111"/>
        <v>0.7354495602506349</v>
      </c>
      <c r="C741" s="10">
        <f t="shared" si="112"/>
        <v>0.12943912260411178</v>
      </c>
      <c r="D741" s="10">
        <f t="shared" si="113"/>
        <v>2.1386611211292386</v>
      </c>
      <c r="E741" s="10">
        <f t="shared" si="114"/>
        <v>8.4880655260643447</v>
      </c>
      <c r="F741" s="10">
        <f t="shared" si="118"/>
        <v>7.2984742553133586E-2</v>
      </c>
      <c r="G741" s="10">
        <f t="shared" si="115"/>
        <v>-0.12597070052332299</v>
      </c>
      <c r="H741" s="10">
        <f t="shared" si="116"/>
        <v>0.46854890432392371</v>
      </c>
      <c r="I741" s="10">
        <f t="shared" si="119"/>
        <v>1.2900156212167224E-3</v>
      </c>
      <c r="J741" s="20">
        <f t="shared" si="117"/>
        <v>0</v>
      </c>
      <c r="K741" s="10">
        <f t="shared" si="120"/>
        <v>8.635693590633764E-3</v>
      </c>
      <c r="L741" s="10">
        <f t="shared" si="121"/>
        <v>5.1814161543800585E-3</v>
      </c>
    </row>
    <row r="742" spans="1:12" x14ac:dyDescent="0.2">
      <c r="A742" s="14">
        <v>0.67700000000000005</v>
      </c>
      <c r="B742" s="10">
        <f t="shared" si="111"/>
        <v>0.74001894968961879</v>
      </c>
      <c r="C742" s="10">
        <f t="shared" si="112"/>
        <v>0.13098335409506257</v>
      </c>
      <c r="D742" s="10">
        <f t="shared" si="113"/>
        <v>2.1473327919081493</v>
      </c>
      <c r="E742" s="10">
        <f t="shared" si="114"/>
        <v>8.5619913025997683</v>
      </c>
      <c r="F742" s="10">
        <f t="shared" si="118"/>
        <v>7.3925776535423537E-2</v>
      </c>
      <c r="G742" s="10">
        <f t="shared" si="115"/>
        <v>-0.12076769805597659</v>
      </c>
      <c r="H742" s="10">
        <f t="shared" si="116"/>
        <v>0.46984471740317379</v>
      </c>
      <c r="I742" s="10">
        <f t="shared" si="119"/>
        <v>1.2958130792500855E-3</v>
      </c>
      <c r="J742" s="20">
        <f t="shared" si="117"/>
        <v>-3.8857805861880479E-16</v>
      </c>
      <c r="K742" s="10">
        <f t="shared" si="120"/>
        <v>8.6716707789107339E-3</v>
      </c>
      <c r="L742" s="10">
        <f t="shared" si="121"/>
        <v>5.2030024673463959E-3</v>
      </c>
    </row>
    <row r="743" spans="1:12" x14ac:dyDescent="0.2">
      <c r="A743" s="14">
        <v>0.67800000000000005</v>
      </c>
      <c r="B743" s="10">
        <f t="shared" si="111"/>
        <v>0.74459574239598747</v>
      </c>
      <c r="C743" s="10">
        <f t="shared" si="112"/>
        <v>0.13253804214648582</v>
      </c>
      <c r="D743" s="10">
        <f t="shared" si="113"/>
        <v>2.1560405962598876</v>
      </c>
      <c r="E743" s="10">
        <f t="shared" si="114"/>
        <v>8.6368730021552338</v>
      </c>
      <c r="F743" s="10">
        <f t="shared" si="118"/>
        <v>7.4881699555465531E-2</v>
      </c>
      <c r="G743" s="10">
        <f t="shared" si="115"/>
        <v>-0.11554301544493331</v>
      </c>
      <c r="H743" s="10">
        <f t="shared" si="116"/>
        <v>0.47114633914939419</v>
      </c>
      <c r="I743" s="10">
        <f t="shared" si="119"/>
        <v>1.3016217462203938E-3</v>
      </c>
      <c r="J743" s="20">
        <f t="shared" si="117"/>
        <v>0</v>
      </c>
      <c r="K743" s="10">
        <f t="shared" si="120"/>
        <v>8.7078043517383463E-3</v>
      </c>
      <c r="L743" s="10">
        <f t="shared" si="121"/>
        <v>5.2246826110432798E-3</v>
      </c>
    </row>
    <row r="744" spans="1:12" x14ac:dyDescent="0.2">
      <c r="A744" s="14">
        <v>0.67900000000000005</v>
      </c>
      <c r="B744" s="10">
        <f t="shared" si="111"/>
        <v>0.74918000442868038</v>
      </c>
      <c r="C744" s="10">
        <f t="shared" si="112"/>
        <v>0.13410322079273382</v>
      </c>
      <c r="D744" s="10">
        <f t="shared" si="113"/>
        <v>2.1647846920580815</v>
      </c>
      <c r="E744" s="10">
        <f t="shared" si="114"/>
        <v>8.7127257958270103</v>
      </c>
      <c r="F744" s="10">
        <f t="shared" si="118"/>
        <v>7.5852793671776553E-2</v>
      </c>
      <c r="G744" s="10">
        <f t="shared" si="115"/>
        <v>-0.11029655796601701</v>
      </c>
      <c r="H744" s="10">
        <f t="shared" si="116"/>
        <v>0.47245378058709353</v>
      </c>
      <c r="I744" s="10">
        <f t="shared" si="119"/>
        <v>1.3074414376993415E-3</v>
      </c>
      <c r="J744" s="20">
        <f t="shared" si="117"/>
        <v>-1.1102230246251565E-16</v>
      </c>
      <c r="K744" s="10">
        <f t="shared" si="120"/>
        <v>8.7440957981939071E-3</v>
      </c>
      <c r="L744" s="10">
        <f t="shared" si="121"/>
        <v>5.2464574789163054E-3</v>
      </c>
    </row>
    <row r="745" spans="1:12" x14ac:dyDescent="0.2">
      <c r="A745" s="14">
        <v>0.68</v>
      </c>
      <c r="B745" s="10">
        <f t="shared" si="111"/>
        <v>0.75377180237638031</v>
      </c>
      <c r="C745" s="10">
        <f t="shared" si="112"/>
        <v>0.13567892442774848</v>
      </c>
      <c r="D745" s="10">
        <f t="shared" si="113"/>
        <v>2.1735652386829725</v>
      </c>
      <c r="E745" s="10">
        <f t="shared" si="114"/>
        <v>8.7895651429628785</v>
      </c>
      <c r="F745" s="10">
        <f t="shared" si="118"/>
        <v>7.6839347135868152E-2</v>
      </c>
      <c r="G745" s="10">
        <f t="shared" si="115"/>
        <v>-0.10502822999108252</v>
      </c>
      <c r="H745" s="10">
        <f t="shared" si="116"/>
        <v>0.47376705255191232</v>
      </c>
      <c r="I745" s="10">
        <f t="shared" si="119"/>
        <v>1.3132719648187852E-3</v>
      </c>
      <c r="J745" s="20">
        <f t="shared" si="117"/>
        <v>-2.2204460492503131E-16</v>
      </c>
      <c r="K745" s="10">
        <f t="shared" si="120"/>
        <v>8.780546624890917E-3</v>
      </c>
      <c r="L745" s="10">
        <f t="shared" si="121"/>
        <v>5.2683279749344836E-3</v>
      </c>
    </row>
    <row r="746" spans="1:12" x14ac:dyDescent="0.2">
      <c r="A746" s="14">
        <v>0.68100000000000005</v>
      </c>
      <c r="B746" s="10">
        <f t="shared" si="111"/>
        <v>0.75837120336466801</v>
      </c>
      <c r="C746" s="10">
        <f t="shared" si="112"/>
        <v>0.13726518780900496</v>
      </c>
      <c r="D746" s="10">
        <f t="shared" si="113"/>
        <v>2.1823823970392313</v>
      </c>
      <c r="E746" s="10">
        <f t="shared" si="114"/>
        <v>8.8674067975101316</v>
      </c>
      <c r="F746" s="10">
        <f t="shared" si="118"/>
        <v>7.7841654547253114E-2</v>
      </c>
      <c r="G746" s="10">
        <f t="shared" si="115"/>
        <v>-9.9737934977327136E-2</v>
      </c>
      <c r="H746" s="10">
        <f t="shared" si="116"/>
        <v>0.47508616568612622</v>
      </c>
      <c r="I746" s="10">
        <f t="shared" si="119"/>
        <v>1.3191131342139006E-3</v>
      </c>
      <c r="J746" s="20">
        <f t="shared" si="117"/>
        <v>0</v>
      </c>
      <c r="K746" s="10">
        <f t="shared" si="120"/>
        <v>8.8171583562588474E-3</v>
      </c>
      <c r="L746" s="10">
        <f t="shared" si="121"/>
        <v>5.2902950137553861E-3</v>
      </c>
    </row>
    <row r="747" spans="1:12" x14ac:dyDescent="0.2">
      <c r="A747" s="14">
        <v>0.68200000000000005</v>
      </c>
      <c r="B747" s="10">
        <f t="shared" si="111"/>
        <v>0.76297827506328553</v>
      </c>
      <c r="C747" s="10">
        <f t="shared" si="112"/>
        <v>0.138862046061518</v>
      </c>
      <c r="D747" s="10">
        <f t="shared" si="113"/>
        <v>2.1912363295740507</v>
      </c>
      <c r="E747" s="10">
        <f t="shared" si="114"/>
        <v>8.9462668145229198</v>
      </c>
      <c r="F747" s="10">
        <f t="shared" si="118"/>
        <v>7.8860017012788219E-2</v>
      </c>
      <c r="G747" s="10">
        <f t="shared" si="115"/>
        <v>-9.4425575456435595E-2</v>
      </c>
      <c r="H747" s="10">
        <f t="shared" si="116"/>
        <v>0.47641113043409344</v>
      </c>
      <c r="I747" s="10">
        <f t="shared" si="119"/>
        <v>1.3249647479672277E-3</v>
      </c>
      <c r="J747" s="20">
        <f t="shared" si="117"/>
        <v>-2.2204460492503131E-16</v>
      </c>
      <c r="K747" s="10">
        <f t="shared" si="120"/>
        <v>8.8539325348193643E-3</v>
      </c>
      <c r="L747" s="10">
        <f t="shared" si="121"/>
        <v>5.3123595208915408E-3</v>
      </c>
    </row>
    <row r="748" spans="1:12" x14ac:dyDescent="0.2">
      <c r="A748" s="14">
        <v>0.68300000000000005</v>
      </c>
      <c r="B748" s="10">
        <f t="shared" si="111"/>
        <v>0.76759308569350959</v>
      </c>
      <c r="C748" s="10">
        <f t="shared" si="112"/>
        <v>0.14046953468191228</v>
      </c>
      <c r="D748" s="10">
        <f t="shared" si="113"/>
        <v>2.2001272002955181</v>
      </c>
      <c r="E748" s="10">
        <f t="shared" si="114"/>
        <v>9.026161556833376</v>
      </c>
      <c r="F748" s="10">
        <f t="shared" si="118"/>
        <v>7.9894742310456124E-2</v>
      </c>
      <c r="G748" s="10">
        <f t="shared" si="115"/>
        <v>-8.909105302355505E-2</v>
      </c>
      <c r="H748" s="10">
        <f t="shared" si="116"/>
        <v>0.47774195703764372</v>
      </c>
      <c r="I748" s="10">
        <f t="shared" si="119"/>
        <v>1.3308266035502725E-3</v>
      </c>
      <c r="J748" s="20">
        <f t="shared" si="117"/>
        <v>-1.3877787807814457E-16</v>
      </c>
      <c r="K748" s="10">
        <f t="shared" si="120"/>
        <v>8.8908707214674365E-3</v>
      </c>
      <c r="L748" s="10">
        <f t="shared" si="121"/>
        <v>5.3345224328805452E-3</v>
      </c>
    </row>
    <row r="749" spans="1:12" x14ac:dyDescent="0.2">
      <c r="A749" s="14">
        <v>0.68400000000000005</v>
      </c>
      <c r="B749" s="10">
        <f t="shared" si="111"/>
        <v>0.77221570403563855</v>
      </c>
      <c r="C749" s="10">
        <f t="shared" si="112"/>
        <v>0.14208768954255754</v>
      </c>
      <c r="D749" s="10">
        <f t="shared" si="113"/>
        <v>2.209055174791283</v>
      </c>
      <c r="E749" s="10">
        <f t="shared" si="114"/>
        <v>9.1071077018912643</v>
      </c>
      <c r="F749" s="10">
        <f t="shared" si="118"/>
        <v>8.094614505788833E-2</v>
      </c>
      <c r="G749" s="10">
        <f t="shared" si="115"/>
        <v>-8.37342683260964E-2</v>
      </c>
      <c r="H749" s="10">
        <f t="shared" si="116"/>
        <v>0.47907865553141155</v>
      </c>
      <c r="I749" s="10">
        <f t="shared" si="119"/>
        <v>1.3366984937678295E-3</v>
      </c>
      <c r="J749" s="20">
        <f t="shared" si="117"/>
        <v>-4.163336342344337E-16</v>
      </c>
      <c r="K749" s="10">
        <f t="shared" si="120"/>
        <v>8.9279744957648788E-3</v>
      </c>
      <c r="L749" s="10">
        <f t="shared" si="121"/>
        <v>5.3567846974586497E-3</v>
      </c>
    </row>
    <row r="750" spans="1:12" x14ac:dyDescent="0.2">
      <c r="A750" s="14">
        <v>0.68500000000000005</v>
      </c>
      <c r="B750" s="10">
        <f t="shared" si="111"/>
        <v>0.7768461994365925</v>
      </c>
      <c r="C750" s="10">
        <f t="shared" si="112"/>
        <v>0.14371654689576965</v>
      </c>
      <c r="D750" s="10">
        <f t="shared" si="113"/>
        <v>2.2180204202475089</v>
      </c>
      <c r="E750" s="10">
        <f t="shared" si="114"/>
        <v>9.1891222487767656</v>
      </c>
      <c r="F750" s="10">
        <f t="shared" si="118"/>
        <v>8.201454688550136E-2</v>
      </c>
      <c r="G750" s="10">
        <f t="shared" si="115"/>
        <v>-7.8355121052360754E-2</v>
      </c>
      <c r="H750" s="10">
        <f t="shared" si="116"/>
        <v>0.48042123573810991</v>
      </c>
      <c r="I750" s="10">
        <f t="shared" si="119"/>
        <v>1.3425802066983628E-3</v>
      </c>
      <c r="J750" s="20">
        <f t="shared" si="117"/>
        <v>-2.2204460492503131E-16</v>
      </c>
      <c r="K750" s="10">
        <f t="shared" si="120"/>
        <v>8.965245456225901E-3</v>
      </c>
      <c r="L750" s="10">
        <f t="shared" si="121"/>
        <v>5.3791472737356461E-3</v>
      </c>
    </row>
    <row r="751" spans="1:12" x14ac:dyDescent="0.2">
      <c r="A751" s="14">
        <v>0.68600000000000005</v>
      </c>
      <c r="B751" s="10">
        <f t="shared" si="111"/>
        <v>0.78148464181763211</v>
      </c>
      <c r="C751" s="10">
        <f t="shared" si="112"/>
        <v>0.14535614337807962</v>
      </c>
      <c r="D751" s="10">
        <f t="shared" si="113"/>
        <v>2.2270231054681355</v>
      </c>
      <c r="E751" s="10">
        <f t="shared" si="114"/>
        <v>9.2722225253915411</v>
      </c>
      <c r="F751" s="10">
        <f t="shared" si="118"/>
        <v>8.3100276614775481E-2</v>
      </c>
      <c r="G751" s="10">
        <f t="shared" si="115"/>
        <v>-7.2953509919984699E-2</v>
      </c>
      <c r="H751" s="10">
        <f t="shared" si="116"/>
        <v>0.48176970726374702</v>
      </c>
      <c r="I751" s="10">
        <f t="shared" si="119"/>
        <v>1.3484715256371071E-3</v>
      </c>
      <c r="J751" s="20">
        <f t="shared" si="117"/>
        <v>-1.9428902930940239E-16</v>
      </c>
      <c r="K751" s="10">
        <f t="shared" si="120"/>
        <v>9.0026852206266383E-3</v>
      </c>
      <c r="L751" s="10">
        <f t="shared" si="121"/>
        <v>5.4016111323760552E-3</v>
      </c>
    </row>
    <row r="752" spans="1:12" x14ac:dyDescent="0.2">
      <c r="A752" s="14">
        <v>0.68700000000000006</v>
      </c>
      <c r="B752" s="10">
        <f t="shared" si="111"/>
        <v>0.78613110168219646</v>
      </c>
      <c r="C752" s="10">
        <f t="shared" si="112"/>
        <v>0.14700651601457079</v>
      </c>
      <c r="D752" s="10">
        <f t="shared" si="113"/>
        <v>2.2360634008944382</v>
      </c>
      <c r="E752" s="10">
        <f t="shared" si="114"/>
        <v>9.3564261958329613</v>
      </c>
      <c r="F752" s="10">
        <f t="shared" si="118"/>
        <v>8.4203670441420186E-2</v>
      </c>
      <c r="G752" s="10">
        <f t="shared" si="115"/>
        <v>-6.7529332664203051E-2</v>
      </c>
      <c r="H752" s="10">
        <f t="shared" si="116"/>
        <v>0.4831240794927848</v>
      </c>
      <c r="I752" s="10">
        <f t="shared" si="119"/>
        <v>1.3543722290377813E-3</v>
      </c>
      <c r="J752" s="20">
        <f t="shared" si="117"/>
        <v>0</v>
      </c>
      <c r="K752" s="10">
        <f t="shared" si="120"/>
        <v>9.0402954263026913E-3</v>
      </c>
      <c r="L752" s="10">
        <f t="shared" si="121"/>
        <v>5.4241772557816481E-3</v>
      </c>
    </row>
    <row r="753" spans="1:12" x14ac:dyDescent="0.2">
      <c r="A753" s="14">
        <v>0.68799999999999994</v>
      </c>
      <c r="B753" s="10">
        <f t="shared" si="111"/>
        <v>0.79078565012386093</v>
      </c>
      <c r="C753" s="10">
        <f t="shared" si="112"/>
        <v>0.14866770222328582</v>
      </c>
      <c r="D753" s="10">
        <f t="shared" si="113"/>
        <v>2.2451414786248995</v>
      </c>
      <c r="E753" s="10">
        <f t="shared" si="114"/>
        <v>9.4417512679568478</v>
      </c>
      <c r="F753" s="10">
        <f t="shared" si="118"/>
        <v>8.5325072123886514E-2</v>
      </c>
      <c r="G753" s="10">
        <f t="shared" si="115"/>
        <v>-6.2082486025926392E-2</v>
      </c>
      <c r="H753" s="10">
        <f t="shared" si="116"/>
        <v>0.48448436158323871</v>
      </c>
      <c r="I753" s="10">
        <f t="shared" si="119"/>
        <v>1.3602820904539126E-3</v>
      </c>
      <c r="J753" s="20">
        <f t="shared" si="117"/>
        <v>-2.4980018054066022E-16</v>
      </c>
      <c r="K753" s="10">
        <f t="shared" si="120"/>
        <v>9.0780777304613203E-3</v>
      </c>
      <c r="L753" s="10">
        <f t="shared" si="121"/>
        <v>5.4468466382766589E-3</v>
      </c>
    </row>
    <row r="754" spans="1:12" x14ac:dyDescent="0.2">
      <c r="A754" s="14">
        <v>0.68899999999999995</v>
      </c>
      <c r="B754" s="10">
        <f t="shared" si="111"/>
        <v>0.79544835883442422</v>
      </c>
      <c r="C754" s="10">
        <f t="shared" si="112"/>
        <v>0.15033973981970614</v>
      </c>
      <c r="D754" s="10">
        <f t="shared" si="113"/>
        <v>2.2542575124354038</v>
      </c>
      <c r="E754" s="10">
        <f t="shared" si="114"/>
        <v>9.5282161011341717</v>
      </c>
      <c r="F754" s="10">
        <f t="shared" si="118"/>
        <v>8.6464833177323897E-2</v>
      </c>
      <c r="G754" s="10">
        <f t="shared" si="115"/>
        <v>-5.6612865739623763E-2</v>
      </c>
      <c r="H754" s="10">
        <f t="shared" si="116"/>
        <v>0.48585056246171887</v>
      </c>
      <c r="I754" s="10">
        <f t="shared" si="119"/>
        <v>1.3662008784801616E-3</v>
      </c>
      <c r="J754" s="20">
        <f t="shared" si="117"/>
        <v>-1.1102230246251565E-16</v>
      </c>
      <c r="K754" s="10">
        <f t="shared" si="120"/>
        <v>9.1160338105042982E-3</v>
      </c>
      <c r="L754" s="10">
        <f t="shared" si="121"/>
        <v>5.4696202863026289E-3</v>
      </c>
    </row>
    <row r="755" spans="1:12" x14ac:dyDescent="0.2">
      <c r="A755" s="14">
        <v>0.69</v>
      </c>
      <c r="B755" s="10">
        <f t="shared" si="111"/>
        <v>0.80011930011211285</v>
      </c>
      <c r="C755" s="10">
        <f t="shared" si="112"/>
        <v>0.15202266702130141</v>
      </c>
      <c r="D755" s="10">
        <f t="shared" si="113"/>
        <v>2.2634116777997422</v>
      </c>
      <c r="E755" s="10">
        <f t="shared" si="114"/>
        <v>9.6158394142071533</v>
      </c>
      <c r="F755" s="10">
        <f t="shared" si="118"/>
        <v>8.7623313072981546E-2</v>
      </c>
      <c r="G755" s="10">
        <f t="shared" si="115"/>
        <v>-5.1120366521020588E-2</v>
      </c>
      <c r="H755" s="10">
        <f t="shared" si="116"/>
        <v>0.4872226908184118</v>
      </c>
      <c r="I755" s="10">
        <f t="shared" si="119"/>
        <v>1.3721283566929254E-3</v>
      </c>
      <c r="J755" s="20">
        <f t="shared" si="117"/>
        <v>-1.1102230246251565E-16</v>
      </c>
      <c r="K755" s="10">
        <f t="shared" si="120"/>
        <v>9.1541653643383292E-3</v>
      </c>
      <c r="L755" s="10">
        <f t="shared" si="121"/>
        <v>5.4924992186031751E-3</v>
      </c>
    </row>
    <row r="756" spans="1:12" x14ac:dyDescent="0.2">
      <c r="A756" s="14">
        <v>0.69099999999999995</v>
      </c>
      <c r="B756" s="10">
        <f t="shared" si="111"/>
        <v>0.80479854686992414</v>
      </c>
      <c r="C756" s="10">
        <f t="shared" si="112"/>
        <v>0.15371652245215547</v>
      </c>
      <c r="D756" s="10">
        <f t="shared" si="113"/>
        <v>2.2726041519104596</v>
      </c>
      <c r="E756" s="10">
        <f t="shared" si="114"/>
        <v>9.7046402936507086</v>
      </c>
      <c r="F756" s="10">
        <f t="shared" si="118"/>
        <v>8.8800879443555303E-2</v>
      </c>
      <c r="G756" s="10">
        <f t="shared" si="115"/>
        <v>-4.5604882054590123E-2</v>
      </c>
      <c r="H756" s="10">
        <f t="shared" si="116"/>
        <v>0.48860075510200368</v>
      </c>
      <c r="I756" s="10">
        <f t="shared" si="119"/>
        <v>1.3780642835918844E-3</v>
      </c>
      <c r="J756" s="20">
        <f t="shared" si="117"/>
        <v>-1.1102230246251565E-16</v>
      </c>
      <c r="K756" s="10">
        <f t="shared" si="120"/>
        <v>9.1924741107174412E-3</v>
      </c>
      <c r="L756" s="10">
        <f t="shared" si="121"/>
        <v>5.5154844664304647E-3</v>
      </c>
    </row>
    <row r="757" spans="1:12" x14ac:dyDescent="0.2">
      <c r="A757" s="14">
        <v>0.69199999999999995</v>
      </c>
      <c r="B757" s="10">
        <f t="shared" si="111"/>
        <v>0.80948617264409484</v>
      </c>
      <c r="C757" s="10">
        <f t="shared" si="112"/>
        <v>0.15542134514766617</v>
      </c>
      <c r="D757" s="10">
        <f t="shared" si="113"/>
        <v>2.2818351137000286</v>
      </c>
      <c r="E757" s="10">
        <f t="shared" si="114"/>
        <v>9.7946382019450571</v>
      </c>
      <c r="F757" s="10">
        <f t="shared" si="118"/>
        <v>8.9997908294348505E-2</v>
      </c>
      <c r="G757" s="10">
        <f t="shared" si="115"/>
        <v>-4.0066304980848955E-2</v>
      </c>
      <c r="H757" s="10">
        <f t="shared" si="116"/>
        <v>0.48998476351454379</v>
      </c>
      <c r="I757" s="10">
        <f t="shared" si="119"/>
        <v>1.3840084125401053E-3</v>
      </c>
      <c r="J757" s="20">
        <f t="shared" si="117"/>
        <v>-2.2204460492503131E-16</v>
      </c>
      <c r="K757" s="10">
        <f t="shared" si="120"/>
        <v>9.2309617895689478E-3</v>
      </c>
      <c r="L757" s="10">
        <f t="shared" si="121"/>
        <v>5.5385770737411688E-3</v>
      </c>
    </row>
    <row r="758" spans="1:12" x14ac:dyDescent="0.2">
      <c r="A758" s="14">
        <v>0.69299999999999995</v>
      </c>
      <c r="B758" s="10">
        <f t="shared" si="111"/>
        <v>0.81418225160270596</v>
      </c>
      <c r="C758" s="10">
        <f t="shared" si="112"/>
        <v>0.15713717455932222</v>
      </c>
      <c r="D758" s="10">
        <f t="shared" si="113"/>
        <v>2.2911047438623666</v>
      </c>
      <c r="E758" s="10">
        <f t="shared" si="114"/>
        <v>9.8858529861656699</v>
      </c>
      <c r="F758" s="10">
        <f t="shared" si="118"/>
        <v>9.1214784220612799E-2</v>
      </c>
      <c r="G758" s="10">
        <f t="shared" si="115"/>
        <v>-3.4504526883445907E-2</v>
      </c>
      <c r="H758" s="10">
        <f t="shared" si="116"/>
        <v>0.49137472400624838</v>
      </c>
      <c r="I758" s="10">
        <f t="shared" si="119"/>
        <v>1.3899604917045894E-3</v>
      </c>
      <c r="J758" s="20">
        <f t="shared" si="117"/>
        <v>-5.5511151231257827E-17</v>
      </c>
      <c r="K758" s="10">
        <f t="shared" si="120"/>
        <v>9.2696301623380606E-3</v>
      </c>
      <c r="L758" s="10">
        <f t="shared" si="121"/>
        <v>5.5617780974030473E-3</v>
      </c>
    </row>
    <row r="759" spans="1:12" x14ac:dyDescent="0.2">
      <c r="A759" s="14">
        <v>0.69399999999999995</v>
      </c>
      <c r="B759" s="10">
        <f t="shared" si="111"/>
        <v>0.81888685855442356</v>
      </c>
      <c r="C759" s="10">
        <f t="shared" si="112"/>
        <v>0.15886405055955813</v>
      </c>
      <c r="D759" s="10">
        <f t="shared" si="113"/>
        <v>2.3004132248747049</v>
      </c>
      <c r="E759" s="10">
        <f t="shared" si="114"/>
        <v>9.9783048867969537</v>
      </c>
      <c r="F759" s="10">
        <f t="shared" si="118"/>
        <v>9.2451900631283834E-2</v>
      </c>
      <c r="G759" s="10">
        <f t="shared" si="115"/>
        <v>-2.8919438276043041E-2</v>
      </c>
      <c r="H759" s="10">
        <f t="shared" si="116"/>
        <v>0.49277064427024519</v>
      </c>
      <c r="I759" s="10">
        <f t="shared" si="119"/>
        <v>1.3959202639968193E-3</v>
      </c>
      <c r="J759" s="20">
        <f t="shared" si="117"/>
        <v>-1.1102230246251565E-16</v>
      </c>
      <c r="K759" s="10">
        <f t="shared" si="120"/>
        <v>9.3084810123382766E-3</v>
      </c>
      <c r="L759" s="10">
        <f t="shared" si="121"/>
        <v>5.5850886074028661E-3</v>
      </c>
    </row>
    <row r="760" spans="1:12" x14ac:dyDescent="0.2">
      <c r="A760" s="14">
        <v>0.69499999999999995</v>
      </c>
      <c r="B760" s="10">
        <f t="shared" si="111"/>
        <v>0.82360006895738036</v>
      </c>
      <c r="C760" s="10">
        <f t="shared" si="112"/>
        <v>0.16060201344668912</v>
      </c>
      <c r="D760" s="10">
        <f t="shared" si="113"/>
        <v>2.3097607410198076</v>
      </c>
      <c r="E760" s="10">
        <f t="shared" si="114"/>
        <v>10.072014546776119</v>
      </c>
      <c r="F760" s="10">
        <f t="shared" si="118"/>
        <v>9.3709659979165139E-2</v>
      </c>
      <c r="G760" s="10">
        <f t="shared" si="115"/>
        <v>-2.3310928588981539E-2</v>
      </c>
      <c r="H760" s="10">
        <f t="shared" si="116"/>
        <v>0.49417253173725717</v>
      </c>
      <c r="I760" s="10">
        <f t="shared" si="119"/>
        <v>1.4018874670119752E-3</v>
      </c>
      <c r="J760" s="20">
        <f t="shared" si="117"/>
        <v>-1.1102230246251565E-16</v>
      </c>
      <c r="K760" s="10">
        <f t="shared" si="120"/>
        <v>9.3475161451026523E-3</v>
      </c>
      <c r="L760" s="10">
        <f t="shared" si="121"/>
        <v>5.6085096870615025E-3</v>
      </c>
    </row>
    <row r="761" spans="1:12" x14ac:dyDescent="0.2">
      <c r="A761" s="14">
        <v>0.69599999999999995</v>
      </c>
      <c r="B761" s="10">
        <f t="shared" si="111"/>
        <v>0.82832195892819771</v>
      </c>
      <c r="C761" s="10">
        <f t="shared" si="112"/>
        <v>0.16235110394992672</v>
      </c>
      <c r="D761" s="10">
        <f t="shared" si="113"/>
        <v>2.3191474784085546</v>
      </c>
      <c r="E761" s="10">
        <f t="shared" si="114"/>
        <v>10.167003020774048</v>
      </c>
      <c r="F761" s="10">
        <f t="shared" si="118"/>
        <v>9.4988473997929646E-2</v>
      </c>
      <c r="G761" s="10">
        <f t="shared" si="115"/>
        <v>-1.767888615573332E-2</v>
      </c>
      <c r="H761" s="10">
        <f t="shared" si="116"/>
        <v>0.49558039357022721</v>
      </c>
      <c r="I761" s="10">
        <f t="shared" si="119"/>
        <v>1.4078618329700365E-3</v>
      </c>
      <c r="J761" s="20">
        <f t="shared" si="117"/>
        <v>-2.2204460492503131E-16</v>
      </c>
      <c r="K761" s="10">
        <f t="shared" si="120"/>
        <v>9.3867373887470684E-3</v>
      </c>
      <c r="L761" s="10">
        <f t="shared" si="121"/>
        <v>5.6320424332482188E-3</v>
      </c>
    </row>
    <row r="762" spans="1:12" x14ac:dyDescent="0.2">
      <c r="A762" s="14">
        <v>0.69699999999999995</v>
      </c>
      <c r="B762" s="10">
        <f t="shared" si="111"/>
        <v>0.83305260525115454</v>
      </c>
      <c r="C762" s="10">
        <f t="shared" si="112"/>
        <v>0.16411136323447739</v>
      </c>
      <c r="D762" s="10">
        <f t="shared" si="113"/>
        <v>2.3285736250028957</v>
      </c>
      <c r="E762" s="10">
        <f t="shared" si="114"/>
        <v>10.263291784720174</v>
      </c>
      <c r="F762" s="10">
        <f t="shared" si="118"/>
        <v>9.62887639461254E-2</v>
      </c>
      <c r="G762" s="10">
        <f t="shared" si="115"/>
        <v>-1.2023198199128782E-2</v>
      </c>
      <c r="H762" s="10">
        <f t="shared" si="116"/>
        <v>0.49699423665888204</v>
      </c>
      <c r="I762" s="10">
        <f t="shared" si="119"/>
        <v>1.4138430886548314E-3</v>
      </c>
      <c r="J762" s="20">
        <f t="shared" si="117"/>
        <v>-2.2204460492503131E-16</v>
      </c>
      <c r="K762" s="10">
        <f t="shared" si="120"/>
        <v>9.426146594341045E-3</v>
      </c>
      <c r="L762" s="10">
        <f t="shared" si="121"/>
        <v>5.6556879566045382E-3</v>
      </c>
    </row>
    <row r="763" spans="1:12" x14ac:dyDescent="0.2">
      <c r="A763" s="14">
        <v>0.69799999999999995</v>
      </c>
      <c r="B763" s="10">
        <f t="shared" si="111"/>
        <v>0.83779208538750261</v>
      </c>
      <c r="C763" s="10">
        <f t="shared" si="112"/>
        <v>0.16588283290672548</v>
      </c>
      <c r="D763" s="10">
        <f t="shared" si="113"/>
        <v>2.3380393706391751</v>
      </c>
      <c r="E763" s="10">
        <f t="shared" si="114"/>
        <v>10.360902745578462</v>
      </c>
      <c r="F763" s="10">
        <f t="shared" si="118"/>
        <v>9.7610960858288465E-2</v>
      </c>
      <c r="G763" s="10">
        <f t="shared" si="115"/>
        <v>-6.3437508173608825E-3</v>
      </c>
      <c r="H763" s="10">
        <f t="shared" si="116"/>
        <v>0.49841406761423568</v>
      </c>
      <c r="I763" s="10">
        <f t="shared" si="119"/>
        <v>1.4198309553536403E-3</v>
      </c>
      <c r="J763" s="20">
        <f t="shared" si="117"/>
        <v>-1.6653345369377348E-16</v>
      </c>
      <c r="K763" s="10">
        <f t="shared" si="120"/>
        <v>9.4657456362794434E-3</v>
      </c>
      <c r="L763" s="10">
        <f t="shared" si="121"/>
        <v>5.6794473817678992E-3</v>
      </c>
    </row>
    <row r="764" spans="1:12" x14ac:dyDescent="0.2">
      <c r="A764" s="14">
        <v>0.69899999999999995</v>
      </c>
      <c r="B764" s="10">
        <f t="shared" si="111"/>
        <v>0.84254047748493432</v>
      </c>
      <c r="C764" s="10">
        <f t="shared" si="112"/>
        <v>0.16766555501950189</v>
      </c>
      <c r="D764" s="10">
        <f t="shared" si="113"/>
        <v>2.3475449070518475</v>
      </c>
      <c r="E764" s="10">
        <f t="shared" si="114"/>
        <v>10.4598582513821</v>
      </c>
      <c r="F764" s="10">
        <f t="shared" si="118"/>
        <v>9.8955505803637323E-2</v>
      </c>
      <c r="G764" s="10">
        <f t="shared" si="115"/>
        <v>-6.4042896975746721E-4</v>
      </c>
      <c r="H764" s="10">
        <f t="shared" si="116"/>
        <v>0.49983989276303303</v>
      </c>
      <c r="I764" s="10">
        <f t="shared" si="119"/>
        <v>1.425825148797355E-3</v>
      </c>
      <c r="J764" s="20">
        <f t="shared" si="117"/>
        <v>0</v>
      </c>
      <c r="K764" s="10">
        <f t="shared" si="120"/>
        <v>9.5055364126723774E-3</v>
      </c>
      <c r="L764" s="10">
        <f t="shared" si="121"/>
        <v>5.7033218476034153E-3</v>
      </c>
    </row>
    <row r="765" spans="1:12" x14ac:dyDescent="0.2">
      <c r="A765" s="14">
        <v>0.7</v>
      </c>
      <c r="B765" s="10">
        <f t="shared" si="111"/>
        <v>0.84729786038720345</v>
      </c>
      <c r="C765" s="10">
        <f t="shared" si="112"/>
        <v>0.16945957207744064</v>
      </c>
      <c r="D765" s="10">
        <f t="shared" si="113"/>
        <v>2.3570904278975764</v>
      </c>
      <c r="E765" s="10">
        <f t="shared" si="114"/>
        <v>10.560181101534415</v>
      </c>
      <c r="F765" s="10">
        <f t="shared" si="118"/>
        <v>0.10032285015231501</v>
      </c>
      <c r="G765" s="10">
        <f t="shared" si="115"/>
        <v>5.0868835376797761E-3</v>
      </c>
      <c r="H765" s="10">
        <f t="shared" si="116"/>
        <v>0.50127171814213223</v>
      </c>
      <c r="I765" s="10">
        <f t="shared" si="119"/>
        <v>1.4318253790991942E-3</v>
      </c>
      <c r="J765" s="20">
        <f t="shared" si="117"/>
        <v>-2.7755575615628914E-16</v>
      </c>
      <c r="K765" s="10">
        <f t="shared" si="120"/>
        <v>9.5455208457289054E-3</v>
      </c>
      <c r="L765" s="10">
        <f t="shared" si="121"/>
        <v>5.7273125074372433E-3</v>
      </c>
    </row>
    <row r="766" spans="1:12" x14ac:dyDescent="0.2">
      <c r="A766" s="14">
        <v>0.70099999999999996</v>
      </c>
      <c r="B766" s="10">
        <f t="shared" si="111"/>
        <v>0.85206431364390345</v>
      </c>
      <c r="C766" s="10">
        <f t="shared" si="112"/>
        <v>0.17126492704242455</v>
      </c>
      <c r="D766" s="10">
        <f t="shared" si="113"/>
        <v>2.3666761287797375</v>
      </c>
      <c r="E766" s="10">
        <f t="shared" si="114"/>
        <v>10.661894557384086</v>
      </c>
      <c r="F766" s="10">
        <f t="shared" si="118"/>
        <v>0.10171345584967106</v>
      </c>
      <c r="G766" s="10">
        <f t="shared" si="115"/>
        <v>1.083830406697639E-2</v>
      </c>
      <c r="H766" s="10">
        <f t="shared" si="116"/>
        <v>0.50270954949282753</v>
      </c>
      <c r="I766" s="10">
        <f t="shared" si="119"/>
        <v>1.4378313506953067E-3</v>
      </c>
      <c r="J766" s="20">
        <f t="shared" si="117"/>
        <v>-2.2204460492503131E-16</v>
      </c>
      <c r="K766" s="10">
        <f t="shared" si="120"/>
        <v>9.5857008821611522E-3</v>
      </c>
      <c r="L766" s="10">
        <f t="shared" si="121"/>
        <v>5.7514205292966136E-3</v>
      </c>
    </row>
    <row r="767" spans="1:12" x14ac:dyDescent="0.2">
      <c r="A767" s="14">
        <v>0.70199999999999996</v>
      </c>
      <c r="B767" s="10">
        <f t="shared" si="111"/>
        <v>0.85683991752040645</v>
      </c>
      <c r="C767" s="10">
        <f t="shared" si="112"/>
        <v>0.17308166333912206</v>
      </c>
      <c r="D767" s="10">
        <f t="shared" si="113"/>
        <v>2.3763022072733269</v>
      </c>
      <c r="E767" s="10">
        <f t="shared" si="114"/>
        <v>10.765022353082818</v>
      </c>
      <c r="F767" s="10">
        <f t="shared" si="118"/>
        <v>0.10312779569873243</v>
      </c>
      <c r="G767" s="10">
        <f t="shared" si="115"/>
        <v>1.6613951163130025E-2</v>
      </c>
      <c r="H767" s="10">
        <f t="shared" si="116"/>
        <v>0.50415339225511036</v>
      </c>
      <c r="I767" s="10">
        <f t="shared" si="119"/>
        <v>1.4438427622828209E-3</v>
      </c>
      <c r="J767" s="20">
        <f t="shared" si="117"/>
        <v>-2.2204460492503131E-16</v>
      </c>
      <c r="K767" s="10">
        <f t="shared" si="120"/>
        <v>9.6260784935893184E-3</v>
      </c>
      <c r="L767" s="10">
        <f t="shared" si="121"/>
        <v>5.7756470961536355E-3</v>
      </c>
    </row>
    <row r="768" spans="1:12" x14ac:dyDescent="0.2">
      <c r="A768" s="14">
        <v>0.70299999999999996</v>
      </c>
      <c r="B768" s="10">
        <f t="shared" si="111"/>
        <v>0.86162475300796504</v>
      </c>
      <c r="C768" s="10">
        <f t="shared" si="112"/>
        <v>0.17490982486061687</v>
      </c>
      <c r="D768" s="10">
        <f t="shared" si="113"/>
        <v>2.3859688629502824</v>
      </c>
      <c r="E768" s="10">
        <f t="shared" si="114"/>
        <v>10.869588706733921</v>
      </c>
      <c r="F768" s="10">
        <f t="shared" si="118"/>
        <v>0.10456635365110323</v>
      </c>
      <c r="G768" s="10">
        <f t="shared" si="115"/>
        <v>2.2413944569303568E-2</v>
      </c>
      <c r="H768" s="10">
        <f t="shared" si="116"/>
        <v>0.50560325156187025</v>
      </c>
      <c r="I768" s="10">
        <f t="shared" si="119"/>
        <v>1.4498593067598931E-3</v>
      </c>
      <c r="J768" s="20">
        <f t="shared" si="117"/>
        <v>-1.1102230246251565E-16</v>
      </c>
      <c r="K768" s="10">
        <f t="shared" si="120"/>
        <v>9.6666556769555712E-3</v>
      </c>
      <c r="L768" s="10">
        <f t="shared" si="121"/>
        <v>5.7999934061735425E-3</v>
      </c>
    </row>
    <row r="769" spans="1:12" x14ac:dyDescent="0.2">
      <c r="A769" s="14">
        <v>0.70399999999999996</v>
      </c>
      <c r="B769" s="10">
        <f t="shared" si="111"/>
        <v>0.86641890183398185</v>
      </c>
      <c r="C769" s="10">
        <f t="shared" si="112"/>
        <v>0.17674945597413227</v>
      </c>
      <c r="D769" s="10">
        <f t="shared" si="113"/>
        <v>2.3956762974052324</v>
      </c>
      <c r="E769" s="10">
        <f t="shared" si="114"/>
        <v>10.975618331840634</v>
      </c>
      <c r="F769" s="10">
        <f t="shared" si="118"/>
        <v>0.10602962510671254</v>
      </c>
      <c r="G769" s="10">
        <f t="shared" si="115"/>
        <v>2.823840524227339E-2</v>
      </c>
      <c r="H769" s="10">
        <f t="shared" si="116"/>
        <v>0.50705913223303556</v>
      </c>
      <c r="I769" s="10">
        <f t="shared" si="119"/>
        <v>1.4558806711653105E-3</v>
      </c>
      <c r="J769" s="20">
        <f t="shared" si="117"/>
        <v>-1.1102230246251565E-16</v>
      </c>
      <c r="K769" s="10">
        <f t="shared" si="120"/>
        <v>9.7074344549499259E-3</v>
      </c>
      <c r="L769" s="10">
        <f t="shared" si="121"/>
        <v>5.8244606729698223E-3</v>
      </c>
    </row>
    <row r="770" spans="1:12" x14ac:dyDescent="0.2">
      <c r="A770" s="14">
        <v>0.70499999999999996</v>
      </c>
      <c r="B770" s="10">
        <f t="shared" ref="B770:B833" si="122">LN(A770/(1-A770))</f>
        <v>0.87122244647244862</v>
      </c>
      <c r="C770" s="10">
        <f t="shared" ref="C770:C833" si="123">(A770-0.5)*B770</f>
        <v>0.17860060152685192</v>
      </c>
      <c r="D770" s="10">
        <f t="shared" ref="D770:D833" si="124">$B$45+$B$46*B770+$B$47*C770</f>
        <v>2.4054247142816685</v>
      </c>
      <c r="E770" s="10">
        <f t="shared" ref="E770:E833" si="125">$B$14+EXP(D770)</f>
        <v>11.083136449063138</v>
      </c>
      <c r="F770" s="10">
        <f t="shared" si="118"/>
        <v>0.10751811722250437</v>
      </c>
      <c r="G770" s="10">
        <f t="shared" ref="G770:G833" si="126">$C$45+$C$46*B770+$C$47*C770</f>
        <v>3.4087455368134956E-2</v>
      </c>
      <c r="H770" s="10">
        <f t="shared" ref="H770:H833" si="127">$C$14+($C$15-$C$14)/(1+EXP(-G770))</f>
        <v>0.50852103876965271</v>
      </c>
      <c r="I770" s="10">
        <f t="shared" si="119"/>
        <v>1.4619065366171524E-3</v>
      </c>
      <c r="J770" s="20">
        <f t="shared" ref="J770:J833" si="128">G770-($B$22+$B$21*D770)</f>
        <v>-2.2204460492503131E-16</v>
      </c>
      <c r="K770" s="10">
        <f t="shared" si="120"/>
        <v>9.7484168764361279E-3</v>
      </c>
      <c r="L770" s="10">
        <f t="shared" si="121"/>
        <v>5.8490501258615657E-3</v>
      </c>
    </row>
    <row r="771" spans="1:12" x14ac:dyDescent="0.2">
      <c r="A771" s="14">
        <v>0.70599999999999996</v>
      </c>
      <c r="B771" s="10">
        <f t="shared" si="122"/>
        <v>0.87603547015456018</v>
      </c>
      <c r="C771" s="10">
        <f t="shared" si="123"/>
        <v>0.18046330685183937</v>
      </c>
      <c r="D771" s="10">
        <f t="shared" si="124"/>
        <v>2.415214319298566</v>
      </c>
      <c r="E771" s="10">
        <f t="shared" si="125"/>
        <v>11.192168798293739</v>
      </c>
      <c r="F771" s="10">
        <f t="shared" ref="F771:F834" si="129">E771-E770</f>
        <v>0.1090323492306009</v>
      </c>
      <c r="G771" s="10">
        <f t="shared" si="126"/>
        <v>3.99612183782736E-2</v>
      </c>
      <c r="H771" s="10">
        <f t="shared" si="127"/>
        <v>0.50998897534790533</v>
      </c>
      <c r="I771" s="10">
        <f t="shared" ref="I771:I834" si="130">H771-H770</f>
        <v>1.4679365782526155E-3</v>
      </c>
      <c r="J771" s="20">
        <f t="shared" si="128"/>
        <v>-2.2204460492503131E-16</v>
      </c>
      <c r="K771" s="10">
        <f t="shared" ref="K771:K834" si="131">D771-D770</f>
        <v>9.7896050168975179E-3</v>
      </c>
      <c r="L771" s="10">
        <f t="shared" ref="L771:L834" si="132">G771-G770</f>
        <v>5.873763010138644E-3</v>
      </c>
    </row>
    <row r="772" spans="1:12" x14ac:dyDescent="0.2">
      <c r="A772" s="14">
        <v>0.70699999999999996</v>
      </c>
      <c r="B772" s="10">
        <f t="shared" si="122"/>
        <v>0.88085805687950536</v>
      </c>
      <c r="C772" s="10">
        <f t="shared" si="123"/>
        <v>0.18233761777405758</v>
      </c>
      <c r="D772" s="10">
        <f t="shared" si="124"/>
        <v>2.4250453202774516</v>
      </c>
      <c r="E772" s="10">
        <f t="shared" si="125"/>
        <v>11.30274165105984</v>
      </c>
      <c r="F772" s="10">
        <f t="shared" si="129"/>
        <v>0.11057285276610074</v>
      </c>
      <c r="G772" s="10">
        <f t="shared" si="126"/>
        <v>4.5859818965605037E-2</v>
      </c>
      <c r="H772" s="10">
        <f t="shared" si="127"/>
        <v>0.5114629458130725</v>
      </c>
      <c r="I772" s="10">
        <f t="shared" si="130"/>
        <v>1.4739704651671737E-3</v>
      </c>
      <c r="J772" s="20">
        <f t="shared" si="128"/>
        <v>5.5511151231257827E-17</v>
      </c>
      <c r="K772" s="10">
        <f t="shared" si="131"/>
        <v>9.8310009788855623E-3</v>
      </c>
      <c r="L772" s="10">
        <f t="shared" si="132"/>
        <v>5.8986005873314373E-3</v>
      </c>
    </row>
    <row r="773" spans="1:12" x14ac:dyDescent="0.2">
      <c r="A773" s="14">
        <v>0.70799999999999996</v>
      </c>
      <c r="B773" s="10">
        <f t="shared" si="122"/>
        <v>0.88569029142543776</v>
      </c>
      <c r="C773" s="10">
        <f t="shared" si="123"/>
        <v>0.18422358061649102</v>
      </c>
      <c r="D773" s="10">
        <f t="shared" si="124"/>
        <v>2.4349179271699235</v>
      </c>
      <c r="E773" s="10">
        <f t="shared" si="125"/>
        <v>11.414881823264631</v>
      </c>
      <c r="F773" s="10">
        <f t="shared" si="129"/>
        <v>0.112140172204791</v>
      </c>
      <c r="G773" s="10">
        <f t="shared" si="126"/>
        <v>5.1783383101088154E-2</v>
      </c>
      <c r="H773" s="10">
        <f t="shared" si="127"/>
        <v>0.51294295367342702</v>
      </c>
      <c r="I773" s="10">
        <f t="shared" si="130"/>
        <v>1.4800078603545153E-3</v>
      </c>
      <c r="J773" s="20">
        <f t="shared" si="128"/>
        <v>-1.6653345369377348E-16</v>
      </c>
      <c r="K773" s="10">
        <f t="shared" si="131"/>
        <v>9.8726068924719357E-3</v>
      </c>
      <c r="L773" s="10">
        <f t="shared" si="132"/>
        <v>5.923564135483117E-3</v>
      </c>
    </row>
    <row r="774" spans="1:12" x14ac:dyDescent="0.2">
      <c r="A774" s="14">
        <v>0.70899999999999996</v>
      </c>
      <c r="B774" s="10">
        <f t="shared" si="122"/>
        <v>0.89053225936063485</v>
      </c>
      <c r="C774" s="10">
        <f t="shared" si="123"/>
        <v>0.18612124220637266</v>
      </c>
      <c r="D774" s="10">
        <f t="shared" si="124"/>
        <v>2.4448323520856485</v>
      </c>
      <c r="E774" s="10">
        <f t="shared" si="125"/>
        <v>11.528616688276019</v>
      </c>
      <c r="F774" s="10">
        <f t="shared" si="129"/>
        <v>0.11373486501138785</v>
      </c>
      <c r="G774" s="10">
        <f t="shared" si="126"/>
        <v>5.773203805052296E-2</v>
      </c>
      <c r="H774" s="10">
        <f t="shared" si="127"/>
        <v>0.51442900209407261</v>
      </c>
      <c r="I774" s="10">
        <f t="shared" si="130"/>
        <v>1.4860484206455915E-3</v>
      </c>
      <c r="J774" s="20">
        <f t="shared" si="128"/>
        <v>-3.3306690738754696E-16</v>
      </c>
      <c r="K774" s="10">
        <f t="shared" si="131"/>
        <v>9.9144249157250286E-3</v>
      </c>
      <c r="L774" s="10">
        <f t="shared" si="132"/>
        <v>5.9486549494348062E-3</v>
      </c>
    </row>
    <row r="775" spans="1:12" x14ac:dyDescent="0.2">
      <c r="A775" s="14">
        <v>0.71</v>
      </c>
      <c r="B775" s="10">
        <f t="shared" si="122"/>
        <v>0.89538404705484131</v>
      </c>
      <c r="C775" s="10">
        <f t="shared" si="123"/>
        <v>0.18803064988151663</v>
      </c>
      <c r="D775" s="10">
        <f t="shared" si="124"/>
        <v>2.4547888093208265</v>
      </c>
      <c r="E775" s="10">
        <f t="shared" si="125"/>
        <v>11.643974190374269</v>
      </c>
      <c r="F775" s="10">
        <f t="shared" si="129"/>
        <v>0.11535750209825046</v>
      </c>
      <c r="G775" s="10">
        <f t="shared" si="126"/>
        <v>6.3705912391629815E-2</v>
      </c>
      <c r="H775" s="10">
        <f t="shared" si="127"/>
        <v>0.51592109389072105</v>
      </c>
      <c r="I775" s="10">
        <f t="shared" si="130"/>
        <v>1.4920917966484426E-3</v>
      </c>
      <c r="J775" s="20">
        <f t="shared" si="128"/>
        <v>-3.3306690738754696E-16</v>
      </c>
      <c r="K775" s="10">
        <f t="shared" si="131"/>
        <v>9.9564572351780178E-3</v>
      </c>
      <c r="L775" s="10">
        <f t="shared" si="132"/>
        <v>5.9738743411068551E-3</v>
      </c>
    </row>
    <row r="776" spans="1:12" x14ac:dyDescent="0.2">
      <c r="A776" s="14">
        <v>0.71099999999999997</v>
      </c>
      <c r="B776" s="10">
        <f t="shared" si="122"/>
        <v>0.90024574169080862</v>
      </c>
      <c r="C776" s="10">
        <f t="shared" si="123"/>
        <v>0.18995185149676058</v>
      </c>
      <c r="D776" s="10">
        <f t="shared" si="124"/>
        <v>2.4647875153871497</v>
      </c>
      <c r="E776" s="10">
        <f t="shared" si="125"/>
        <v>11.760982858569632</v>
      </c>
      <c r="F776" s="10">
        <f t="shared" si="129"/>
        <v>0.11700866819536238</v>
      </c>
      <c r="G776" s="10">
        <f t="shared" si="126"/>
        <v>6.9705136031423642E-2</v>
      </c>
      <c r="H776" s="10">
        <f t="shared" si="127"/>
        <v>0.5174192315234093</v>
      </c>
      <c r="I776" s="10">
        <f t="shared" si="130"/>
        <v>1.4981376326882456E-3</v>
      </c>
      <c r="J776" s="20">
        <f t="shared" si="128"/>
        <v>-3.8857805861880479E-16</v>
      </c>
      <c r="K776" s="10">
        <f t="shared" si="131"/>
        <v>9.9987060663231375E-3</v>
      </c>
      <c r="L776" s="10">
        <f t="shared" si="132"/>
        <v>5.999223639793827E-3</v>
      </c>
    </row>
    <row r="777" spans="1:12" x14ac:dyDescent="0.2">
      <c r="A777" s="14">
        <v>0.71199999999999997</v>
      </c>
      <c r="B777" s="10">
        <f t="shared" si="122"/>
        <v>0.90511743127602973</v>
      </c>
      <c r="C777" s="10">
        <f t="shared" si="123"/>
        <v>0.19188489543051826</v>
      </c>
      <c r="D777" s="10">
        <f t="shared" si="124"/>
        <v>2.474828689041253</v>
      </c>
      <c r="E777" s="10">
        <f t="shared" si="125"/>
        <v>11.879671820801217</v>
      </c>
      <c r="F777" s="10">
        <f t="shared" si="129"/>
        <v>0.11868896223158565</v>
      </c>
      <c r="G777" s="10">
        <f t="shared" si="126"/>
        <v>7.5729840223885569E-2</v>
      </c>
      <c r="H777" s="10">
        <f t="shared" si="127"/>
        <v>0.51892341709015644</v>
      </c>
      <c r="I777" s="10">
        <f t="shared" si="130"/>
        <v>1.5041855667471404E-3</v>
      </c>
      <c r="J777" s="20">
        <f t="shared" si="128"/>
        <v>-3.8857805861880479E-16</v>
      </c>
      <c r="K777" s="10">
        <f t="shared" si="131"/>
        <v>1.0041173654103286E-2</v>
      </c>
      <c r="L777" s="10">
        <f t="shared" si="132"/>
        <v>6.0247041924619271E-3</v>
      </c>
    </row>
    <row r="778" spans="1:12" x14ac:dyDescent="0.2">
      <c r="A778" s="14">
        <v>0.71299999999999997</v>
      </c>
      <c r="B778" s="10">
        <f t="shared" si="122"/>
        <v>0.90999920465467476</v>
      </c>
      <c r="C778" s="10">
        <f t="shared" si="123"/>
        <v>0.19382983059144571</v>
      </c>
      <c r="D778" s="10">
        <f t="shared" si="124"/>
        <v>2.4849125513146735</v>
      </c>
      <c r="E778" s="10">
        <f t="shared" si="125"/>
        <v>12.000070818529046</v>
      </c>
      <c r="F778" s="10">
        <f t="shared" si="129"/>
        <v>0.12039899772782903</v>
      </c>
      <c r="G778" s="10">
        <f t="shared" si="126"/>
        <v>8.1780157587938163E-2</v>
      </c>
      <c r="H778" s="10">
        <f t="shared" si="127"/>
        <v>0.52043365232056094</v>
      </c>
      <c r="I778" s="10">
        <f t="shared" si="130"/>
        <v>1.5102352304044997E-3</v>
      </c>
      <c r="J778" s="20">
        <f t="shared" si="128"/>
        <v>0</v>
      </c>
      <c r="K778" s="10">
        <f t="shared" si="131"/>
        <v>1.0083862273420507E-2</v>
      </c>
      <c r="L778" s="10">
        <f t="shared" si="132"/>
        <v>6.0503173640525931E-3</v>
      </c>
    </row>
    <row r="779" spans="1:12" x14ac:dyDescent="0.2">
      <c r="A779" s="14">
        <v>0.71399999999999997</v>
      </c>
      <c r="B779" s="10">
        <f t="shared" si="122"/>
        <v>0.91489115151973166</v>
      </c>
      <c r="C779" s="10">
        <f t="shared" si="123"/>
        <v>0.19578670642522256</v>
      </c>
      <c r="D779" s="10">
        <f t="shared" si="124"/>
        <v>2.4950393255443291</v>
      </c>
      <c r="E779" s="10">
        <f t="shared" si="125"/>
        <v>12.122210221731518</v>
      </c>
      <c r="F779" s="10">
        <f t="shared" si="129"/>
        <v>0.12213940320247119</v>
      </c>
      <c r="G779" s="10">
        <f t="shared" si="126"/>
        <v>8.7856222125731409E-2</v>
      </c>
      <c r="H779" s="10">
        <f t="shared" si="127"/>
        <v>0.5219499385693378</v>
      </c>
      <c r="I779" s="10">
        <f t="shared" si="130"/>
        <v>1.5162862487768658E-3</v>
      </c>
      <c r="J779" s="20">
        <f t="shared" si="128"/>
        <v>-1.1102230246251565E-16</v>
      </c>
      <c r="K779" s="10">
        <f t="shared" si="131"/>
        <v>1.0126774229655577E-2</v>
      </c>
      <c r="L779" s="10">
        <f t="shared" si="132"/>
        <v>6.0760645377932465E-3</v>
      </c>
    </row>
    <row r="780" spans="1:12" x14ac:dyDescent="0.2">
      <c r="A780" s="14">
        <v>0.71499999999999997</v>
      </c>
      <c r="B780" s="10">
        <f t="shared" si="122"/>
        <v>0.91979336242535703</v>
      </c>
      <c r="C780" s="10">
        <f t="shared" si="123"/>
        <v>0.19775557292145174</v>
      </c>
      <c r="D780" s="10">
        <f t="shared" si="124"/>
        <v>2.5052092374035202</v>
      </c>
      <c r="E780" s="10">
        <f t="shared" si="125"/>
        <v>12.246121044320859</v>
      </c>
      <c r="F780" s="10">
        <f t="shared" si="129"/>
        <v>0.12391082258934105</v>
      </c>
      <c r="G780" s="10">
        <f t="shared" si="126"/>
        <v>9.3958169241246114E-2</v>
      </c>
      <c r="H780" s="10">
        <f t="shared" si="127"/>
        <v>0.52347227680979724</v>
      </c>
      <c r="I780" s="10">
        <f t="shared" si="130"/>
        <v>1.5223382404594421E-3</v>
      </c>
      <c r="J780" s="20">
        <f t="shared" si="128"/>
        <v>-2.2204460492503131E-16</v>
      </c>
      <c r="K780" s="10">
        <f t="shared" si="131"/>
        <v>1.0169911859191139E-2</v>
      </c>
      <c r="L780" s="10">
        <f t="shared" si="132"/>
        <v>6.1019471155147054E-3</v>
      </c>
    </row>
    <row r="781" spans="1:12" x14ac:dyDescent="0.2">
      <c r="A781" s="14">
        <v>0.71599999999999997</v>
      </c>
      <c r="B781" s="10">
        <f t="shared" si="122"/>
        <v>0.92470592879943947</v>
      </c>
      <c r="C781" s="10">
        <f t="shared" si="123"/>
        <v>0.19973648062067889</v>
      </c>
      <c r="D781" s="10">
        <f t="shared" si="124"/>
        <v>2.5154225149334768</v>
      </c>
      <c r="E781" s="10">
        <f t="shared" si="125"/>
        <v>12.371834959989817</v>
      </c>
      <c r="F781" s="10">
        <f t="shared" si="129"/>
        <v>0.12571391566895862</v>
      </c>
      <c r="G781" s="10">
        <f t="shared" si="126"/>
        <v>0.10008613575921999</v>
      </c>
      <c r="H781" s="10">
        <f t="shared" si="127"/>
        <v>0.52500066762726327</v>
      </c>
      <c r="I781" s="10">
        <f t="shared" si="130"/>
        <v>1.5283908174660299E-3</v>
      </c>
      <c r="J781" s="20">
        <f t="shared" si="128"/>
        <v>-2.2204460492503131E-16</v>
      </c>
      <c r="K781" s="10">
        <f t="shared" si="131"/>
        <v>1.0213277529956599E-2</v>
      </c>
      <c r="L781" s="10">
        <f t="shared" si="132"/>
        <v>6.1279665179738707E-3</v>
      </c>
    </row>
    <row r="782" spans="1:12" x14ac:dyDescent="0.2">
      <c r="A782" s="14">
        <v>0.71699999999999997</v>
      </c>
      <c r="B782" s="10">
        <f t="shared" si="122"/>
        <v>0.92962894295638265</v>
      </c>
      <c r="C782" s="10">
        <f t="shared" si="123"/>
        <v>0.20172948062153501</v>
      </c>
      <c r="D782" s="10">
        <f t="shared" si="124"/>
        <v>2.5256793885754507</v>
      </c>
      <c r="E782" s="10">
        <f t="shared" si="125"/>
        <v>12.499384318502987</v>
      </c>
      <c r="F782" s="10">
        <f t="shared" si="129"/>
        <v>0.12754935851316951</v>
      </c>
      <c r="G782" s="10">
        <f t="shared" si="126"/>
        <v>0.10624025994440439</v>
      </c>
      <c r="H782" s="10">
        <f t="shared" si="127"/>
        <v>0.5265351112124339</v>
      </c>
      <c r="I782" s="10">
        <f t="shared" si="130"/>
        <v>1.5344435851706306E-3</v>
      </c>
      <c r="J782" s="20">
        <f t="shared" si="128"/>
        <v>-1.6653345369377348E-16</v>
      </c>
      <c r="K782" s="10">
        <f t="shared" si="131"/>
        <v>1.0256873641973918E-2</v>
      </c>
      <c r="L782" s="10">
        <f t="shared" si="132"/>
        <v>6.1541241851844064E-3</v>
      </c>
    </row>
    <row r="783" spans="1:12" x14ac:dyDescent="0.2">
      <c r="A783" s="14">
        <v>0.71799999999999997</v>
      </c>
      <c r="B783" s="10">
        <f t="shared" si="122"/>
        <v>0.9345624981101105</v>
      </c>
      <c r="C783" s="10">
        <f t="shared" si="123"/>
        <v>0.20373462458800407</v>
      </c>
      <c r="D783" s="10">
        <f t="shared" si="124"/>
        <v>2.5359800912033736</v>
      </c>
      <c r="E783" s="10">
        <f t="shared" si="125"/>
        <v>12.628802162446945</v>
      </c>
      <c r="F783" s="10">
        <f t="shared" si="129"/>
        <v>0.12941784394395839</v>
      </c>
      <c r="G783" s="10">
        <f t="shared" si="126"/>
        <v>0.11242068152115819</v>
      </c>
      <c r="H783" s="10">
        <f t="shared" si="127"/>
        <v>0.52807560735468273</v>
      </c>
      <c r="I783" s="10">
        <f t="shared" si="130"/>
        <v>1.5404961422488261E-3</v>
      </c>
      <c r="J783" s="20">
        <f t="shared" si="128"/>
        <v>-1.6653345369377348E-16</v>
      </c>
      <c r="K783" s="10">
        <f t="shared" si="131"/>
        <v>1.0300702627922931E-2</v>
      </c>
      <c r="L783" s="10">
        <f t="shared" si="132"/>
        <v>6.1804215767538029E-3</v>
      </c>
    </row>
    <row r="784" spans="1:12" x14ac:dyDescent="0.2">
      <c r="A784" s="14">
        <v>0.71899999999999997</v>
      </c>
      <c r="B784" s="10">
        <f t="shared" si="122"/>
        <v>0.93950668838730078</v>
      </c>
      <c r="C784" s="10">
        <f t="shared" si="123"/>
        <v>0.20575196475681884</v>
      </c>
      <c r="D784" s="10">
        <f t="shared" si="124"/>
        <v>2.5463248581570865</v>
      </c>
      <c r="E784" s="10">
        <f t="shared" si="125"/>
        <v>12.760122244453614</v>
      </c>
      <c r="F784" s="10">
        <f t="shared" si="129"/>
        <v>0.13132008200666867</v>
      </c>
      <c r="G784" s="10">
        <f t="shared" si="126"/>
        <v>0.11862754169338585</v>
      </c>
      <c r="H784" s="10">
        <f t="shared" si="127"/>
        <v>0.52962215543530256</v>
      </c>
      <c r="I784" s="10">
        <f t="shared" si="130"/>
        <v>1.5465480806198251E-3</v>
      </c>
      <c r="J784" s="20">
        <f t="shared" si="128"/>
        <v>-1.1102230246251565E-16</v>
      </c>
      <c r="K784" s="10">
        <f t="shared" si="131"/>
        <v>1.0344766953712892E-2</v>
      </c>
      <c r="L784" s="10">
        <f t="shared" si="132"/>
        <v>6.2068601722276573E-3</v>
      </c>
    </row>
    <row r="785" spans="1:12" x14ac:dyDescent="0.2">
      <c r="A785" s="14">
        <v>0.72</v>
      </c>
      <c r="B785" s="10">
        <f t="shared" si="122"/>
        <v>0.94446160884085129</v>
      </c>
      <c r="C785" s="10">
        <f t="shared" si="123"/>
        <v>0.20778155394498726</v>
      </c>
      <c r="D785" s="10">
        <f t="shared" si="124"/>
        <v>2.5567139272761552</v>
      </c>
      <c r="E785" s="10">
        <f t="shared" si="125"/>
        <v>12.893379044911947</v>
      </c>
      <c r="F785" s="10">
        <f t="shared" si="129"/>
        <v>0.13325680045833366</v>
      </c>
      <c r="G785" s="10">
        <f t="shared" si="126"/>
        <v>0.12486098316482724</v>
      </c>
      <c r="H785" s="10">
        <f t="shared" si="127"/>
        <v>0.53117475442069106</v>
      </c>
      <c r="I785" s="10">
        <f t="shared" si="130"/>
        <v>1.5525989853885092E-3</v>
      </c>
      <c r="J785" s="20">
        <f t="shared" si="128"/>
        <v>0</v>
      </c>
      <c r="K785" s="10">
        <f t="shared" si="131"/>
        <v>1.0389069119068672E-2</v>
      </c>
      <c r="L785" s="10">
        <f t="shared" si="132"/>
        <v>6.2334414714413922E-3</v>
      </c>
    </row>
    <row r="786" spans="1:12" x14ac:dyDescent="0.2">
      <c r="A786" s="14">
        <v>0.72099999999999997</v>
      </c>
      <c r="B786" s="10">
        <f t="shared" si="122"/>
        <v>0.94942735546358326</v>
      </c>
      <c r="C786" s="10">
        <f t="shared" si="123"/>
        <v>0.20982344555745189</v>
      </c>
      <c r="D786" s="10">
        <f t="shared" si="124"/>
        <v>2.5671475389342868</v>
      </c>
      <c r="E786" s="10">
        <f t="shared" si="125"/>
        <v>13.028607790183523</v>
      </c>
      <c r="F786" s="10">
        <f t="shared" si="129"/>
        <v>0.13522874527157569</v>
      </c>
      <c r="G786" s="10">
        <f t="shared" si="126"/>
        <v>0.13112115015970588</v>
      </c>
      <c r="H786" s="10">
        <f t="shared" si="127"/>
        <v>0.53273340285547821</v>
      </c>
      <c r="I786" s="10">
        <f t="shared" si="130"/>
        <v>1.5586484347871465E-3</v>
      </c>
      <c r="J786" s="20">
        <f t="shared" si="128"/>
        <v>-3.8857805861880479E-16</v>
      </c>
      <c r="K786" s="10">
        <f t="shared" si="131"/>
        <v>1.0433611658131614E-2</v>
      </c>
      <c r="L786" s="10">
        <f t="shared" si="132"/>
        <v>6.2601669948786354E-3</v>
      </c>
    </row>
    <row r="787" spans="1:12" x14ac:dyDescent="0.2">
      <c r="A787" s="14">
        <v>0.72199999999999998</v>
      </c>
      <c r="B787" s="10">
        <f t="shared" si="122"/>
        <v>0.95440402520218914</v>
      </c>
      <c r="C787" s="10">
        <f t="shared" si="123"/>
        <v>0.21187769359488598</v>
      </c>
      <c r="D787" s="10">
        <f t="shared" si="124"/>
        <v>2.5776259360743525</v>
      </c>
      <c r="E787" s="10">
        <f t="shared" si="125"/>
        <v>13.165844471338067</v>
      </c>
      <c r="F787" s="10">
        <f t="shared" si="129"/>
        <v>0.13723668115454402</v>
      </c>
      <c r="G787" s="10">
        <f t="shared" si="126"/>
        <v>0.13740818844374536</v>
      </c>
      <c r="H787" s="10">
        <f t="shared" si="127"/>
        <v>0.53429809885559865</v>
      </c>
      <c r="I787" s="10">
        <f t="shared" si="130"/>
        <v>1.5646960001204357E-3</v>
      </c>
      <c r="J787" s="20">
        <f t="shared" si="128"/>
        <v>-3.3306690738754696E-16</v>
      </c>
      <c r="K787" s="10">
        <f t="shared" si="131"/>
        <v>1.0478397140065709E-2</v>
      </c>
      <c r="L787" s="10">
        <f t="shared" si="132"/>
        <v>6.2870382840394812E-3</v>
      </c>
    </row>
    <row r="788" spans="1:12" x14ac:dyDescent="0.2">
      <c r="A788" s="14">
        <v>0.72299999999999998</v>
      </c>
      <c r="B788" s="10">
        <f t="shared" si="122"/>
        <v>0.95939171597142614</v>
      </c>
      <c r="C788" s="10">
        <f t="shared" si="123"/>
        <v>0.21394435266162801</v>
      </c>
      <c r="D788" s="10">
        <f t="shared" si="124"/>
        <v>2.588149364244039</v>
      </c>
      <c r="E788" s="10">
        <f t="shared" si="125"/>
        <v>13.305125863425733</v>
      </c>
      <c r="F788" s="10">
        <f t="shared" si="129"/>
        <v>0.13928139208766588</v>
      </c>
      <c r="G788" s="10">
        <f t="shared" si="126"/>
        <v>0.14372224534555733</v>
      </c>
      <c r="H788" s="10">
        <f t="shared" si="127"/>
        <v>0.5358688401013052</v>
      </c>
      <c r="I788" s="10">
        <f t="shared" si="130"/>
        <v>1.5707412457065528E-3</v>
      </c>
      <c r="J788" s="20">
        <f t="shared" si="128"/>
        <v>-2.2204460492503131E-16</v>
      </c>
      <c r="K788" s="10">
        <f t="shared" si="131"/>
        <v>1.0523428169686433E-2</v>
      </c>
      <c r="L788" s="10">
        <f t="shared" si="132"/>
        <v>6.3140569018119708E-3</v>
      </c>
    </row>
    <row r="789" spans="1:12" x14ac:dyDescent="0.2">
      <c r="A789" s="14">
        <v>0.72399999999999998</v>
      </c>
      <c r="B789" s="10">
        <f t="shared" si="122"/>
        <v>0.96439052666856628</v>
      </c>
      <c r="C789" s="10">
        <f t="shared" si="123"/>
        <v>0.21602347797375882</v>
      </c>
      <c r="D789" s="10">
        <f t="shared" si="124"/>
        <v>2.5987180716321361</v>
      </c>
      <c r="E789" s="10">
        <f t="shared" si="125"/>
        <v>13.446489545303352</v>
      </c>
      <c r="F789" s="10">
        <f t="shared" si="129"/>
        <v>0.14136368187761938</v>
      </c>
      <c r="G789" s="10">
        <f t="shared" si="126"/>
        <v>0.1500634697784155</v>
      </c>
      <c r="H789" s="10">
        <f t="shared" si="127"/>
        <v>0.53744562383012806</v>
      </c>
      <c r="I789" s="10">
        <f t="shared" si="130"/>
        <v>1.5767837288228614E-3</v>
      </c>
      <c r="J789" s="20">
        <f t="shared" si="128"/>
        <v>-2.7755575615628914E-16</v>
      </c>
      <c r="K789" s="10">
        <f t="shared" si="131"/>
        <v>1.0568707388097121E-2</v>
      </c>
      <c r="L789" s="10">
        <f t="shared" si="132"/>
        <v>6.3412244328581724E-3</v>
      </c>
    </row>
    <row r="790" spans="1:12" x14ac:dyDescent="0.2">
      <c r="A790" s="14">
        <v>0.72499999999999998</v>
      </c>
      <c r="B790" s="10">
        <f t="shared" si="122"/>
        <v>0.96940055718810347</v>
      </c>
      <c r="C790" s="10">
        <f t="shared" si="123"/>
        <v>0.21811512536732325</v>
      </c>
      <c r="D790" s="10">
        <f t="shared" si="124"/>
        <v>2.6093323091054734</v>
      </c>
      <c r="E790" s="10">
        <f t="shared" si="125"/>
        <v>13.589973920032527</v>
      </c>
      <c r="F790" s="10">
        <f t="shared" si="129"/>
        <v>0.14348437472917475</v>
      </c>
      <c r="G790" s="10">
        <f t="shared" si="126"/>
        <v>0.15643201226241815</v>
      </c>
      <c r="H790" s="10">
        <f t="shared" si="127"/>
        <v>0.53902844682977791</v>
      </c>
      <c r="I790" s="10">
        <f t="shared" si="130"/>
        <v>1.5828229996498466E-3</v>
      </c>
      <c r="J790" s="20">
        <f t="shared" si="128"/>
        <v>0</v>
      </c>
      <c r="K790" s="10">
        <f t="shared" si="131"/>
        <v>1.061423747333734E-2</v>
      </c>
      <c r="L790" s="10">
        <f t="shared" si="132"/>
        <v>6.3685424840026483E-3</v>
      </c>
    </row>
    <row r="791" spans="1:12" x14ac:dyDescent="0.2">
      <c r="A791" s="14">
        <v>0.72599999999999998</v>
      </c>
      <c r="B791" s="10">
        <f t="shared" si="122"/>
        <v>0.97442190843672571</v>
      </c>
      <c r="C791" s="10">
        <f t="shared" si="123"/>
        <v>0.22021935130669998</v>
      </c>
      <c r="D791" s="10">
        <f t="shared" si="124"/>
        <v>2.619992330246526</v>
      </c>
      <c r="E791" s="10">
        <f t="shared" si="125"/>
        <v>13.735618235868241</v>
      </c>
      <c r="F791" s="10">
        <f t="shared" si="129"/>
        <v>0.14564431583571391</v>
      </c>
      <c r="G791" s="10">
        <f t="shared" si="126"/>
        <v>0.1628280249470494</v>
      </c>
      <c r="H791" s="10">
        <f t="shared" si="127"/>
        <v>0.54061730543099384</v>
      </c>
      <c r="I791" s="10">
        <f t="shared" si="130"/>
        <v>1.5888586012159367E-3</v>
      </c>
      <c r="J791" s="20">
        <f t="shared" si="128"/>
        <v>-3.3306690738754696E-16</v>
      </c>
      <c r="K791" s="10">
        <f t="shared" si="131"/>
        <v>1.0660021141052578E-2</v>
      </c>
      <c r="L791" s="10">
        <f t="shared" si="132"/>
        <v>6.3960126846312471E-3</v>
      </c>
    </row>
    <row r="792" spans="1:12" x14ac:dyDescent="0.2">
      <c r="A792" s="14">
        <v>0.72699999999999998</v>
      </c>
      <c r="B792" s="10">
        <f t="shared" si="122"/>
        <v>0.97945468234855959</v>
      </c>
      <c r="C792" s="10">
        <f t="shared" si="123"/>
        <v>0.222336212893123</v>
      </c>
      <c r="D792" s="10">
        <f t="shared" si="124"/>
        <v>2.6306983913916948</v>
      </c>
      <c r="E792" s="10">
        <f t="shared" si="125"/>
        <v>13.88346260785706</v>
      </c>
      <c r="F792" s="10">
        <f t="shared" si="129"/>
        <v>0.14784437198881939</v>
      </c>
      <c r="G792" s="10">
        <f t="shared" si="126"/>
        <v>0.1692516616341509</v>
      </c>
      <c r="H792" s="10">
        <f t="shared" si="127"/>
        <v>0.54221219550033706</v>
      </c>
      <c r="I792" s="10">
        <f t="shared" si="130"/>
        <v>1.5948900693432133E-3</v>
      </c>
      <c r="J792" s="20">
        <f t="shared" si="128"/>
        <v>0</v>
      </c>
      <c r="K792" s="10">
        <f t="shared" si="131"/>
        <v>1.070606114516881E-2</v>
      </c>
      <c r="L792" s="10">
        <f t="shared" si="132"/>
        <v>6.4236366871014972E-3</v>
      </c>
    </row>
    <row r="793" spans="1:12" x14ac:dyDescent="0.2">
      <c r="A793" s="14">
        <v>0.72799999999999998</v>
      </c>
      <c r="B793" s="10">
        <f t="shared" si="122"/>
        <v>0.98449898190068863</v>
      </c>
      <c r="C793" s="10">
        <f t="shared" si="123"/>
        <v>0.22446576787335698</v>
      </c>
      <c r="D793" s="10">
        <f t="shared" si="124"/>
        <v>2.6414507516702885</v>
      </c>
      <c r="E793" s="10">
        <f t="shared" si="125"/>
        <v>14.033548040065009</v>
      </c>
      <c r="F793" s="10">
        <f t="shared" si="129"/>
        <v>0.15008543220794834</v>
      </c>
      <c r="G793" s="10">
        <f t="shared" si="126"/>
        <v>0.17570307780130695</v>
      </c>
      <c r="H793" s="10">
        <f t="shared" si="127"/>
        <v>0.54381311243293118</v>
      </c>
      <c r="I793" s="10">
        <f t="shared" si="130"/>
        <v>1.6009169325941208E-3</v>
      </c>
      <c r="J793" s="20">
        <f t="shared" si="128"/>
        <v>-3.8857805861880479E-16</v>
      </c>
      <c r="K793" s="10">
        <f t="shared" si="131"/>
        <v>1.075236027859372E-2</v>
      </c>
      <c r="L793" s="10">
        <f t="shared" si="132"/>
        <v>6.4514161671560544E-3</v>
      </c>
    </row>
    <row r="794" spans="1:12" x14ac:dyDescent="0.2">
      <c r="A794" s="14">
        <v>0.72899999999999998</v>
      </c>
      <c r="B794" s="10">
        <f t="shared" si="122"/>
        <v>0.9895549111289571</v>
      </c>
      <c r="C794" s="10">
        <f t="shared" si="123"/>
        <v>0.22660807464853117</v>
      </c>
      <c r="D794" s="10">
        <f t="shared" si="124"/>
        <v>2.6522496730442069</v>
      </c>
      <c r="E794" s="10">
        <f t="shared" si="125"/>
        <v>14.185916448455577</v>
      </c>
      <c r="F794" s="10">
        <f t="shared" si="129"/>
        <v>0.15236840839056853</v>
      </c>
      <c r="G794" s="10">
        <f t="shared" si="126"/>
        <v>0.18218243062565809</v>
      </c>
      <c r="H794" s="10">
        <f t="shared" si="127"/>
        <v>0.5454200511451488</v>
      </c>
      <c r="I794" s="10">
        <f t="shared" si="130"/>
        <v>1.6069387122176204E-3</v>
      </c>
      <c r="J794" s="20">
        <f t="shared" si="128"/>
        <v>-2.2204460492503131E-16</v>
      </c>
      <c r="K794" s="10">
        <f t="shared" si="131"/>
        <v>1.0798921373918358E-2</v>
      </c>
      <c r="L794" s="10">
        <f t="shared" si="132"/>
        <v>6.4793528243511367E-3</v>
      </c>
    </row>
    <row r="795" spans="1:12" x14ac:dyDescent="0.2">
      <c r="A795" s="14">
        <v>0.73</v>
      </c>
      <c r="B795" s="10">
        <f t="shared" si="122"/>
        <v>0.99462257514406194</v>
      </c>
      <c r="C795" s="10">
        <f t="shared" si="123"/>
        <v>0.22876319228313421</v>
      </c>
      <c r="D795" s="10">
        <f t="shared" si="124"/>
        <v>2.6630954203483577</v>
      </c>
      <c r="E795" s="10">
        <f t="shared" si="125"/>
        <v>14.340610684439469</v>
      </c>
      <c r="F795" s="10">
        <f t="shared" si="129"/>
        <v>0.1546942359838912</v>
      </c>
      <c r="G795" s="10">
        <f t="shared" si="126"/>
        <v>0.18868987900814854</v>
      </c>
      <c r="H795" s="10">
        <f t="shared" si="127"/>
        <v>0.54703300606724625</v>
      </c>
      <c r="I795" s="10">
        <f t="shared" si="130"/>
        <v>1.6129549220974537E-3</v>
      </c>
      <c r="J795" s="20">
        <f t="shared" si="128"/>
        <v>-2.7755575615628914E-16</v>
      </c>
      <c r="K795" s="10">
        <f t="shared" si="131"/>
        <v>1.0845747304150777E-2</v>
      </c>
      <c r="L795" s="10">
        <f t="shared" si="132"/>
        <v>6.507448382490455E-3</v>
      </c>
    </row>
    <row r="796" spans="1:12" x14ac:dyDescent="0.2">
      <c r="A796" s="14">
        <v>0.73099999999999998</v>
      </c>
      <c r="B796" s="10">
        <f t="shared" si="122"/>
        <v>0.99970208014793938</v>
      </c>
      <c r="C796" s="10">
        <f t="shared" si="123"/>
        <v>0.23093118051417397</v>
      </c>
      <c r="D796" s="10">
        <f t="shared" si="124"/>
        <v>2.6739882613318073</v>
      </c>
      <c r="E796" s="10">
        <f t="shared" si="125"/>
        <v>14.497674559118041</v>
      </c>
      <c r="F796" s="10">
        <f t="shared" si="129"/>
        <v>0.15706387467857219</v>
      </c>
      <c r="G796" s="10">
        <f t="shared" si="126"/>
        <v>0.19522558359821829</v>
      </c>
      <c r="H796" s="10">
        <f t="shared" si="127"/>
        <v>0.54865197113594655</v>
      </c>
      <c r="I796" s="10">
        <f t="shared" si="130"/>
        <v>1.6189650687002954E-3</v>
      </c>
      <c r="J796" s="20">
        <f t="shared" si="128"/>
        <v>-3.3306690738754696E-16</v>
      </c>
      <c r="K796" s="10">
        <f t="shared" si="131"/>
        <v>1.089284098344967E-2</v>
      </c>
      <c r="L796" s="10">
        <f t="shared" si="132"/>
        <v>6.5357045900697464E-3</v>
      </c>
    </row>
    <row r="797" spans="1:12" x14ac:dyDescent="0.2">
      <c r="A797" s="14">
        <v>0.73199999999999998</v>
      </c>
      <c r="B797" s="10">
        <f t="shared" si="122"/>
        <v>1.0047935334504547</v>
      </c>
      <c r="C797" s="10">
        <f t="shared" si="123"/>
        <v>0.23311209976050548</v>
      </c>
      <c r="D797" s="10">
        <f t="shared" si="124"/>
        <v>2.6849284666996933</v>
      </c>
      <c r="E797" s="10">
        <f t="shared" si="125"/>
        <v>14.657152868243623</v>
      </c>
      <c r="F797" s="10">
        <f t="shared" si="129"/>
        <v>0.15947830912558203</v>
      </c>
      <c r="G797" s="10">
        <f t="shared" si="126"/>
        <v>0.20178970681895009</v>
      </c>
      <c r="H797" s="10">
        <f t="shared" si="127"/>
        <v>0.55027693978697112</v>
      </c>
      <c r="I797" s="10">
        <f t="shared" si="130"/>
        <v>1.624968651024572E-3</v>
      </c>
      <c r="J797" s="20">
        <f t="shared" si="128"/>
        <v>0</v>
      </c>
      <c r="K797" s="10">
        <f t="shared" si="131"/>
        <v>1.094020536788598E-2</v>
      </c>
      <c r="L797" s="10">
        <f t="shared" si="132"/>
        <v>6.564123220731799E-3</v>
      </c>
    </row>
    <row r="798" spans="1:12" x14ac:dyDescent="0.2">
      <c r="A798" s="14">
        <v>0.73299999999999998</v>
      </c>
      <c r="B798" s="10">
        <f t="shared" si="122"/>
        <v>1.0098970434864019</v>
      </c>
      <c r="C798" s="10">
        <f t="shared" si="123"/>
        <v>0.23530601113233163</v>
      </c>
      <c r="D798" s="10">
        <f t="shared" si="124"/>
        <v>2.6959163101559129</v>
      </c>
      <c r="E798" s="10">
        <f t="shared" si="125"/>
        <v>14.819091417920484</v>
      </c>
      <c r="F798" s="10">
        <f t="shared" si="129"/>
        <v>0.1619385496768615</v>
      </c>
      <c r="G798" s="10">
        <f t="shared" si="126"/>
        <v>0.20838241289268172</v>
      </c>
      <c r="H798" s="10">
        <f t="shared" si="127"/>
        <v>0.55190790494752162</v>
      </c>
      <c r="I798" s="10">
        <f t="shared" si="130"/>
        <v>1.6309651605505016E-3</v>
      </c>
      <c r="J798" s="20">
        <f t="shared" si="128"/>
        <v>0</v>
      </c>
      <c r="K798" s="10">
        <f t="shared" si="131"/>
        <v>1.0987843456219615E-2</v>
      </c>
      <c r="L798" s="10">
        <f t="shared" si="132"/>
        <v>6.5927060737316356E-3</v>
      </c>
    </row>
    <row r="799" spans="1:12" x14ac:dyDescent="0.2">
      <c r="A799" s="14">
        <v>0.73399999999999999</v>
      </c>
      <c r="B799" s="10">
        <f t="shared" si="122"/>
        <v>1.0150127198328165</v>
      </c>
      <c r="C799" s="10">
        <f t="shared" si="123"/>
        <v>0.23751297644087904</v>
      </c>
      <c r="D799" s="10">
        <f t="shared" si="124"/>
        <v>2.7069520684465957</v>
      </c>
      <c r="E799" s="10">
        <f t="shared" si="125"/>
        <v>14.983537051071082</v>
      </c>
      <c r="F799" s="10">
        <f t="shared" si="129"/>
        <v>0.16444563315059746</v>
      </c>
      <c r="G799" s="10">
        <f t="shared" si="126"/>
        <v>0.2150038678670913</v>
      </c>
      <c r="H799" s="10">
        <f t="shared" si="127"/>
        <v>0.55354485902871331</v>
      </c>
      <c r="I799" s="10">
        <f t="shared" si="130"/>
        <v>1.6369540811916883E-3</v>
      </c>
      <c r="J799" s="20">
        <f t="shared" si="128"/>
        <v>-2.7755575615628914E-16</v>
      </c>
      <c r="K799" s="10">
        <f t="shared" si="131"/>
        <v>1.1035758290682818E-2</v>
      </c>
      <c r="L799" s="10">
        <f t="shared" si="132"/>
        <v>6.6214549744095796E-3</v>
      </c>
    </row>
    <row r="800" spans="1:12" x14ac:dyDescent="0.2">
      <c r="A800" s="14">
        <v>0.73499999999999999</v>
      </c>
      <c r="B800" s="10">
        <f t="shared" si="122"/>
        <v>1.0201406732266143</v>
      </c>
      <c r="C800" s="10">
        <f t="shared" si="123"/>
        <v>0.23973305820825433</v>
      </c>
      <c r="D800" s="10">
        <f t="shared" si="124"/>
        <v>2.7180360214043939</v>
      </c>
      <c r="E800" s="10">
        <f t="shared" si="125"/>
        <v>15.150537674693423</v>
      </c>
      <c r="F800" s="10">
        <f t="shared" si="129"/>
        <v>0.16700062362234114</v>
      </c>
      <c r="G800" s="10">
        <f t="shared" si="126"/>
        <v>0.22165423964177039</v>
      </c>
      <c r="H800" s="10">
        <f t="shared" si="127"/>
        <v>0.55518779391795847</v>
      </c>
      <c r="I800" s="10">
        <f t="shared" si="130"/>
        <v>1.6429348892451623E-3</v>
      </c>
      <c r="J800" s="20">
        <f t="shared" si="128"/>
        <v>0</v>
      </c>
      <c r="K800" s="10">
        <f t="shared" si="131"/>
        <v>1.1083952957798182E-2</v>
      </c>
      <c r="L800" s="10">
        <f t="shared" si="132"/>
        <v>6.6503717746790869E-3</v>
      </c>
    </row>
    <row r="801" spans="1:12" x14ac:dyDescent="0.2">
      <c r="A801" s="14">
        <v>0.73599999999999999</v>
      </c>
      <c r="B801" s="10">
        <f t="shared" si="122"/>
        <v>1.02528101558256</v>
      </c>
      <c r="C801" s="10">
        <f t="shared" si="123"/>
        <v>0.24196631967748417</v>
      </c>
      <c r="D801" s="10">
        <f t="shared" si="124"/>
        <v>2.7291684519935977</v>
      </c>
      <c r="E801" s="10">
        <f t="shared" si="125"/>
        <v>15.320142287936017</v>
      </c>
      <c r="F801" s="10">
        <f t="shared" si="129"/>
        <v>0.16960461324259413</v>
      </c>
      <c r="G801" s="10">
        <f t="shared" si="126"/>
        <v>0.22833369799529241</v>
      </c>
      <c r="H801" s="10">
        <f t="shared" si="127"/>
        <v>0.55683670097130378</v>
      </c>
      <c r="I801" s="10">
        <f t="shared" si="130"/>
        <v>1.6489070533453054E-3</v>
      </c>
      <c r="J801" s="20">
        <f t="shared" si="128"/>
        <v>-3.8857805861880479E-16</v>
      </c>
      <c r="K801" s="10">
        <f t="shared" si="131"/>
        <v>1.1132430589203768E-2</v>
      </c>
      <c r="L801" s="10">
        <f t="shared" si="132"/>
        <v>6.6794583535220164E-3</v>
      </c>
    </row>
    <row r="802" spans="1:12" x14ac:dyDescent="0.2">
      <c r="A802" s="14">
        <v>0.73699999999999999</v>
      </c>
      <c r="B802" s="10">
        <f t="shared" si="122"/>
        <v>1.0304338600115719</v>
      </c>
      <c r="C802" s="10">
        <f t="shared" si="123"/>
        <v>0.24421282482274254</v>
      </c>
      <c r="D802" s="10">
        <f t="shared" si="124"/>
        <v>2.7403496463560901</v>
      </c>
      <c r="E802" s="10">
        <f t="shared" si="125"/>
        <v>15.492401011017932</v>
      </c>
      <c r="F802" s="10">
        <f t="shared" si="129"/>
        <v>0.17225872308191548</v>
      </c>
      <c r="G802" s="10">
        <f t="shared" si="126"/>
        <v>0.23504241461278819</v>
      </c>
      <c r="H802" s="10">
        <f t="shared" si="127"/>
        <v>0.55849157100572089</v>
      </c>
      <c r="I802" s="10">
        <f t="shared" si="130"/>
        <v>1.6548700344171108E-3</v>
      </c>
      <c r="J802" s="20">
        <f t="shared" si="128"/>
        <v>0</v>
      </c>
      <c r="K802" s="10">
        <f t="shared" si="131"/>
        <v>1.118119436249243E-2</v>
      </c>
      <c r="L802" s="10">
        <f t="shared" si="132"/>
        <v>6.7087166174957802E-3</v>
      </c>
    </row>
    <row r="803" spans="1:12" x14ac:dyDescent="0.2">
      <c r="A803" s="14">
        <v>0.73799999999999999</v>
      </c>
      <c r="B803" s="10">
        <f t="shared" si="122"/>
        <v>1.0355993208393754</v>
      </c>
      <c r="C803" s="10">
        <f t="shared" si="123"/>
        <v>0.24647263835977135</v>
      </c>
      <c r="D803" s="10">
        <f t="shared" si="124"/>
        <v>2.7515798938581808</v>
      </c>
      <c r="E803" s="10">
        <f t="shared" si="125"/>
        <v>15.667365115022884</v>
      </c>
      <c r="F803" s="10">
        <f t="shared" si="129"/>
        <v>0.17496410400495144</v>
      </c>
      <c r="G803" s="10">
        <f t="shared" si="126"/>
        <v>0.2417805631140425</v>
      </c>
      <c r="H803" s="10">
        <f t="shared" si="127"/>
        <v>0.56015239429135089</v>
      </c>
      <c r="I803" s="10">
        <f t="shared" si="130"/>
        <v>1.6608232856299976E-3</v>
      </c>
      <c r="J803" s="20">
        <f t="shared" si="128"/>
        <v>0</v>
      </c>
      <c r="K803" s="10">
        <f t="shared" si="131"/>
        <v>1.1230247502090673E-2</v>
      </c>
      <c r="L803" s="10">
        <f t="shared" si="132"/>
        <v>6.7381485012543152E-3</v>
      </c>
    </row>
    <row r="804" spans="1:12" x14ac:dyDescent="0.2">
      <c r="A804" s="14">
        <v>0.73899999999999999</v>
      </c>
      <c r="B804" s="10">
        <f t="shared" si="122"/>
        <v>1.0407775136255084</v>
      </c>
      <c r="C804" s="10">
        <f t="shared" si="123"/>
        <v>0.24874582575649651</v>
      </c>
      <c r="D804" s="10">
        <f t="shared" si="124"/>
        <v>2.762859487138309</v>
      </c>
      <c r="E804" s="10">
        <f t="shared" si="125"/>
        <v>15.845087052596641</v>
      </c>
      <c r="F804" s="10">
        <f t="shared" si="129"/>
        <v>0.17772193757375732</v>
      </c>
      <c r="G804" s="10">
        <f t="shared" si="126"/>
        <v>0.24854831908211933</v>
      </c>
      <c r="H804" s="10">
        <f t="shared" si="127"/>
        <v>0.56181916054370562</v>
      </c>
      <c r="I804" s="10">
        <f t="shared" si="130"/>
        <v>1.6667662523547344E-3</v>
      </c>
      <c r="J804" s="20">
        <f t="shared" si="128"/>
        <v>-2.7755575615628914E-16</v>
      </c>
      <c r="K804" s="10">
        <f t="shared" si="131"/>
        <v>1.1279593280128175E-2</v>
      </c>
      <c r="L804" s="10">
        <f t="shared" si="132"/>
        <v>6.7677559680768273E-3</v>
      </c>
    </row>
    <row r="805" spans="1:12" x14ac:dyDescent="0.2">
      <c r="A805" s="14">
        <v>0.74</v>
      </c>
      <c r="B805" s="10">
        <f t="shared" si="122"/>
        <v>1.0459685551826876</v>
      </c>
      <c r="C805" s="10">
        <f t="shared" si="123"/>
        <v>0.25103245324384504</v>
      </c>
      <c r="D805" s="10">
        <f t="shared" si="124"/>
        <v>2.774188722155662</v>
      </c>
      <c r="E805" s="10">
        <f t="shared" si="125"/>
        <v>16.025620489578976</v>
      </c>
      <c r="F805" s="10">
        <f t="shared" si="129"/>
        <v>0.18053343698233526</v>
      </c>
      <c r="G805" s="10">
        <f t="shared" si="126"/>
        <v>0.25534586009253085</v>
      </c>
      <c r="H805" s="10">
        <f t="shared" si="127"/>
        <v>0.5634918589158241</v>
      </c>
      <c r="I805" s="10">
        <f t="shared" si="130"/>
        <v>1.6726983721184752E-3</v>
      </c>
      <c r="J805" s="20">
        <f t="shared" si="128"/>
        <v>-4.9960036108132044E-16</v>
      </c>
      <c r="K805" s="10">
        <f t="shared" si="131"/>
        <v>1.1329235017353056E-2</v>
      </c>
      <c r="L805" s="10">
        <f t="shared" si="132"/>
        <v>6.797541010411523E-3</v>
      </c>
    </row>
    <row r="806" spans="1:12" x14ac:dyDescent="0.2">
      <c r="A806" s="14">
        <v>0.74099999999999999</v>
      </c>
      <c r="B806" s="10">
        <f t="shared" si="122"/>
        <v>1.051172563596549</v>
      </c>
      <c r="C806" s="10">
        <f t="shared" si="123"/>
        <v>0.25333258782676832</v>
      </c>
      <c r="D806" s="10">
        <f t="shared" si="124"/>
        <v>2.7855678982397172</v>
      </c>
      <c r="E806" s="10">
        <f t="shared" si="125"/>
        <v>16.209020337601942</v>
      </c>
      <c r="F806" s="10">
        <f t="shared" si="129"/>
        <v>0.18339984802296527</v>
      </c>
      <c r="G806" s="10">
        <f t="shared" si="126"/>
        <v>0.26217336574296413</v>
      </c>
      <c r="H806" s="10">
        <f t="shared" si="127"/>
        <v>0.56517047799038844</v>
      </c>
      <c r="I806" s="10">
        <f t="shared" si="130"/>
        <v>1.678619074564347E-3</v>
      </c>
      <c r="J806" s="20">
        <f t="shared" si="128"/>
        <v>0</v>
      </c>
      <c r="K806" s="10">
        <f t="shared" si="131"/>
        <v>1.1379176084055143E-2</v>
      </c>
      <c r="L806" s="10">
        <f t="shared" si="132"/>
        <v>6.8275056504332743E-3</v>
      </c>
    </row>
    <row r="807" spans="1:12" x14ac:dyDescent="0.2">
      <c r="A807" s="14">
        <v>0.74199999999999999</v>
      </c>
      <c r="B807" s="10">
        <f t="shared" si="122"/>
        <v>1.056389658245763</v>
      </c>
      <c r="C807" s="10">
        <f t="shared" si="123"/>
        <v>0.25564629729547467</v>
      </c>
      <c r="D807" s="10">
        <f t="shared" si="124"/>
        <v>2.7969973181407299</v>
      </c>
      <c r="E807" s="10">
        <f t="shared" si="125"/>
        <v>16.395342787687785</v>
      </c>
      <c r="F807" s="10">
        <f t="shared" si="129"/>
        <v>0.18632245008584292</v>
      </c>
      <c r="G807" s="10">
        <f t="shared" si="126"/>
        <v>0.26903101768357207</v>
      </c>
      <c r="H807" s="10">
        <f t="shared" si="127"/>
        <v>0.56685500577179759</v>
      </c>
      <c r="I807" s="10">
        <f t="shared" si="130"/>
        <v>1.6845277814091508E-3</v>
      </c>
      <c r="J807" s="20">
        <f t="shared" si="128"/>
        <v>0</v>
      </c>
      <c r="K807" s="10">
        <f t="shared" si="131"/>
        <v>1.1429419901012761E-2</v>
      </c>
      <c r="L807" s="10">
        <f t="shared" si="132"/>
        <v>6.857651940607945E-3</v>
      </c>
    </row>
    <row r="808" spans="1:12" x14ac:dyDescent="0.2">
      <c r="A808" s="14">
        <v>0.74299999999999999</v>
      </c>
      <c r="B808" s="10">
        <f t="shared" si="122"/>
        <v>1.0616199598225393</v>
      </c>
      <c r="C808" s="10">
        <f t="shared" si="123"/>
        <v>0.25797365023687707</v>
      </c>
      <c r="D808" s="10">
        <f t="shared" si="124"/>
        <v>2.808477288081189</v>
      </c>
      <c r="E808" s="10">
        <f t="shared" si="125"/>
        <v>16.584645344880887</v>
      </c>
      <c r="F808" s="10">
        <f t="shared" si="129"/>
        <v>0.18930255719310196</v>
      </c>
      <c r="G808" s="10">
        <f t="shared" si="126"/>
        <v>0.27591899964784755</v>
      </c>
      <c r="H808" s="10">
        <f t="shared" si="127"/>
        <v>0.56854542967820154</v>
      </c>
      <c r="I808" s="10">
        <f t="shared" si="130"/>
        <v>1.6904239064039484E-3</v>
      </c>
      <c r="J808" s="20">
        <f t="shared" si="128"/>
        <v>0</v>
      </c>
      <c r="K808" s="10">
        <f t="shared" si="131"/>
        <v>1.1479969940459078E-2</v>
      </c>
      <c r="L808" s="10">
        <f t="shared" si="132"/>
        <v>6.8879819642754803E-3</v>
      </c>
    </row>
    <row r="809" spans="1:12" x14ac:dyDescent="0.2">
      <c r="A809" s="14">
        <v>0.74399999999999999</v>
      </c>
      <c r="B809" s="10">
        <f t="shared" si="122"/>
        <v>1.0668635903535293</v>
      </c>
      <c r="C809" s="10">
        <f t="shared" si="123"/>
        <v>0.26031471604626116</v>
      </c>
      <c r="D809" s="10">
        <f t="shared" si="124"/>
        <v>2.8200081178082663</v>
      </c>
      <c r="E809" s="10">
        <f t="shared" si="125"/>
        <v>16.77698686394973</v>
      </c>
      <c r="F809" s="10">
        <f t="shared" si="129"/>
        <v>0.19234151906884378</v>
      </c>
      <c r="G809" s="10">
        <f t="shared" si="126"/>
        <v>0.28283749748409398</v>
      </c>
      <c r="H809" s="10">
        <f t="shared" si="127"/>
        <v>0.57024173653349775</v>
      </c>
      <c r="I809" s="10">
        <f t="shared" si="130"/>
        <v>1.6963068552962035E-3</v>
      </c>
      <c r="J809" s="20">
        <f t="shared" si="128"/>
        <v>0</v>
      </c>
      <c r="K809" s="10">
        <f t="shared" si="131"/>
        <v>1.1530829727077307E-2</v>
      </c>
      <c r="L809" s="10">
        <f t="shared" si="132"/>
        <v>6.9184978362464289E-3</v>
      </c>
    </row>
    <row r="810" spans="1:12" x14ac:dyDescent="0.2">
      <c r="A810" s="14">
        <v>0.745</v>
      </c>
      <c r="B810" s="10">
        <f t="shared" si="122"/>
        <v>1.0721206732211332</v>
      </c>
      <c r="C810" s="10">
        <f t="shared" si="123"/>
        <v>0.26266956493917765</v>
      </c>
      <c r="D810" s="10">
        <f t="shared" si="124"/>
        <v>2.8315901206472791</v>
      </c>
      <c r="E810" s="10">
        <f t="shared" si="125"/>
        <v>16.972427586195941</v>
      </c>
      <c r="F810" s="10">
        <f t="shared" si="129"/>
        <v>0.1954407222462109</v>
      </c>
      <c r="G810" s="10">
        <f t="shared" si="126"/>
        <v>0.28978669918750138</v>
      </c>
      <c r="H810" s="10">
        <f t="shared" si="127"/>
        <v>0.57194391255928934</v>
      </c>
      <c r="I810" s="10">
        <f t="shared" si="130"/>
        <v>1.7021760257915908E-3</v>
      </c>
      <c r="J810" s="20">
        <f t="shared" si="128"/>
        <v>0</v>
      </c>
      <c r="K810" s="10">
        <f t="shared" si="131"/>
        <v>1.1582002839012784E-2</v>
      </c>
      <c r="L810" s="10">
        <f t="shared" si="132"/>
        <v>6.9492017034074038E-3</v>
      </c>
    </row>
    <row r="811" spans="1:12" x14ac:dyDescent="0.2">
      <c r="A811" s="14">
        <v>0.746</v>
      </c>
      <c r="B811" s="10">
        <f t="shared" si="122"/>
        <v>1.0773913331852243</v>
      </c>
      <c r="C811" s="10">
        <f t="shared" si="123"/>
        <v>0.26503826796356517</v>
      </c>
      <c r="D811" s="10">
        <f t="shared" si="124"/>
        <v>2.8432236135561886</v>
      </c>
      <c r="E811" s="10">
        <f t="shared" si="125"/>
        <v>17.171029177409075</v>
      </c>
      <c r="F811" s="10">
        <f t="shared" si="129"/>
        <v>0.19860159121313359</v>
      </c>
      <c r="G811" s="10">
        <f t="shared" si="126"/>
        <v>0.29676679493284702</v>
      </c>
      <c r="H811" s="10">
        <f t="shared" si="127"/>
        <v>0.57365194336680847</v>
      </c>
      <c r="I811" s="10">
        <f t="shared" si="130"/>
        <v>1.7080308075191342E-3</v>
      </c>
      <c r="J811" s="20">
        <f t="shared" si="128"/>
        <v>0</v>
      </c>
      <c r="K811" s="10">
        <f t="shared" si="131"/>
        <v>1.1633492908909471E-2</v>
      </c>
      <c r="L811" s="10">
        <f t="shared" si="132"/>
        <v>6.980095745345638E-3</v>
      </c>
    </row>
    <row r="812" spans="1:12" x14ac:dyDescent="0.2">
      <c r="A812" s="14">
        <v>0.747</v>
      </c>
      <c r="B812" s="10">
        <f t="shared" si="122"/>
        <v>1.082675696405297</v>
      </c>
      <c r="C812" s="10">
        <f t="shared" si="123"/>
        <v>0.26742089701210836</v>
      </c>
      <c r="D812" s="10">
        <f t="shared" si="124"/>
        <v>2.8549089171811648</v>
      </c>
      <c r="E812" s="10">
        <f t="shared" si="125"/>
        <v>17.372854767007382</v>
      </c>
      <c r="F812" s="10">
        <f t="shared" si="129"/>
        <v>0.20182558959830743</v>
      </c>
      <c r="G812" s="10">
        <f t="shared" si="126"/>
        <v>0.30377797710783261</v>
      </c>
      <c r="H812" s="10">
        <f t="shared" si="127"/>
        <v>0.57536581394880448</v>
      </c>
      <c r="I812" s="10">
        <f t="shared" si="130"/>
        <v>1.7138705819960132E-3</v>
      </c>
      <c r="J812" s="20">
        <f t="shared" si="128"/>
        <v>-4.4408920985006262E-16</v>
      </c>
      <c r="K812" s="10">
        <f t="shared" si="131"/>
        <v>1.1685303624976218E-2</v>
      </c>
      <c r="L812" s="10">
        <f t="shared" si="132"/>
        <v>7.0111821749855863E-3</v>
      </c>
    </row>
    <row r="813" spans="1:12" x14ac:dyDescent="0.2">
      <c r="A813" s="14">
        <v>0.748</v>
      </c>
      <c r="B813" s="10">
        <f t="shared" si="122"/>
        <v>1.087973890463054</v>
      </c>
      <c r="C813" s="10">
        <f t="shared" si="123"/>
        <v>0.2698175248348374</v>
      </c>
      <c r="D813" s="10">
        <f t="shared" si="124"/>
        <v>2.8666463559132356</v>
      </c>
      <c r="E813" s="10">
        <f t="shared" si="125"/>
        <v>17.577968988406163</v>
      </c>
      <c r="F813" s="10">
        <f t="shared" si="129"/>
        <v>0.20511422139878022</v>
      </c>
      <c r="G813" s="10">
        <f t="shared" si="126"/>
        <v>0.31082044034707534</v>
      </c>
      <c r="H813" s="10">
        <f t="shared" si="127"/>
        <v>0.57708550867139996</v>
      </c>
      <c r="I813" s="10">
        <f t="shared" si="130"/>
        <v>1.7196947225954773E-3</v>
      </c>
      <c r="J813" s="20">
        <f t="shared" si="128"/>
        <v>0</v>
      </c>
      <c r="K813" s="10">
        <f t="shared" si="131"/>
        <v>1.1737438732070782E-2</v>
      </c>
      <c r="L813" s="10">
        <f t="shared" si="132"/>
        <v>7.0424632392427355E-3</v>
      </c>
    </row>
    <row r="814" spans="1:12" x14ac:dyDescent="0.2">
      <c r="A814" s="14">
        <v>0.749</v>
      </c>
      <c r="B814" s="10">
        <f t="shared" si="122"/>
        <v>1.0932860443854355</v>
      </c>
      <c r="C814" s="10">
        <f t="shared" si="123"/>
        <v>0.27222822505197347</v>
      </c>
      <c r="D814" s="10">
        <f t="shared" si="124"/>
        <v>2.8784362579460492</v>
      </c>
      <c r="E814" s="10">
        <f t="shared" si="125"/>
        <v>17.786438020657073</v>
      </c>
      <c r="F814" s="10">
        <f t="shared" si="129"/>
        <v>0.2084690322509104</v>
      </c>
      <c r="G814" s="10">
        <f t="shared" si="126"/>
        <v>0.31789438156676353</v>
      </c>
      <c r="H814" s="10">
        <f t="shared" si="127"/>
        <v>0.5788110112659145</v>
      </c>
      <c r="I814" s="10">
        <f t="shared" si="130"/>
        <v>1.7255025945145386E-3</v>
      </c>
      <c r="J814" s="20">
        <f t="shared" si="128"/>
        <v>0</v>
      </c>
      <c r="K814" s="10">
        <f t="shared" si="131"/>
        <v>1.1789902032813604E-2</v>
      </c>
      <c r="L814" s="10">
        <f t="shared" si="132"/>
        <v>7.0739412196881846E-3</v>
      </c>
    </row>
    <row r="815" spans="1:12" x14ac:dyDescent="0.2">
      <c r="A815" s="14">
        <v>0.75</v>
      </c>
      <c r="B815" s="10">
        <f t="shared" si="122"/>
        <v>1.0986122886681098</v>
      </c>
      <c r="C815" s="10">
        <f t="shared" si="123"/>
        <v>0.27465307216702745</v>
      </c>
      <c r="D815" s="10">
        <f t="shared" si="124"/>
        <v>2.890278955334777</v>
      </c>
      <c r="E815" s="10">
        <f t="shared" si="125"/>
        <v>17.998329631403461</v>
      </c>
      <c r="F815" s="10">
        <f t="shared" si="129"/>
        <v>0.21189161074638818</v>
      </c>
      <c r="G815" s="10">
        <f t="shared" si="126"/>
        <v>0.32500000000000001</v>
      </c>
      <c r="H815" s="10">
        <f t="shared" si="127"/>
        <v>0.5805423048206596</v>
      </c>
      <c r="I815" s="10">
        <f t="shared" si="130"/>
        <v>1.7312935547451058E-3</v>
      </c>
      <c r="J815" s="20">
        <f t="shared" si="128"/>
        <v>0</v>
      </c>
      <c r="K815" s="10">
        <f t="shared" si="131"/>
        <v>1.1842697388727785E-2</v>
      </c>
      <c r="L815" s="10">
        <f t="shared" si="132"/>
        <v>7.1056184332364825E-3</v>
      </c>
    </row>
    <row r="816" spans="1:12" x14ac:dyDescent="0.2">
      <c r="A816" s="14">
        <v>0.751</v>
      </c>
      <c r="B816" s="10">
        <f t="shared" si="122"/>
        <v>1.1039527552994273</v>
      </c>
      <c r="C816" s="10">
        <f t="shared" si="123"/>
        <v>0.27709214158015627</v>
      </c>
      <c r="D816" s="10">
        <f t="shared" si="124"/>
        <v>2.9021747840561787</v>
      </c>
      <c r="E816" s="10">
        <f t="shared" si="125"/>
        <v>18.213713221198475</v>
      </c>
      <c r="F816" s="10">
        <f t="shared" si="129"/>
        <v>0.21538358979501382</v>
      </c>
      <c r="G816" s="10">
        <f t="shared" si="126"/>
        <v>0.33213749723284131</v>
      </c>
      <c r="H816" s="10">
        <f t="shared" si="127"/>
        <v>0.5822793717727045</v>
      </c>
      <c r="I816" s="10">
        <f t="shared" si="130"/>
        <v>1.7370669520448967E-3</v>
      </c>
      <c r="J816" s="20">
        <f t="shared" si="128"/>
        <v>0</v>
      </c>
      <c r="K816" s="10">
        <f t="shared" si="131"/>
        <v>1.1895828721401713E-2</v>
      </c>
      <c r="L816" s="10">
        <f t="shared" si="132"/>
        <v>7.1374972328412944E-3</v>
      </c>
    </row>
    <row r="817" spans="1:12" x14ac:dyDescent="0.2">
      <c r="A817" s="14">
        <v>0.752</v>
      </c>
      <c r="B817" s="10">
        <f t="shared" si="122"/>
        <v>1.1093075777848576</v>
      </c>
      <c r="C817" s="10">
        <f t="shared" si="123"/>
        <v>0.27954550960178409</v>
      </c>
      <c r="D817" s="10">
        <f t="shared" si="124"/>
        <v>2.9141240840698694</v>
      </c>
      <c r="E817" s="10">
        <f t="shared" si="125"/>
        <v>18.432659869234801</v>
      </c>
      <c r="F817" s="10">
        <f t="shared" si="129"/>
        <v>0.2189466480363258</v>
      </c>
      <c r="G817" s="10">
        <f t="shared" si="126"/>
        <v>0.33930707724105569</v>
      </c>
      <c r="H817" s="10">
        <f t="shared" si="127"/>
        <v>0.58402219389961574</v>
      </c>
      <c r="I817" s="10">
        <f t="shared" si="130"/>
        <v>1.7428221269112365E-3</v>
      </c>
      <c r="J817" s="20">
        <f t="shared" si="128"/>
        <v>0</v>
      </c>
      <c r="K817" s="10">
        <f t="shared" si="131"/>
        <v>1.1949300013690767E-2</v>
      </c>
      <c r="L817" s="10">
        <f t="shared" si="132"/>
        <v>7.1695800082143823E-3</v>
      </c>
    </row>
    <row r="818" spans="1:12" x14ac:dyDescent="0.2">
      <c r="A818" s="14">
        <v>0.753</v>
      </c>
      <c r="B818" s="10">
        <f t="shared" si="122"/>
        <v>1.1146768911719165</v>
      </c>
      <c r="C818" s="10">
        <f t="shared" si="123"/>
        <v>0.28201325346649486</v>
      </c>
      <c r="D818" s="10">
        <f t="shared" si="124"/>
        <v>2.9261271993808036</v>
      </c>
      <c r="E818" s="10">
        <f t="shared" si="125"/>
        <v>18.6552423805364</v>
      </c>
      <c r="F818" s="10">
        <f t="shared" si="129"/>
        <v>0.22258251130159934</v>
      </c>
      <c r="G818" s="10">
        <f t="shared" si="126"/>
        <v>0.34650894642761609</v>
      </c>
      <c r="H818" s="10">
        <f t="shared" si="127"/>
        <v>0.58577075231117259</v>
      </c>
      <c r="I818" s="10">
        <f t="shared" si="130"/>
        <v>1.7485584115568553E-3</v>
      </c>
      <c r="J818" s="20">
        <f t="shared" si="128"/>
        <v>0</v>
      </c>
      <c r="K818" s="10">
        <f t="shared" si="131"/>
        <v>1.200311531093412E-2</v>
      </c>
      <c r="L818" s="10">
        <f t="shared" si="132"/>
        <v>7.2018691865604056E-3</v>
      </c>
    </row>
    <row r="819" spans="1:12" x14ac:dyDescent="0.2">
      <c r="A819" s="14">
        <v>0.754</v>
      </c>
      <c r="B819" s="10">
        <f t="shared" si="122"/>
        <v>1.1200608320755931</v>
      </c>
      <c r="C819" s="10">
        <f t="shared" si="123"/>
        <v>0.28449545134720067</v>
      </c>
      <c r="D819" s="10">
        <f t="shared" si="124"/>
        <v>2.9381844781030093</v>
      </c>
      <c r="E819" s="10">
        <f t="shared" si="125"/>
        <v>18.881535334665013</v>
      </c>
      <c r="F819" s="10">
        <f t="shared" si="129"/>
        <v>0.22629295412861339</v>
      </c>
      <c r="G819" s="10">
        <f t="shared" si="126"/>
        <v>0.3537433136609397</v>
      </c>
      <c r="H819" s="10">
        <f t="shared" si="127"/>
        <v>0.58752502744105783</v>
      </c>
      <c r="I819" s="10">
        <f t="shared" si="130"/>
        <v>1.754275129885241E-3</v>
      </c>
      <c r="J819" s="20">
        <f t="shared" si="128"/>
        <v>0</v>
      </c>
      <c r="K819" s="10">
        <f t="shared" si="131"/>
        <v>1.2057278722205744E-2</v>
      </c>
      <c r="L819" s="10">
        <f t="shared" si="132"/>
        <v>7.234367233323602E-3</v>
      </c>
    </row>
    <row r="820" spans="1:12" x14ac:dyDescent="0.2">
      <c r="A820" s="14">
        <v>0.755</v>
      </c>
      <c r="B820" s="10">
        <f t="shared" si="122"/>
        <v>1.1254595387042978</v>
      </c>
      <c r="C820" s="10">
        <f t="shared" si="123"/>
        <v>0.28699218236959595</v>
      </c>
      <c r="D820" s="10">
        <f t="shared" si="124"/>
        <v>2.9502962725246156</v>
      </c>
      <c r="E820" s="10">
        <f t="shared" si="125"/>
        <v>19.111615135996271</v>
      </c>
      <c r="F820" s="10">
        <f t="shared" si="129"/>
        <v>0.23007980133125727</v>
      </c>
      <c r="G820" s="10">
        <f t="shared" si="126"/>
        <v>0.36101039031390336</v>
      </c>
      <c r="H820" s="10">
        <f t="shared" si="127"/>
        <v>0.58928499903852904</v>
      </c>
      <c r="I820" s="10">
        <f t="shared" si="130"/>
        <v>1.7599715974712105E-3</v>
      </c>
      <c r="J820" s="20">
        <f t="shared" si="128"/>
        <v>0</v>
      </c>
      <c r="K820" s="10">
        <f t="shared" si="131"/>
        <v>1.2111794421606259E-2</v>
      </c>
      <c r="L820" s="10">
        <f t="shared" si="132"/>
        <v>7.2670766529636666E-3</v>
      </c>
    </row>
    <row r="821" spans="1:12" x14ac:dyDescent="0.2">
      <c r="A821" s="14">
        <v>0.75600000000000001</v>
      </c>
      <c r="B821" s="10">
        <f t="shared" si="122"/>
        <v>1.1308731508863312</v>
      </c>
      <c r="C821" s="10">
        <f t="shared" si="123"/>
        <v>0.28950352662690082</v>
      </c>
      <c r="D821" s="10">
        <f t="shared" si="124"/>
        <v>2.9624629391741806</v>
      </c>
      <c r="E821" s="10">
        <f t="shared" si="125"/>
        <v>19.345560065622067</v>
      </c>
      <c r="F821" s="10">
        <f t="shared" si="129"/>
        <v>0.23394492962579605</v>
      </c>
      <c r="G821" s="10">
        <f t="shared" si="126"/>
        <v>0.36831039030364215</v>
      </c>
      <c r="H821" s="10">
        <f t="shared" si="127"/>
        <v>0.59105064616006897</v>
      </c>
      <c r="I821" s="10">
        <f t="shared" si="130"/>
        <v>1.7656471215399261E-3</v>
      </c>
      <c r="J821" s="20">
        <f t="shared" si="128"/>
        <v>0</v>
      </c>
      <c r="K821" s="10">
        <f t="shared" si="131"/>
        <v>1.2166666649565006E-2</v>
      </c>
      <c r="L821" s="10">
        <f t="shared" si="132"/>
        <v>7.2999999897387924E-3</v>
      </c>
    </row>
    <row r="822" spans="1:12" x14ac:dyDescent="0.2">
      <c r="A822" s="14">
        <v>0.75700000000000001</v>
      </c>
      <c r="B822" s="10">
        <f t="shared" si="122"/>
        <v>1.1363018100969002</v>
      </c>
      <c r="C822" s="10">
        <f t="shared" si="123"/>
        <v>0.29202956519490336</v>
      </c>
      <c r="D822" s="10">
        <f t="shared" si="124"/>
        <v>2.9746848388883738</v>
      </c>
      <c r="E822" s="10">
        <f t="shared" si="125"/>
        <v>19.583450334938728</v>
      </c>
      <c r="F822" s="10">
        <f t="shared" si="129"/>
        <v>0.23789026931666157</v>
      </c>
      <c r="G822" s="10">
        <f t="shared" si="126"/>
        <v>0.3756435301321584</v>
      </c>
      <c r="H822" s="10">
        <f t="shared" si="127"/>
        <v>0.59282194716102021</v>
      </c>
      <c r="I822" s="10">
        <f t="shared" si="130"/>
        <v>1.771301000951242E-3</v>
      </c>
      <c r="J822" s="20">
        <f t="shared" si="128"/>
        <v>0</v>
      </c>
      <c r="K822" s="10">
        <f t="shared" si="131"/>
        <v>1.2221899714193185E-2</v>
      </c>
      <c r="L822" s="10">
        <f t="shared" si="132"/>
        <v>7.3331398285162441E-3</v>
      </c>
    </row>
    <row r="823" spans="1:12" x14ac:dyDescent="0.2">
      <c r="A823" s="14">
        <v>0.75800000000000001</v>
      </c>
      <c r="B823" s="10">
        <f t="shared" si="122"/>
        <v>1.1417456594856852</v>
      </c>
      <c r="C823" s="10">
        <f t="shared" si="123"/>
        <v>0.2945703801473068</v>
      </c>
      <c r="D823" s="10">
        <f t="shared" si="124"/>
        <v>2.9869623368810405</v>
      </c>
      <c r="E823" s="10">
        <f t="shared" si="125"/>
        <v>19.825368140982615</v>
      </c>
      <c r="F823" s="10">
        <f t="shared" si="129"/>
        <v>0.24191780604388669</v>
      </c>
      <c r="G823" s="10">
        <f t="shared" si="126"/>
        <v>0.38301002892775815</v>
      </c>
      <c r="H823" s="10">
        <f t="shared" si="127"/>
        <v>0.59459887968720271</v>
      </c>
      <c r="I823" s="10">
        <f t="shared" si="130"/>
        <v>1.7769325261824953E-3</v>
      </c>
      <c r="J823" s="20">
        <f t="shared" si="128"/>
        <v>0</v>
      </c>
      <c r="K823" s="10">
        <f t="shared" si="131"/>
        <v>1.2277497992666753E-2</v>
      </c>
      <c r="L823" s="10">
        <f t="shared" si="132"/>
        <v>7.3664987955997518E-3</v>
      </c>
    </row>
    <row r="824" spans="1:12" x14ac:dyDescent="0.2">
      <c r="A824" s="14">
        <v>0.75900000000000001</v>
      </c>
      <c r="B824" s="10">
        <f t="shared" si="122"/>
        <v>1.1472048439049751</v>
      </c>
      <c r="C824" s="10">
        <f t="shared" si="123"/>
        <v>0.29712605457138858</v>
      </c>
      <c r="D824" s="10">
        <f t="shared" si="124"/>
        <v>2.9992958028136649</v>
      </c>
      <c r="E824" s="10">
        <f t="shared" si="125"/>
        <v>20.071397723576915</v>
      </c>
      <c r="F824" s="10">
        <f t="shared" si="129"/>
        <v>0.24602958259429997</v>
      </c>
      <c r="G824" s="10">
        <f t="shared" si="126"/>
        <v>0.39041010848733293</v>
      </c>
      <c r="H824" s="10">
        <f t="shared" si="127"/>
        <v>0.59638142066651878</v>
      </c>
      <c r="I824" s="10">
        <f t="shared" si="130"/>
        <v>1.7825409793160718E-3</v>
      </c>
      <c r="J824" s="20">
        <f t="shared" si="128"/>
        <v>0</v>
      </c>
      <c r="K824" s="10">
        <f t="shared" si="131"/>
        <v>1.233346593262441E-2</v>
      </c>
      <c r="L824" s="10">
        <f t="shared" si="132"/>
        <v>7.4000795595747793E-3</v>
      </c>
    </row>
    <row r="825" spans="1:12" x14ac:dyDescent="0.2">
      <c r="A825" s="14">
        <v>0.76</v>
      </c>
      <c r="B825" s="10">
        <f t="shared" si="122"/>
        <v>1.1526795099383855</v>
      </c>
      <c r="C825" s="10">
        <f t="shared" si="123"/>
        <v>0.29969667258398025</v>
      </c>
      <c r="D825" s="10">
        <f t="shared" si="124"/>
        <v>3.0116856108672958</v>
      </c>
      <c r="E825" s="10">
        <f t="shared" si="125"/>
        <v>20.32162542435702</v>
      </c>
      <c r="F825" s="10">
        <f t="shared" si="129"/>
        <v>0.25022770078010481</v>
      </c>
      <c r="G825" s="10">
        <f t="shared" si="126"/>
        <v>0.39784399331951148</v>
      </c>
      <c r="H825" s="10">
        <f t="shared" si="127"/>
        <v>0.59816954630054686</v>
      </c>
      <c r="I825" s="10">
        <f t="shared" si="130"/>
        <v>1.7881256340280816E-3</v>
      </c>
      <c r="J825" s="20">
        <f t="shared" si="128"/>
        <v>0</v>
      </c>
      <c r="K825" s="10">
        <f t="shared" si="131"/>
        <v>1.238980805363088E-2</v>
      </c>
      <c r="L825" s="10">
        <f t="shared" si="132"/>
        <v>7.43388483217855E-3</v>
      </c>
    </row>
    <row r="826" spans="1:12" x14ac:dyDescent="0.2">
      <c r="A826" s="14">
        <v>0.76100000000000001</v>
      </c>
      <c r="B826" s="10">
        <f t="shared" si="122"/>
        <v>1.1581698059301753</v>
      </c>
      <c r="C826" s="10">
        <f t="shared" si="123"/>
        <v>0.30228231934777577</v>
      </c>
      <c r="D826" s="10">
        <f t="shared" si="124"/>
        <v>3.0241321398159502</v>
      </c>
      <c r="E826" s="10">
        <f t="shared" si="125"/>
        <v>20.576139747743579</v>
      </c>
      <c r="F826" s="10">
        <f t="shared" si="129"/>
        <v>0.25451432338655877</v>
      </c>
      <c r="G826" s="10">
        <f t="shared" si="126"/>
        <v>0.40531191068870398</v>
      </c>
      <c r="H826" s="10">
        <f t="shared" si="127"/>
        <v>0.59996323205612601</v>
      </c>
      <c r="I826" s="10">
        <f t="shared" si="130"/>
        <v>1.7936857555791441E-3</v>
      </c>
      <c r="J826" s="20">
        <f t="shared" si="128"/>
        <v>0</v>
      </c>
      <c r="K826" s="10">
        <f t="shared" si="131"/>
        <v>1.244652894865439E-2</v>
      </c>
      <c r="L826" s="10">
        <f t="shared" si="132"/>
        <v>7.4679173691925005E-3</v>
      </c>
    </row>
    <row r="827" spans="1:12" x14ac:dyDescent="0.2">
      <c r="A827" s="14">
        <v>0.76200000000000001</v>
      </c>
      <c r="B827" s="10">
        <f t="shared" si="122"/>
        <v>1.1636758820151716</v>
      </c>
      <c r="C827" s="10">
        <f t="shared" si="123"/>
        <v>0.30488308108797496</v>
      </c>
      <c r="D827" s="10">
        <f t="shared" si="124"/>
        <v>3.036635773101533</v>
      </c>
      <c r="E827" s="10">
        <f t="shared" si="125"/>
        <v>20.835031423935664</v>
      </c>
      <c r="F827" s="10">
        <f t="shared" si="129"/>
        <v>0.25889167619208564</v>
      </c>
      <c r="G827" s="10">
        <f t="shared" si="126"/>
        <v>0.41281409066005381</v>
      </c>
      <c r="H827" s="10">
        <f t="shared" si="127"/>
        <v>0.60176245265693307</v>
      </c>
      <c r="I827" s="10">
        <f t="shared" si="130"/>
        <v>1.799220600807061E-3</v>
      </c>
      <c r="J827" s="20">
        <f t="shared" si="128"/>
        <v>0</v>
      </c>
      <c r="K827" s="10">
        <f t="shared" si="131"/>
        <v>1.2503633285582794E-2</v>
      </c>
      <c r="L827" s="10">
        <f t="shared" si="132"/>
        <v>7.5021799713498316E-3</v>
      </c>
    </row>
    <row r="828" spans="1:12" x14ac:dyDescent="0.2">
      <c r="A828" s="14">
        <v>0.76300000000000001</v>
      </c>
      <c r="B828" s="10">
        <f t="shared" si="122"/>
        <v>1.1691978901493258</v>
      </c>
      <c r="C828" s="10">
        <f t="shared" si="123"/>
        <v>0.30749904510927273</v>
      </c>
      <c r="D828" s="10">
        <f t="shared" si="124"/>
        <v>3.0491968989103255</v>
      </c>
      <c r="E828" s="10">
        <f t="shared" si="125"/>
        <v>21.098393473999714</v>
      </c>
      <c r="F828" s="10">
        <f t="shared" si="129"/>
        <v>0.26336205006404967</v>
      </c>
      <c r="G828" s="10">
        <f t="shared" si="126"/>
        <v>0.4203507661453294</v>
      </c>
      <c r="H828" s="10">
        <f t="shared" si="127"/>
        <v>0.60356718207505644</v>
      </c>
      <c r="I828" s="10">
        <f t="shared" si="130"/>
        <v>1.8047294181233742E-3</v>
      </c>
      <c r="J828" s="20">
        <f t="shared" si="128"/>
        <v>0</v>
      </c>
      <c r="K828" s="10">
        <f t="shared" si="131"/>
        <v>1.2561125808792539E-2</v>
      </c>
      <c r="L828" s="10">
        <f t="shared" si="132"/>
        <v>7.5366754852755902E-3</v>
      </c>
    </row>
    <row r="829" spans="1:12" x14ac:dyDescent="0.2">
      <c r="A829" s="14">
        <v>0.76400000000000001</v>
      </c>
      <c r="B829" s="10">
        <f t="shared" si="122"/>
        <v>1.1747359841409104</v>
      </c>
      <c r="C829" s="10">
        <f t="shared" si="123"/>
        <v>0.31013029981320034</v>
      </c>
      <c r="D829" s="10">
        <f t="shared" si="124"/>
        <v>3.0618159102510614</v>
      </c>
      <c r="E829" s="10">
        <f t="shared" si="125"/>
        <v>21.366321277132368</v>
      </c>
      <c r="F829" s="10">
        <f t="shared" si="129"/>
        <v>0.26792780313265396</v>
      </c>
      <c r="G829" s="10">
        <f t="shared" si="126"/>
        <v>0.42792217294977097</v>
      </c>
      <c r="H829" s="10">
        <f t="shared" si="127"/>
        <v>0.60537739352256548</v>
      </c>
      <c r="I829" s="10">
        <f t="shared" si="130"/>
        <v>1.8102114475090358E-3</v>
      </c>
      <c r="J829" s="20">
        <f t="shared" si="128"/>
        <v>0</v>
      </c>
      <c r="K829" s="10">
        <f t="shared" si="131"/>
        <v>1.2619011340735842E-2</v>
      </c>
      <c r="L829" s="10">
        <f t="shared" si="132"/>
        <v>7.5714068044415717E-3</v>
      </c>
    </row>
    <row r="830" spans="1:12" x14ac:dyDescent="0.2">
      <c r="A830" s="14">
        <v>0.76500000000000001</v>
      </c>
      <c r="B830" s="10">
        <f t="shared" si="122"/>
        <v>1.1802903196823771</v>
      </c>
      <c r="C830" s="10">
        <f t="shared" si="123"/>
        <v>0.31277693471582996</v>
      </c>
      <c r="D830" s="10">
        <f t="shared" si="124"/>
        <v>3.0744932050346483</v>
      </c>
      <c r="E830" s="10">
        <f t="shared" si="125"/>
        <v>21.638912640179363</v>
      </c>
      <c r="F830" s="10">
        <f t="shared" si="129"/>
        <v>0.27259136304699538</v>
      </c>
      <c r="G830" s="10">
        <f t="shared" si="126"/>
        <v>0.43552854981992284</v>
      </c>
      <c r="H830" s="10">
        <f t="shared" si="127"/>
        <v>0.60719305944308222</v>
      </c>
      <c r="I830" s="10">
        <f t="shared" si="130"/>
        <v>1.8156659205167403E-3</v>
      </c>
      <c r="J830" s="20">
        <f t="shared" si="128"/>
        <v>0</v>
      </c>
      <c r="K830" s="10">
        <f t="shared" si="131"/>
        <v>1.2677294783586923E-2</v>
      </c>
      <c r="L830" s="10">
        <f t="shared" si="132"/>
        <v>7.6063768701518653E-3</v>
      </c>
    </row>
    <row r="831" spans="1:12" x14ac:dyDescent="0.2">
      <c r="A831" s="14">
        <v>0.76600000000000001</v>
      </c>
      <c r="B831" s="10">
        <f t="shared" si="122"/>
        <v>1.18586105438289</v>
      </c>
      <c r="C831" s="10">
        <f t="shared" si="123"/>
        <v>0.31543904046584875</v>
      </c>
      <c r="D831" s="10">
        <f t="shared" si="124"/>
        <v>3.0872291861555623</v>
      </c>
      <c r="E831" s="10">
        <f t="shared" si="125"/>
        <v>21.916267869495389</v>
      </c>
      <c r="F831" s="10">
        <f t="shared" si="129"/>
        <v>0.27735522931602574</v>
      </c>
      <c r="G831" s="10">
        <f t="shared" si="126"/>
        <v>0.44317013849247144</v>
      </c>
      <c r="H831" s="10">
        <f t="shared" si="127"/>
        <v>0.60901415150335414</v>
      </c>
      <c r="I831" s="10">
        <f t="shared" si="130"/>
        <v>1.8210920602719227E-3</v>
      </c>
      <c r="J831" s="20">
        <f t="shared" si="128"/>
        <v>0</v>
      </c>
      <c r="K831" s="10">
        <f t="shared" si="131"/>
        <v>1.2735981120914008E-2</v>
      </c>
      <c r="L831" s="10">
        <f t="shared" si="132"/>
        <v>7.6415886725486049E-3</v>
      </c>
    </row>
    <row r="832" spans="1:12" x14ac:dyDescent="0.2">
      <c r="A832" s="14">
        <v>0.76700000000000002</v>
      </c>
      <c r="B832" s="10">
        <f t="shared" si="122"/>
        <v>1.1914483478015556</v>
      </c>
      <c r="C832" s="10">
        <f t="shared" si="123"/>
        <v>0.31811670886301535</v>
      </c>
      <c r="D832" s="10">
        <f t="shared" si="124"/>
        <v>3.1000242615749745</v>
      </c>
      <c r="E832" s="10">
        <f t="shared" si="125"/>
        <v>22.198489845234104</v>
      </c>
      <c r="F832" s="10">
        <f t="shared" si="129"/>
        <v>0.28222197573871455</v>
      </c>
      <c r="G832" s="10">
        <f t="shared" si="126"/>
        <v>0.4508471837441187</v>
      </c>
      <c r="H832" s="10">
        <f t="shared" si="127"/>
        <v>0.61084064058483256</v>
      </c>
      <c r="I832" s="10">
        <f t="shared" si="130"/>
        <v>1.8264890814784218E-3</v>
      </c>
      <c r="J832" s="20">
        <f t="shared" si="128"/>
        <v>0</v>
      </c>
      <c r="K832" s="10">
        <f t="shared" si="131"/>
        <v>1.2795075419412161E-2</v>
      </c>
      <c r="L832" s="10">
        <f t="shared" si="132"/>
        <v>7.677045251647252E-3</v>
      </c>
    </row>
    <row r="833" spans="1:12" x14ac:dyDescent="0.2">
      <c r="A833" s="14">
        <v>0.76800000000000002</v>
      </c>
      <c r="B833" s="10">
        <f t="shared" si="122"/>
        <v>1.1970523614813624</v>
      </c>
      <c r="C833" s="10">
        <f t="shared" si="123"/>
        <v>0.32081003287700516</v>
      </c>
      <c r="D833" s="10">
        <f t="shared" si="124"/>
        <v>3.1128788444056346</v>
      </c>
      <c r="E833" s="10">
        <f t="shared" si="125"/>
        <v>22.485684098160451</v>
      </c>
      <c r="F833" s="10">
        <f t="shared" si="129"/>
        <v>0.28719425292634781</v>
      </c>
      <c r="G833" s="10">
        <f t="shared" si="126"/>
        <v>0.45855993344251467</v>
      </c>
      <c r="H833" s="10">
        <f t="shared" si="127"/>
        <v>0.61267249677525859</v>
      </c>
      <c r="I833" s="10">
        <f t="shared" si="130"/>
        <v>1.8318561904260289E-3</v>
      </c>
      <c r="J833" s="20">
        <f t="shared" si="128"/>
        <v>0</v>
      </c>
      <c r="K833" s="10">
        <f t="shared" si="131"/>
        <v>1.28545828306601E-2</v>
      </c>
      <c r="L833" s="10">
        <f t="shared" si="132"/>
        <v>7.7127496983959709E-3</v>
      </c>
    </row>
    <row r="834" spans="1:12" x14ac:dyDescent="0.2">
      <c r="A834" s="14">
        <v>0.76900000000000002</v>
      </c>
      <c r="B834" s="10">
        <f t="shared" ref="B834:B897" si="133">LN(A834/(1-A834))</f>
        <v>1.2026732589838505</v>
      </c>
      <c r="C834" s="10">
        <f t="shared" ref="C834:C897" si="134">(A834-0.5)*B834</f>
        <v>0.32351910666665579</v>
      </c>
      <c r="D834" s="10">
        <f t="shared" ref="D834:D897" si="135">$B$45+$B$46*B834+$B$47*C834</f>
        <v>3.1257933529985684</v>
      </c>
      <c r="E834" s="10">
        <f t="shared" ref="E834:E897" si="136">$B$14+EXP(D834)</f>
        <v>22.777958889082004</v>
      </c>
      <c r="F834" s="10">
        <f t="shared" si="129"/>
        <v>0.29227479092155306</v>
      </c>
      <c r="G834" s="10">
        <f t="shared" ref="G834:G897" si="137">$C$45+$C$46*B834+$C$47*C834</f>
        <v>0.4663086385982752</v>
      </c>
      <c r="H834" s="10">
        <f t="shared" ref="H834:H897" si="138">$C$14+($C$15-$C$14)/(1+EXP(-G834))</f>
        <v>0.61450968936025896</v>
      </c>
      <c r="I834" s="10">
        <f t="shared" si="130"/>
        <v>1.837192585000369E-3</v>
      </c>
      <c r="J834" s="20">
        <f t="shared" ref="J834:J897" si="139">G834-($B$22+$B$21*D834)</f>
        <v>0</v>
      </c>
      <c r="K834" s="10">
        <f t="shared" si="131"/>
        <v>1.291450859293386E-2</v>
      </c>
      <c r="L834" s="10">
        <f t="shared" si="132"/>
        <v>7.748705155760538E-3</v>
      </c>
    </row>
    <row r="835" spans="1:12" x14ac:dyDescent="0.2">
      <c r="A835" s="14">
        <v>0.77</v>
      </c>
      <c r="B835" s="10">
        <f t="shared" si="133"/>
        <v>1.2083112059245342</v>
      </c>
      <c r="C835" s="10">
        <f t="shared" si="134"/>
        <v>0.32624402559962429</v>
      </c>
      <c r="D835" s="10">
        <f t="shared" si="135"/>
        <v>3.1387682110316417</v>
      </c>
      <c r="E835" s="10">
        <f t="shared" si="136"/>
        <v>23.07542529100008</v>
      </c>
      <c r="F835" s="10">
        <f t="shared" ref="F835:F898" si="140">E835-E834</f>
        <v>0.29746640191807572</v>
      </c>
      <c r="G835" s="10">
        <f t="shared" si="137"/>
        <v>0.47409355341811887</v>
      </c>
      <c r="H835" s="10">
        <f t="shared" si="138"/>
        <v>0.61635218681495541</v>
      </c>
      <c r="I835" s="10">
        <f t="shared" ref="I835:I898" si="141">H835-H834</f>
        <v>1.8424974546964457E-3</v>
      </c>
      <c r="J835" s="20">
        <f t="shared" si="139"/>
        <v>0</v>
      </c>
      <c r="K835" s="10">
        <f t="shared" ref="K835:K898" si="142">D835-D834</f>
        <v>1.29748580330733E-2</v>
      </c>
      <c r="L835" s="10">
        <f t="shared" ref="L835:L898" si="143">G835-G834</f>
        <v>7.7849148198436691E-3</v>
      </c>
    </row>
    <row r="836" spans="1:12" x14ac:dyDescent="0.2">
      <c r="A836" s="14">
        <v>0.77100000000000002</v>
      </c>
      <c r="B836" s="10">
        <f t="shared" si="133"/>
        <v>1.2139663700090899</v>
      </c>
      <c r="C836" s="10">
        <f t="shared" si="134"/>
        <v>0.32898488627246336</v>
      </c>
      <c r="D836" s="10">
        <f t="shared" si="135"/>
        <v>3.151803847600017</v>
      </c>
      <c r="E836" s="10">
        <f t="shared" si="136"/>
        <v>23.378197274085082</v>
      </c>
      <c r="F836" s="10">
        <f t="shared" si="140"/>
        <v>0.30277198308500175</v>
      </c>
      <c r="G836" s="10">
        <f t="shared" si="137"/>
        <v>0.48191493535914398</v>
      </c>
      <c r="H836" s="10">
        <f t="shared" si="138"/>
        <v>0.61819995679558959</v>
      </c>
      <c r="I836" s="10">
        <f t="shared" si="141"/>
        <v>1.8477699806341841E-3</v>
      </c>
      <c r="J836" s="20">
        <f t="shared" si="139"/>
        <v>0</v>
      </c>
      <c r="K836" s="10">
        <f t="shared" si="142"/>
        <v>1.3035636568375253E-2</v>
      </c>
      <c r="L836" s="10">
        <f t="shared" si="143"/>
        <v>7.8213819410251073E-3</v>
      </c>
    </row>
    <row r="837" spans="1:12" x14ac:dyDescent="0.2">
      <c r="A837" s="14">
        <v>0.77200000000000002</v>
      </c>
      <c r="B837" s="10">
        <f t="shared" si="133"/>
        <v>1.2196389210703356</v>
      </c>
      <c r="C837" s="10">
        <f t="shared" si="134"/>
        <v>0.33174178653113129</v>
      </c>
      <c r="D837" s="10">
        <f t="shared" si="135"/>
        <v>3.1649006973085805</v>
      </c>
      <c r="E837" s="10">
        <f t="shared" si="136"/>
        <v>23.686391793586061</v>
      </c>
      <c r="F837" s="10">
        <f t="shared" si="140"/>
        <v>0.30819451950097942</v>
      </c>
      <c r="G837" s="10">
        <f t="shared" si="137"/>
        <v>0.48977304518428189</v>
      </c>
      <c r="H837" s="10">
        <f t="shared" si="138"/>
        <v>0.62005296613116601</v>
      </c>
      <c r="I837" s="10">
        <f t="shared" si="141"/>
        <v>1.8530093355764166E-3</v>
      </c>
      <c r="J837" s="20">
        <f t="shared" si="139"/>
        <v>-4.4408920985006262E-16</v>
      </c>
      <c r="K837" s="10">
        <f t="shared" si="142"/>
        <v>1.3096849708563507E-2</v>
      </c>
      <c r="L837" s="10">
        <f t="shared" si="143"/>
        <v>7.8581098251379045E-3</v>
      </c>
    </row>
    <row r="838" spans="1:12" x14ac:dyDescent="0.2">
      <c r="A838" s="14">
        <v>0.77300000000000002</v>
      </c>
      <c r="B838" s="10">
        <f t="shared" si="133"/>
        <v>1.2253290311060194</v>
      </c>
      <c r="C838" s="10">
        <f t="shared" si="134"/>
        <v>0.33451482549194334</v>
      </c>
      <c r="D838" s="10">
        <f t="shared" si="135"/>
        <v>3.1780592003663655</v>
      </c>
      <c r="E838" s="10">
        <f t="shared" si="136"/>
        <v>24.000128880788122</v>
      </c>
      <c r="F838" s="10">
        <f t="shared" si="140"/>
        <v>0.31373708720206039</v>
      </c>
      <c r="G838" s="10">
        <f t="shared" si="137"/>
        <v>0.49766814701895334</v>
      </c>
      <c r="H838" s="10">
        <f t="shared" si="138"/>
        <v>0.62191118081511687</v>
      </c>
      <c r="I838" s="10">
        <f t="shared" si="141"/>
        <v>1.8582146839508651E-3</v>
      </c>
      <c r="J838" s="20">
        <f t="shared" si="139"/>
        <v>0</v>
      </c>
      <c r="K838" s="10">
        <f t="shared" si="142"/>
        <v>1.3158503057784987E-2</v>
      </c>
      <c r="L838" s="10">
        <f t="shared" si="143"/>
        <v>7.8951018346714585E-3</v>
      </c>
    </row>
    <row r="839" spans="1:12" x14ac:dyDescent="0.2">
      <c r="A839" s="14">
        <v>0.77400000000000002</v>
      </c>
      <c r="B839" s="10">
        <f t="shared" si="133"/>
        <v>1.2310368743174414</v>
      </c>
      <c r="C839" s="10">
        <f t="shared" si="134"/>
        <v>0.33730410356297896</v>
      </c>
      <c r="D839" s="10">
        <f t="shared" si="135"/>
        <v>3.191279802683046</v>
      </c>
      <c r="E839" s="10">
        <f t="shared" si="136"/>
        <v>24.319531737137218</v>
      </c>
      <c r="F839" s="10">
        <f t="shared" si="140"/>
        <v>0.31940285634909671</v>
      </c>
      <c r="G839" s="10">
        <f t="shared" si="137"/>
        <v>0.50560050840896165</v>
      </c>
      <c r="H839" s="10">
        <f t="shared" si="138"/>
        <v>0.62377456599699077</v>
      </c>
      <c r="I839" s="10">
        <f t="shared" si="141"/>
        <v>1.8633851818739E-3</v>
      </c>
      <c r="J839" s="20">
        <f t="shared" si="139"/>
        <v>0</v>
      </c>
      <c r="K839" s="10">
        <f t="shared" si="142"/>
        <v>1.3220602316680541E-2</v>
      </c>
      <c r="L839" s="10">
        <f t="shared" si="143"/>
        <v>7.9323613900083023E-3</v>
      </c>
    </row>
    <row r="840" spans="1:12" x14ac:dyDescent="0.2">
      <c r="A840" s="14">
        <v>0.77500000000000002</v>
      </c>
      <c r="B840" s="10">
        <f t="shared" si="133"/>
        <v>1.2367626271489272</v>
      </c>
      <c r="C840" s="10">
        <f t="shared" si="134"/>
        <v>0.340109722465955</v>
      </c>
      <c r="D840" s="10">
        <f t="shared" si="135"/>
        <v>3.204562955967535</v>
      </c>
      <c r="E840" s="10">
        <f t="shared" si="136"/>
        <v>24.644726831656158</v>
      </c>
      <c r="F840" s="10">
        <f t="shared" si="140"/>
        <v>0.32519509451893924</v>
      </c>
      <c r="G840" s="10">
        <f t="shared" si="137"/>
        <v>0.51357040037965485</v>
      </c>
      <c r="H840" s="10">
        <f t="shared" si="138"/>
        <v>0.62564308597416973</v>
      </c>
      <c r="I840" s="10">
        <f t="shared" si="141"/>
        <v>1.8685199771789618E-3</v>
      </c>
      <c r="J840" s="20">
        <f t="shared" si="139"/>
        <v>0</v>
      </c>
      <c r="K840" s="10">
        <f t="shared" si="142"/>
        <v>1.3283153284489035E-2</v>
      </c>
      <c r="L840" s="10">
        <f t="shared" si="143"/>
        <v>7.9698919706931992E-3</v>
      </c>
    </row>
    <row r="841" spans="1:12" x14ac:dyDescent="0.2">
      <c r="A841" s="14">
        <v>0.77600000000000002</v>
      </c>
      <c r="B841" s="10">
        <f t="shared" si="133"/>
        <v>1.242506468328179</v>
      </c>
      <c r="C841" s="10">
        <f t="shared" si="134"/>
        <v>0.34293178525857743</v>
      </c>
      <c r="D841" s="10">
        <f t="shared" si="135"/>
        <v>3.217909117828758</v>
      </c>
      <c r="E841" s="10">
        <f t="shared" si="136"/>
        <v>24.975844001781887</v>
      </c>
      <c r="F841" s="10">
        <f t="shared" si="140"/>
        <v>0.33111717012572939</v>
      </c>
      <c r="G841" s="10">
        <f t="shared" si="137"/>
        <v>0.5215780974963885</v>
      </c>
      <c r="H841" s="10">
        <f t="shared" si="138"/>
        <v>0.62751670418361494</v>
      </c>
      <c r="I841" s="10">
        <f t="shared" si="141"/>
        <v>1.8736182094452047E-3</v>
      </c>
      <c r="J841" s="20">
        <f t="shared" si="139"/>
        <v>0</v>
      </c>
      <c r="K841" s="10">
        <f t="shared" si="142"/>
        <v>1.3346161861222949E-2</v>
      </c>
      <c r="L841" s="10">
        <f t="shared" si="143"/>
        <v>8.0076971167336586E-3</v>
      </c>
    </row>
    <row r="842" spans="1:12" x14ac:dyDescent="0.2">
      <c r="A842" s="14">
        <v>0.77700000000000002</v>
      </c>
      <c r="B842" s="10">
        <f t="shared" si="133"/>
        <v>1.2482685789075287</v>
      </c>
      <c r="C842" s="10">
        <f t="shared" si="134"/>
        <v>0.34577039635738549</v>
      </c>
      <c r="D842" s="10">
        <f t="shared" si="135"/>
        <v>3.2313187518786575</v>
      </c>
      <c r="E842" s="10">
        <f t="shared" si="136"/>
        <v>25.31301655775939</v>
      </c>
      <c r="F842" s="10">
        <f t="shared" si="140"/>
        <v>0.33717255597750295</v>
      </c>
      <c r="G842" s="10">
        <f t="shared" si="137"/>
        <v>0.52962387792632859</v>
      </c>
      <c r="H842" s="10">
        <f t="shared" si="138"/>
        <v>0.6293953831936473</v>
      </c>
      <c r="I842" s="10">
        <f t="shared" si="141"/>
        <v>1.878679010032358E-3</v>
      </c>
      <c r="J842" s="20">
        <f t="shared" si="139"/>
        <v>0</v>
      </c>
      <c r="K842" s="10">
        <f t="shared" si="142"/>
        <v>1.3409634049899477E-2</v>
      </c>
      <c r="L842" s="10">
        <f t="shared" si="143"/>
        <v>8.0457804299400859E-3</v>
      </c>
    </row>
    <row r="843" spans="1:12" x14ac:dyDescent="0.2">
      <c r="A843" s="14">
        <v>0.77800000000000002</v>
      </c>
      <c r="B843" s="10">
        <f t="shared" si="133"/>
        <v>1.2540491423061124</v>
      </c>
      <c r="C843" s="10">
        <f t="shared" si="134"/>
        <v>0.34862566156109931</v>
      </c>
      <c r="D843" s="10">
        <f t="shared" si="135"/>
        <v>3.2447923278374819</v>
      </c>
      <c r="E843" s="10">
        <f t="shared" si="136"/>
        <v>25.656381390733458</v>
      </c>
      <c r="F843" s="10">
        <f t="shared" si="140"/>
        <v>0.34336483297406772</v>
      </c>
      <c r="G843" s="10">
        <f t="shared" si="137"/>
        <v>0.53770802350162306</v>
      </c>
      <c r="H843" s="10">
        <f t="shared" si="138"/>
        <v>0.63127908469576488</v>
      </c>
      <c r="I843" s="10">
        <f t="shared" si="141"/>
        <v>1.8837015021175851E-3</v>
      </c>
      <c r="J843" s="20">
        <f t="shared" si="139"/>
        <v>0</v>
      </c>
      <c r="K843" s="10">
        <f t="shared" si="142"/>
        <v>1.347357595882448E-2</v>
      </c>
      <c r="L843" s="10">
        <f t="shared" si="143"/>
        <v>8.0841455752944658E-3</v>
      </c>
    </row>
    <row r="844" spans="1:12" x14ac:dyDescent="0.2">
      <c r="A844" s="14">
        <v>0.77900000000000003</v>
      </c>
      <c r="B844" s="10">
        <f t="shared" si="133"/>
        <v>1.2598483443529955</v>
      </c>
      <c r="C844" s="10">
        <f t="shared" si="134"/>
        <v>0.35149768807448578</v>
      </c>
      <c r="D844" s="10">
        <f t="shared" si="135"/>
        <v>3.2583303216414188</v>
      </c>
      <c r="E844" s="10">
        <f t="shared" si="136"/>
        <v>26.006079084685879</v>
      </c>
      <c r="F844" s="10">
        <f t="shared" si="140"/>
        <v>0.34969769395242167</v>
      </c>
      <c r="G844" s="10">
        <f t="shared" si="137"/>
        <v>0.54583081978398529</v>
      </c>
      <c r="H844" s="10">
        <f t="shared" si="138"/>
        <v>0.63316776949649811</v>
      </c>
      <c r="I844" s="10">
        <f t="shared" si="141"/>
        <v>1.8886848007332313E-3</v>
      </c>
      <c r="J844" s="20">
        <f t="shared" si="139"/>
        <v>0</v>
      </c>
      <c r="K844" s="10">
        <f t="shared" si="142"/>
        <v>1.3537993803936832E-2</v>
      </c>
      <c r="L844" s="10">
        <f t="shared" si="143"/>
        <v>8.1227962823622324E-3</v>
      </c>
    </row>
    <row r="845" spans="1:12" x14ac:dyDescent="0.2">
      <c r="A845" s="14">
        <v>0.78</v>
      </c>
      <c r="B845" s="10">
        <f t="shared" si="133"/>
        <v>1.2656663733312761</v>
      </c>
      <c r="C845" s="10">
        <f t="shared" si="134"/>
        <v>0.35438658453275734</v>
      </c>
      <c r="D845" s="10">
        <f t="shared" si="135"/>
        <v>3.271933215552655</v>
      </c>
      <c r="E845" s="10">
        <f t="shared" si="136"/>
        <v>26.362254032372849</v>
      </c>
      <c r="F845" s="10">
        <f t="shared" si="140"/>
        <v>0.35617494768697</v>
      </c>
      <c r="G845" s="10">
        <f t="shared" si="137"/>
        <v>0.55399255613072684</v>
      </c>
      <c r="H845" s="10">
        <f t="shared" si="138"/>
        <v>0.63506139750931179</v>
      </c>
      <c r="I845" s="10">
        <f t="shared" si="141"/>
        <v>1.8936280128136751E-3</v>
      </c>
      <c r="J845" s="20">
        <f t="shared" si="139"/>
        <v>0</v>
      </c>
      <c r="K845" s="10">
        <f t="shared" si="142"/>
        <v>1.3602893911236258E-2</v>
      </c>
      <c r="L845" s="10">
        <f t="shared" si="143"/>
        <v>8.1617363467415549E-3</v>
      </c>
    </row>
    <row r="846" spans="1:12" x14ac:dyDescent="0.2">
      <c r="A846" s="14">
        <v>0.78100000000000003</v>
      </c>
      <c r="B846" s="10">
        <f t="shared" si="133"/>
        <v>1.2715034200231854</v>
      </c>
      <c r="C846" s="10">
        <f t="shared" si="134"/>
        <v>0.35729246102651513</v>
      </c>
      <c r="D846" s="10">
        <f t="shared" si="135"/>
        <v>3.2856014982718968</v>
      </c>
      <c r="E846" s="10">
        <f t="shared" si="136"/>
        <v>26.725054555422741</v>
      </c>
      <c r="F846" s="10">
        <f t="shared" si="140"/>
        <v>0.36280052304989141</v>
      </c>
      <c r="G846" s="10">
        <f t="shared" si="137"/>
        <v>0.56219352576227188</v>
      </c>
      <c r="H846" s="10">
        <f t="shared" si="138"/>
        <v>0.63695992774655008</v>
      </c>
      <c r="I846" s="10">
        <f t="shared" si="141"/>
        <v>1.8985302372382939E-3</v>
      </c>
      <c r="J846" s="20">
        <f t="shared" si="139"/>
        <v>0</v>
      </c>
      <c r="K846" s="10">
        <f t="shared" si="142"/>
        <v>1.3668282719241809E-2</v>
      </c>
      <c r="L846" s="10">
        <f t="shared" si="143"/>
        <v>8.2009696315450409E-3</v>
      </c>
    </row>
    <row r="847" spans="1:12" x14ac:dyDescent="0.2">
      <c r="A847" s="14">
        <v>0.78200000000000003</v>
      </c>
      <c r="B847" s="10">
        <f t="shared" si="133"/>
        <v>1.2773596777562222</v>
      </c>
      <c r="C847" s="10">
        <f t="shared" si="134"/>
        <v>0.36021542912725468</v>
      </c>
      <c r="D847" s="10">
        <f t="shared" si="135"/>
        <v>3.2993356650534498</v>
      </c>
      <c r="E847" s="10">
        <f t="shared" si="136"/>
        <v>27.094633028763539</v>
      </c>
      <c r="F847" s="10">
        <f t="shared" si="140"/>
        <v>0.3695784733407983</v>
      </c>
      <c r="G847" s="10">
        <f t="shared" si="137"/>
        <v>0.57043402583120406</v>
      </c>
      <c r="H847" s="10">
        <f t="shared" si="138"/>
        <v>0.6388633183114335</v>
      </c>
      <c r="I847" s="10">
        <f t="shared" si="141"/>
        <v>1.9033905648834226E-3</v>
      </c>
      <c r="J847" s="20">
        <f t="shared" si="139"/>
        <v>0</v>
      </c>
      <c r="K847" s="10">
        <f t="shared" si="142"/>
        <v>1.3734166781552926E-2</v>
      </c>
      <c r="L847" s="10">
        <f t="shared" si="143"/>
        <v>8.2405000689321772E-3</v>
      </c>
    </row>
    <row r="848" spans="1:12" x14ac:dyDescent="0.2">
      <c r="A848" s="14">
        <v>0.78300000000000003</v>
      </c>
      <c r="B848" s="10">
        <f t="shared" si="133"/>
        <v>1.2832353424503438</v>
      </c>
      <c r="C848" s="10">
        <f t="shared" si="134"/>
        <v>0.36315560191344731</v>
      </c>
      <c r="D848" s="10">
        <f t="shared" si="135"/>
        <v>3.3131362178229091</v>
      </c>
      <c r="E848" s="10">
        <f t="shared" si="136"/>
        <v>27.471146009555294</v>
      </c>
      <c r="F848" s="10">
        <f t="shared" si="140"/>
        <v>0.37651298079175533</v>
      </c>
      <c r="G848" s="10">
        <f t="shared" si="137"/>
        <v>0.57871435749287958</v>
      </c>
      <c r="H848" s="10">
        <f t="shared" si="138"/>
        <v>0.64077152639010992</v>
      </c>
      <c r="I848" s="10">
        <f t="shared" si="141"/>
        <v>1.9082080786764211E-3</v>
      </c>
      <c r="J848" s="20">
        <f t="shared" si="139"/>
        <v>0</v>
      </c>
      <c r="K848" s="10">
        <f t="shared" si="142"/>
        <v>1.3800552769459351E-2</v>
      </c>
      <c r="L848" s="10">
        <f t="shared" si="143"/>
        <v>8.2803316616755218E-3</v>
      </c>
    </row>
    <row r="849" spans="1:12" x14ac:dyDescent="0.2">
      <c r="A849" s="14">
        <v>0.78400000000000003</v>
      </c>
      <c r="B849" s="10">
        <f t="shared" si="133"/>
        <v>1.289130612666243</v>
      </c>
      <c r="C849" s="10">
        <f t="shared" si="134"/>
        <v>0.36611309399721303</v>
      </c>
      <c r="D849" s="10">
        <f t="shared" si="135"/>
        <v>3.3270036652975312</v>
      </c>
      <c r="E849" s="10">
        <f t="shared" si="136"/>
        <v>27.854754370811481</v>
      </c>
      <c r="F849" s="10">
        <f t="shared" si="140"/>
        <v>0.38360836125618647</v>
      </c>
      <c r="G849" s="10">
        <f t="shared" si="137"/>
        <v>0.58703482597765277</v>
      </c>
      <c r="H849" s="10">
        <f t="shared" si="138"/>
        <v>0.64268450824376055</v>
      </c>
      <c r="I849" s="10">
        <f t="shared" si="141"/>
        <v>1.9129818536506304E-3</v>
      </c>
      <c r="J849" s="20">
        <f t="shared" si="139"/>
        <v>0</v>
      </c>
      <c r="K849" s="10">
        <f t="shared" si="142"/>
        <v>1.3867447474622097E-2</v>
      </c>
      <c r="L849" s="10">
        <f t="shared" si="143"/>
        <v>8.3204684847731913E-3</v>
      </c>
    </row>
    <row r="850" spans="1:12" x14ac:dyDescent="0.2">
      <c r="A850" s="14">
        <v>0.78500000000000003</v>
      </c>
      <c r="B850" s="10">
        <f t="shared" si="133"/>
        <v>1.2950456896547458</v>
      </c>
      <c r="C850" s="10">
        <f t="shared" si="134"/>
        <v>0.36908802155160259</v>
      </c>
      <c r="D850" s="10">
        <f t="shared" si="135"/>
        <v>3.3409385231093758</v>
      </c>
      <c r="E850" s="10">
        <f t="shared" si="136"/>
        <v>28.245623439901948</v>
      </c>
      <c r="F850" s="10">
        <f t="shared" si="140"/>
        <v>0.39086906909046704</v>
      </c>
      <c r="G850" s="10">
        <f t="shared" si="137"/>
        <v>0.5953957406647592</v>
      </c>
      <c r="H850" s="10">
        <f t="shared" si="138"/>
        <v>0.64460221920076866</v>
      </c>
      <c r="I850" s="10">
        <f t="shared" si="141"/>
        <v>1.9177109570081008E-3</v>
      </c>
      <c r="J850" s="20">
        <f t="shared" si="139"/>
        <v>0</v>
      </c>
      <c r="K850" s="10">
        <f t="shared" si="142"/>
        <v>1.3934857811844559E-2</v>
      </c>
      <c r="L850" s="10">
        <f t="shared" si="143"/>
        <v>8.3609146871064244E-3</v>
      </c>
    </row>
    <row r="851" spans="1:12" x14ac:dyDescent="0.2">
      <c r="A851" s="14">
        <v>0.78600000000000003</v>
      </c>
      <c r="B851" s="10">
        <f t="shared" si="133"/>
        <v>1.3009807774073552</v>
      </c>
      <c r="C851" s="10">
        <f t="shared" si="134"/>
        <v>0.37208050233850365</v>
      </c>
      <c r="D851" s="10">
        <f t="shared" si="135"/>
        <v>3.3549413139312776</v>
      </c>
      <c r="E851" s="10">
        <f t="shared" si="136"/>
        <v>28.643923142138032</v>
      </c>
      <c r="F851" s="10">
        <f t="shared" si="140"/>
        <v>0.39829970223608413</v>
      </c>
      <c r="G851" s="10">
        <f t="shared" si="137"/>
        <v>0.60379741515790042</v>
      </c>
      <c r="H851" s="10">
        <f t="shared" si="138"/>
        <v>0.64652461364895153</v>
      </c>
      <c r="I851" s="10">
        <f t="shared" si="141"/>
        <v>1.9223944481828736E-3</v>
      </c>
      <c r="J851" s="20">
        <f t="shared" si="139"/>
        <v>0</v>
      </c>
      <c r="K851" s="10">
        <f t="shared" si="142"/>
        <v>1.4002790821901812E-2</v>
      </c>
      <c r="L851" s="10">
        <f t="shared" si="143"/>
        <v>8.4016744931412202E-3</v>
      </c>
    </row>
    <row r="852" spans="1:12" x14ac:dyDescent="0.2">
      <c r="A852" s="14">
        <v>0.78700000000000003</v>
      </c>
      <c r="B852" s="10">
        <f t="shared" si="133"/>
        <v>1.3069360827079783</v>
      </c>
      <c r="C852" s="10">
        <f t="shared" si="134"/>
        <v>0.3750906557371898</v>
      </c>
      <c r="D852" s="10">
        <f t="shared" si="135"/>
        <v>3.3690125676057421</v>
      </c>
      <c r="E852" s="10">
        <f t="shared" si="136"/>
        <v>29.049828149650534</v>
      </c>
      <c r="F852" s="10">
        <f t="shared" si="140"/>
        <v>0.40590500751250147</v>
      </c>
      <c r="G852" s="10">
        <f t="shared" si="137"/>
        <v>0.61224016736257925</v>
      </c>
      <c r="H852" s="10">
        <f t="shared" si="138"/>
        <v>0.64845164502786057</v>
      </c>
      <c r="I852" s="10">
        <f t="shared" si="141"/>
        <v>1.9270313789090388E-3</v>
      </c>
      <c r="J852" s="20">
        <f t="shared" si="139"/>
        <v>0</v>
      </c>
      <c r="K852" s="10">
        <f t="shared" si="142"/>
        <v>1.407125367446449E-2</v>
      </c>
      <c r="L852" s="10">
        <f t="shared" si="143"/>
        <v>8.4427522046788273E-3</v>
      </c>
    </row>
    <row r="853" spans="1:12" x14ac:dyDescent="0.2">
      <c r="A853" s="14">
        <v>0.78800000000000003</v>
      </c>
      <c r="B853" s="10">
        <f t="shared" si="133"/>
        <v>1.312911815185867</v>
      </c>
      <c r="C853" s="10">
        <f t="shared" si="134"/>
        <v>0.37811860277352971</v>
      </c>
      <c r="D853" s="10">
        <f t="shared" si="135"/>
        <v>3.3831528212768327</v>
      </c>
      <c r="E853" s="10">
        <f t="shared" si="136"/>
        <v>29.463518035780158</v>
      </c>
      <c r="F853" s="10">
        <f t="shared" si="140"/>
        <v>0.41368988612962454</v>
      </c>
      <c r="G853" s="10">
        <f t="shared" si="137"/>
        <v>0.62072431956523344</v>
      </c>
      <c r="H853" s="10">
        <f t="shared" si="138"/>
        <v>0.65038326582115447</v>
      </c>
      <c r="I853" s="10">
        <f t="shared" si="141"/>
        <v>1.9316207932938978E-3</v>
      </c>
      <c r="J853" s="20">
        <f t="shared" si="139"/>
        <v>0</v>
      </c>
      <c r="K853" s="10">
        <f t="shared" si="142"/>
        <v>1.4140253671090619E-2</v>
      </c>
      <c r="L853" s="10">
        <f t="shared" si="143"/>
        <v>8.4841522026541938E-3</v>
      </c>
    </row>
    <row r="854" spans="1:12" x14ac:dyDescent="0.2">
      <c r="A854" s="14">
        <v>0.78900000000000003</v>
      </c>
      <c r="B854" s="10">
        <f t="shared" si="133"/>
        <v>1.3189081873698081</v>
      </c>
      <c r="C854" s="10">
        <f t="shared" si="134"/>
        <v>0.38116446614987459</v>
      </c>
      <c r="D854" s="10">
        <f t="shared" si="135"/>
        <v>3.3973626195251443</v>
      </c>
      <c r="E854" s="10">
        <f t="shared" si="136"/>
        <v>29.885177435210917</v>
      </c>
      <c r="F854" s="10">
        <f t="shared" si="140"/>
        <v>0.4216593994307587</v>
      </c>
      <c r="G854" s="10">
        <f t="shared" si="137"/>
        <v>0.62925019851422048</v>
      </c>
      <c r="H854" s="10">
        <f t="shared" si="138"/>
        <v>0.65231942754904593</v>
      </c>
      <c r="I854" s="10">
        <f t="shared" si="141"/>
        <v>1.9361617278914611E-3</v>
      </c>
      <c r="J854" s="20">
        <f t="shared" si="139"/>
        <v>0</v>
      </c>
      <c r="K854" s="10">
        <f t="shared" si="142"/>
        <v>1.4209798248311589E-2</v>
      </c>
      <c r="L854" s="10">
        <f t="shared" si="143"/>
        <v>8.5258789489870423E-3</v>
      </c>
    </row>
    <row r="855" spans="1:12" x14ac:dyDescent="0.2">
      <c r="A855" s="14">
        <v>0.79</v>
      </c>
      <c r="B855" s="10">
        <f t="shared" si="133"/>
        <v>1.3249254147435987</v>
      </c>
      <c r="C855" s="10">
        <f t="shared" si="134"/>
        <v>0.38422837027564366</v>
      </c>
      <c r="D855" s="10">
        <f t="shared" si="135"/>
        <v>3.4116425145059468</v>
      </c>
      <c r="E855" s="10">
        <f t="shared" si="136"/>
        <v>30.31499621008723</v>
      </c>
      <c r="F855" s="10">
        <f t="shared" si="140"/>
        <v>0.42981877487631337</v>
      </c>
      <c r="G855" s="10">
        <f t="shared" si="137"/>
        <v>0.63781813550270217</v>
      </c>
      <c r="H855" s="10">
        <f t="shared" si="138"/>
        <v>0.65426008076082998</v>
      </c>
      <c r="I855" s="10">
        <f t="shared" si="141"/>
        <v>1.9406532117840491E-3</v>
      </c>
      <c r="J855" s="20">
        <f t="shared" si="139"/>
        <v>0</v>
      </c>
      <c r="K855" s="10">
        <f t="shared" si="142"/>
        <v>1.427989498080251E-2</v>
      </c>
      <c r="L855" s="10">
        <f t="shared" si="143"/>
        <v>8.5679369884816836E-3</v>
      </c>
    </row>
    <row r="856" spans="1:12" x14ac:dyDescent="0.2">
      <c r="A856" s="14">
        <v>0.79100000000000004</v>
      </c>
      <c r="B856" s="10">
        <f t="shared" si="133"/>
        <v>1.3309637158028431</v>
      </c>
      <c r="C856" s="10">
        <f t="shared" si="134"/>
        <v>0.38731044129862741</v>
      </c>
      <c r="D856" s="10">
        <f t="shared" si="135"/>
        <v>3.4259930660905895</v>
      </c>
      <c r="E856" s="10">
        <f t="shared" si="136"/>
        <v>30.753169622367022</v>
      </c>
      <c r="F856" s="10">
        <f t="shared" si="140"/>
        <v>0.43817341227979156</v>
      </c>
      <c r="G856" s="10">
        <f t="shared" si="137"/>
        <v>0.64642846645348762</v>
      </c>
      <c r="H856" s="10">
        <f t="shared" si="138"/>
        <v>0.65620517502749498</v>
      </c>
      <c r="I856" s="10">
        <f t="shared" si="141"/>
        <v>1.945094266665004E-3</v>
      </c>
      <c r="J856" s="20">
        <f t="shared" si="139"/>
        <v>0</v>
      </c>
      <c r="K856" s="10">
        <f t="shared" si="142"/>
        <v>1.4350551584642712E-2</v>
      </c>
      <c r="L856" s="10">
        <f t="shared" si="143"/>
        <v>8.6103309507854497E-3</v>
      </c>
    </row>
    <row r="857" spans="1:12" x14ac:dyDescent="0.2">
      <c r="A857" s="14">
        <v>0.79200000000000004</v>
      </c>
      <c r="B857" s="10">
        <f t="shared" si="133"/>
        <v>1.3370233121131081</v>
      </c>
      <c r="C857" s="10">
        <f t="shared" si="134"/>
        <v>0.39041080713702764</v>
      </c>
      <c r="D857" s="10">
        <f t="shared" si="135"/>
        <v>3.4404148420112524</v>
      </c>
      <c r="E857" s="10">
        <f t="shared" si="136"/>
        <v>31.199898512674508</v>
      </c>
      <c r="F857" s="10">
        <f t="shared" si="140"/>
        <v>0.44672889030748664</v>
      </c>
      <c r="G857" s="10">
        <f t="shared" si="137"/>
        <v>0.65508153200588548</v>
      </c>
      <c r="H857" s="10">
        <f t="shared" si="138"/>
        <v>0.65815465893442204</v>
      </c>
      <c r="I857" s="10">
        <f t="shared" si="141"/>
        <v>1.9494839069270631E-3</v>
      </c>
      <c r="J857" s="20">
        <f t="shared" si="139"/>
        <v>0</v>
      </c>
      <c r="K857" s="10">
        <f t="shared" si="142"/>
        <v>1.4421775920662849E-2</v>
      </c>
      <c r="L857" s="10">
        <f t="shared" si="143"/>
        <v>8.653065552397865E-3</v>
      </c>
    </row>
    <row r="858" spans="1:12" x14ac:dyDescent="0.2">
      <c r="A858" s="14">
        <v>0.79300000000000004</v>
      </c>
      <c r="B858" s="10">
        <f t="shared" si="133"/>
        <v>1.3431044283694791</v>
      </c>
      <c r="C858" s="10">
        <f t="shared" si="134"/>
        <v>0.39352959751225741</v>
      </c>
      <c r="D858" s="10">
        <f t="shared" si="135"/>
        <v>3.4549084180091563</v>
      </c>
      <c r="E858" s="10">
        <f t="shared" si="136"/>
        <v>31.655389485929732</v>
      </c>
      <c r="F858" s="10">
        <f t="shared" si="140"/>
        <v>0.45549097325522325</v>
      </c>
      <c r="G858" s="10">
        <f t="shared" si="137"/>
        <v>0.66377767760462758</v>
      </c>
      <c r="H858" s="10">
        <f t="shared" si="138"/>
        <v>0.66010848007417455</v>
      </c>
      <c r="I858" s="10">
        <f t="shared" si="141"/>
        <v>1.9538211397525096E-3</v>
      </c>
      <c r="J858" s="20">
        <f t="shared" si="139"/>
        <v>0</v>
      </c>
      <c r="K858" s="10">
        <f t="shared" si="142"/>
        <v>1.4493575997903907E-2</v>
      </c>
      <c r="L858" s="10">
        <f t="shared" si="143"/>
        <v>8.6961455987420999E-3</v>
      </c>
    </row>
    <row r="859" spans="1:12" x14ac:dyDescent="0.2">
      <c r="A859" s="14">
        <v>0.79400000000000004</v>
      </c>
      <c r="B859" s="10">
        <f t="shared" si="133"/>
        <v>1.3492072924575549</v>
      </c>
      <c r="C859" s="10">
        <f t="shared" si="134"/>
        <v>0.39666694398252117</v>
      </c>
      <c r="D859" s="10">
        <f t="shared" si="135"/>
        <v>3.469474377986312</v>
      </c>
      <c r="E859" s="10">
        <f t="shared" si="136"/>
        <v>32.119855104043786</v>
      </c>
      <c r="F859" s="10">
        <f t="shared" si="140"/>
        <v>0.46446561811405473</v>
      </c>
      <c r="G859" s="10">
        <f t="shared" si="137"/>
        <v>0.67251725359092096</v>
      </c>
      <c r="H859" s="10">
        <f t="shared" si="138"/>
        <v>0.6620665850393852</v>
      </c>
      <c r="I859" s="10">
        <f t="shared" si="141"/>
        <v>1.9581049652106497E-3</v>
      </c>
      <c r="J859" s="20">
        <f t="shared" si="139"/>
        <v>0</v>
      </c>
      <c r="K859" s="10">
        <f t="shared" si="142"/>
        <v>1.4565959977155707E-2</v>
      </c>
      <c r="L859" s="10">
        <f t="shared" si="143"/>
        <v>8.7395759862933797E-3</v>
      </c>
    </row>
    <row r="860" spans="1:12" x14ac:dyDescent="0.2">
      <c r="A860" s="14">
        <v>0.79500000000000004</v>
      </c>
      <c r="B860" s="10">
        <f t="shared" si="133"/>
        <v>1.355332135515924</v>
      </c>
      <c r="C860" s="10">
        <f t="shared" si="134"/>
        <v>0.39982297997719762</v>
      </c>
      <c r="D860" s="10">
        <f t="shared" si="135"/>
        <v>3.4841133141609273</v>
      </c>
      <c r="E860" s="10">
        <f t="shared" si="136"/>
        <v>32.593514085983664</v>
      </c>
      <c r="F860" s="10">
        <f t="shared" si="140"/>
        <v>0.47365898193987732</v>
      </c>
      <c r="G860" s="10">
        <f t="shared" si="137"/>
        <v>0.6813006152956903</v>
      </c>
      <c r="H860" s="10">
        <f t="shared" si="138"/>
        <v>0.66402891941574249</v>
      </c>
      <c r="I860" s="10">
        <f t="shared" si="141"/>
        <v>1.9623343763572887E-3</v>
      </c>
      <c r="J860" s="20">
        <f t="shared" si="139"/>
        <v>0</v>
      </c>
      <c r="K860" s="10">
        <f t="shared" si="142"/>
        <v>1.4638936174615313E-2</v>
      </c>
      <c r="L860" s="10">
        <f t="shared" si="143"/>
        <v>8.7833617047693435E-3</v>
      </c>
    </row>
    <row r="861" spans="1:12" x14ac:dyDescent="0.2">
      <c r="A861" s="14">
        <v>0.79600000000000004</v>
      </c>
      <c r="B861" s="10">
        <f t="shared" si="133"/>
        <v>1.3614791920001668</v>
      </c>
      <c r="C861" s="10">
        <f t="shared" si="134"/>
        <v>0.40299784083204943</v>
      </c>
      <c r="D861" s="10">
        <f t="shared" si="135"/>
        <v>3.4988258272265687</v>
      </c>
      <c r="E861" s="10">
        <f t="shared" si="136"/>
        <v>33.076591515524392</v>
      </c>
      <c r="F861" s="10">
        <f t="shared" si="140"/>
        <v>0.48307742954072808</v>
      </c>
      <c r="G861" s="10">
        <f t="shared" si="137"/>
        <v>0.69012812313507521</v>
      </c>
      <c r="H861" s="10">
        <f t="shared" si="138"/>
        <v>0.66599542777508103</v>
      </c>
      <c r="I861" s="10">
        <f t="shared" si="141"/>
        <v>1.9665083593385368E-3</v>
      </c>
      <c r="J861" s="20">
        <f t="shared" si="139"/>
        <v>0</v>
      </c>
      <c r="K861" s="10">
        <f t="shared" si="142"/>
        <v>1.4712513065641364E-2</v>
      </c>
      <c r="L861" s="10">
        <f t="shared" si="143"/>
        <v>8.8275078393849071E-3</v>
      </c>
    </row>
    <row r="862" spans="1:12" x14ac:dyDescent="0.2">
      <c r="A862" s="14">
        <v>0.79700000000000004</v>
      </c>
      <c r="B862" s="10">
        <f t="shared" si="133"/>
        <v>1.3676486997484281</v>
      </c>
      <c r="C862" s="10">
        <f t="shared" si="134"/>
        <v>0.40619166382528321</v>
      </c>
      <c r="D862" s="10">
        <f t="shared" si="135"/>
        <v>3.5136125265151925</v>
      </c>
      <c r="E862" s="10">
        <f t="shared" si="136"/>
        <v>33.569319057021779</v>
      </c>
      <c r="F862" s="10">
        <f t="shared" si="140"/>
        <v>0.49272754149738773</v>
      </c>
      <c r="G862" s="10">
        <f t="shared" si="137"/>
        <v>0.69900014270824928</v>
      </c>
      <c r="H862" s="10">
        <f t="shared" si="138"/>
        <v>0.66796605366858142</v>
      </c>
      <c r="I862" s="10">
        <f t="shared" si="141"/>
        <v>1.9706258935003884E-3</v>
      </c>
      <c r="J862" s="20">
        <f t="shared" si="139"/>
        <v>0</v>
      </c>
      <c r="K862" s="10">
        <f t="shared" si="142"/>
        <v>1.4786699288623861E-2</v>
      </c>
      <c r="L862" s="10">
        <f t="shared" si="143"/>
        <v>8.8720195731740725E-3</v>
      </c>
    </row>
    <row r="863" spans="1:12" x14ac:dyDescent="0.2">
      <c r="A863" s="14">
        <v>0.79800000000000004</v>
      </c>
      <c r="B863" s="10">
        <f t="shared" si="133"/>
        <v>1.3738409000486043</v>
      </c>
      <c r="C863" s="10">
        <f t="shared" si="134"/>
        <v>0.40940458821448411</v>
      </c>
      <c r="D863" s="10">
        <f t="shared" si="135"/>
        <v>3.5284740301641508</v>
      </c>
      <c r="E863" s="10">
        <f t="shared" si="136"/>
        <v>34.071935179554877</v>
      </c>
      <c r="F863" s="10">
        <f t="shared" si="140"/>
        <v>0.50261612253309806</v>
      </c>
      <c r="G863" s="10">
        <f t="shared" si="137"/>
        <v>0.70791704489762453</v>
      </c>
      <c r="H863" s="10">
        <f t="shared" si="138"/>
        <v>0.6699407396200816</v>
      </c>
      <c r="I863" s="10">
        <f t="shared" si="141"/>
        <v>1.974685951500188E-3</v>
      </c>
      <c r="J863" s="20">
        <f t="shared" si="139"/>
        <v>0</v>
      </c>
      <c r="K863" s="10">
        <f t="shared" si="142"/>
        <v>1.486150364895833E-2</v>
      </c>
      <c r="L863" s="10">
        <f t="shared" si="143"/>
        <v>8.916902189375242E-3</v>
      </c>
    </row>
    <row r="864" spans="1:12" x14ac:dyDescent="0.2">
      <c r="A864" s="14">
        <v>0.79900000000000004</v>
      </c>
      <c r="B864" s="10">
        <f t="shared" si="133"/>
        <v>1.3800560377071991</v>
      </c>
      <c r="C864" s="10">
        <f t="shared" si="134"/>
        <v>0.41263675527445259</v>
      </c>
      <c r="D864" s="10">
        <f t="shared" si="135"/>
        <v>3.5434109652873085</v>
      </c>
      <c r="E864" s="10">
        <f t="shared" si="136"/>
        <v>34.584685389805159</v>
      </c>
      <c r="F864" s="10">
        <f t="shared" si="140"/>
        <v>0.51275021025028167</v>
      </c>
      <c r="G864" s="10">
        <f t="shared" si="137"/>
        <v>0.716879205971519</v>
      </c>
      <c r="H864" s="10">
        <f t="shared" si="138"/>
        <v>0.67191942711950692</v>
      </c>
      <c r="I864" s="10">
        <f t="shared" si="141"/>
        <v>1.9786874994253134E-3</v>
      </c>
      <c r="J864" s="20">
        <f t="shared" si="139"/>
        <v>0</v>
      </c>
      <c r="K864" s="10">
        <f t="shared" si="142"/>
        <v>1.4936935123157635E-2</v>
      </c>
      <c r="L864" s="10">
        <f t="shared" si="143"/>
        <v>8.9621610738944701E-3</v>
      </c>
    </row>
    <row r="865" spans="1:12" x14ac:dyDescent="0.2">
      <c r="A865" s="14">
        <v>0.8</v>
      </c>
      <c r="B865" s="10">
        <f t="shared" si="133"/>
        <v>1.3862943611198908</v>
      </c>
      <c r="C865" s="10">
        <f t="shared" si="134"/>
        <v>0.41588830833596729</v>
      </c>
      <c r="D865" s="10">
        <f t="shared" si="135"/>
        <v>3.5584239681503669</v>
      </c>
      <c r="E865" s="10">
        <f t="shared" si="136"/>
        <v>35.107822474055602</v>
      </c>
      <c r="F865" s="10">
        <f t="shared" si="140"/>
        <v>0.52313708425044325</v>
      </c>
      <c r="G865" s="10">
        <f t="shared" si="137"/>
        <v>0.7258870076893541</v>
      </c>
      <c r="H865" s="10">
        <f t="shared" si="138"/>
        <v>0.67390205661642166</v>
      </c>
      <c r="I865" s="10">
        <f t="shared" si="141"/>
        <v>1.9826294969147451E-3</v>
      </c>
      <c r="J865" s="20">
        <f t="shared" si="139"/>
        <v>0</v>
      </c>
      <c r="K865" s="10">
        <f t="shared" si="142"/>
        <v>1.50130028630584E-2</v>
      </c>
      <c r="L865" s="10">
        <f t="shared" si="143"/>
        <v>9.0078017178351066E-3</v>
      </c>
    </row>
    <row r="866" spans="1:12" x14ac:dyDescent="0.2">
      <c r="A866" s="14">
        <v>0.80100000000000005</v>
      </c>
      <c r="B866" s="10">
        <f t="shared" si="133"/>
        <v>1.3925561223438672</v>
      </c>
      <c r="C866" s="10">
        <f t="shared" si="134"/>
        <v>0.41915939282550407</v>
      </c>
      <c r="D866" s="10">
        <f t="shared" si="135"/>
        <v>3.5735136843505444</v>
      </c>
      <c r="E866" s="10">
        <f t="shared" si="136"/>
        <v>35.641606749713702</v>
      </c>
      <c r="F866" s="10">
        <f t="shared" si="140"/>
        <v>0.53378427565809972</v>
      </c>
      <c r="G866" s="10">
        <f t="shared" si="137"/>
        <v>0.73494083740946048</v>
      </c>
      <c r="H866" s="10">
        <f t="shared" si="138"/>
        <v>0.67588856751370574</v>
      </c>
      <c r="I866" s="10">
        <f t="shared" si="141"/>
        <v>1.9865108972840773E-3</v>
      </c>
      <c r="J866" s="20">
        <f t="shared" si="139"/>
        <v>0</v>
      </c>
      <c r="K866" s="10">
        <f t="shared" si="142"/>
        <v>1.5089716200177516E-2</v>
      </c>
      <c r="L866" s="10">
        <f t="shared" si="143"/>
        <v>9.0538297201063767E-3</v>
      </c>
    </row>
    <row r="867" spans="1:12" x14ac:dyDescent="0.2">
      <c r="A867" s="14">
        <v>0.80200000000000005</v>
      </c>
      <c r="B867" s="10">
        <f t="shared" si="133"/>
        <v>1.3988415771719795</v>
      </c>
      <c r="C867" s="10">
        <f t="shared" si="134"/>
        <v>0.42245015630593791</v>
      </c>
      <c r="D867" s="10">
        <f t="shared" si="135"/>
        <v>3.5886807690007254</v>
      </c>
      <c r="E867" s="10">
        <f t="shared" si="136"/>
        <v>36.186306326780631</v>
      </c>
      <c r="F867" s="10">
        <f t="shared" si="140"/>
        <v>0.54469957706692895</v>
      </c>
      <c r="G867" s="10">
        <f t="shared" si="137"/>
        <v>0.74404108819956905</v>
      </c>
      <c r="H867" s="10">
        <f t="shared" si="138"/>
        <v>0.67787889816136293</v>
      </c>
      <c r="I867" s="10">
        <f t="shared" si="141"/>
        <v>1.9903306476571903E-3</v>
      </c>
      <c r="J867" s="20">
        <f t="shared" si="139"/>
        <v>0</v>
      </c>
      <c r="K867" s="10">
        <f t="shared" si="142"/>
        <v>1.5167084650181017E-2</v>
      </c>
      <c r="L867" s="10">
        <f t="shared" si="143"/>
        <v>9.1002507901085661E-3</v>
      </c>
    </row>
    <row r="868" spans="1:12" x14ac:dyDescent="0.2">
      <c r="A868" s="14">
        <v>0.80300000000000005</v>
      </c>
      <c r="B868" s="10">
        <f t="shared" si="133"/>
        <v>1.4051509852087734</v>
      </c>
      <c r="C868" s="10">
        <f t="shared" si="134"/>
        <v>0.4257607485182584</v>
      </c>
      <c r="D868" s="10">
        <f t="shared" si="135"/>
        <v>3.6039258869182289</v>
      </c>
      <c r="E868" s="10">
        <f t="shared" si="136"/>
        <v>36.74219737971093</v>
      </c>
      <c r="F868" s="10">
        <f t="shared" si="140"/>
        <v>0.55589105293029917</v>
      </c>
      <c r="G868" s="10">
        <f t="shared" si="137"/>
        <v>0.75318815895007152</v>
      </c>
      <c r="H868" s="10">
        <f t="shared" si="138"/>
        <v>0.67987298585046552</v>
      </c>
      <c r="I868" s="10">
        <f t="shared" si="141"/>
        <v>1.994087689102586E-3</v>
      </c>
      <c r="J868" s="20">
        <f t="shared" si="139"/>
        <v>0</v>
      </c>
      <c r="K868" s="10">
        <f t="shared" si="142"/>
        <v>1.5245117917503492E-2</v>
      </c>
      <c r="L868" s="10">
        <f t="shared" si="143"/>
        <v>9.1470707505024729E-3</v>
      </c>
    </row>
    <row r="869" spans="1:12" x14ac:dyDescent="0.2">
      <c r="A869" s="14">
        <v>0.80400000000000005</v>
      </c>
      <c r="B869" s="10">
        <f t="shared" si="133"/>
        <v>1.4114846099484495</v>
      </c>
      <c r="C869" s="10">
        <f t="shared" si="134"/>
        <v>0.42909132142432871</v>
      </c>
      <c r="D869" s="10">
        <f t="shared" si="135"/>
        <v>3.6192497128183256</v>
      </c>
      <c r="E869" s="10">
        <f t="shared" si="136"/>
        <v>37.309564430128539</v>
      </c>
      <c r="F869" s="10">
        <f t="shared" si="140"/>
        <v>0.56736705041760871</v>
      </c>
      <c r="G869" s="10">
        <f t="shared" si="137"/>
        <v>0.76238245449012931</v>
      </c>
      <c r="H869" s="10">
        <f t="shared" si="138"/>
        <v>0.68187076680723668</v>
      </c>
      <c r="I869" s="10">
        <f t="shared" si="141"/>
        <v>1.9977809567711668E-3</v>
      </c>
      <c r="J869" s="20">
        <f t="shared" si="139"/>
        <v>0</v>
      </c>
      <c r="K869" s="10">
        <f t="shared" si="142"/>
        <v>1.5323825900096733E-2</v>
      </c>
      <c r="L869" s="10">
        <f t="shared" si="143"/>
        <v>9.1942955400577953E-3</v>
      </c>
    </row>
    <row r="870" spans="1:12" x14ac:dyDescent="0.2">
      <c r="A870" s="14">
        <v>0.80500000000000005</v>
      </c>
      <c r="B870" s="10">
        <f t="shared" si="133"/>
        <v>1.4178427188548168</v>
      </c>
      <c r="C870" s="10">
        <f t="shared" si="134"/>
        <v>0.43244202925071923</v>
      </c>
      <c r="D870" s="10">
        <f t="shared" si="135"/>
        <v>3.6346529315126435</v>
      </c>
      <c r="E870" s="10">
        <f t="shared" si="136"/>
        <v>37.888700640887983</v>
      </c>
      <c r="F870" s="10">
        <f t="shared" si="140"/>
        <v>0.57913621075944377</v>
      </c>
      <c r="G870" s="10">
        <f t="shared" si="137"/>
        <v>0.77162438570671998</v>
      </c>
      <c r="H870" s="10">
        <f t="shared" si="138"/>
        <v>0.68387217618727925</v>
      </c>
      <c r="I870" s="10">
        <f t="shared" si="141"/>
        <v>2.0014093800425625E-3</v>
      </c>
      <c r="J870" s="20">
        <f t="shared" si="139"/>
        <v>0</v>
      </c>
      <c r="K870" s="10">
        <f t="shared" si="142"/>
        <v>1.5403218694317822E-2</v>
      </c>
      <c r="L870" s="10">
        <f t="shared" si="143"/>
        <v>9.2419312165906709E-3</v>
      </c>
    </row>
    <row r="871" spans="1:12" x14ac:dyDescent="0.2">
      <c r="A871" s="14">
        <v>0.80600000000000005</v>
      </c>
      <c r="B871" s="10">
        <f t="shared" si="133"/>
        <v>1.4242255834433004</v>
      </c>
      <c r="C871" s="10">
        <f t="shared" si="134"/>
        <v>0.43581302853365</v>
      </c>
      <c r="D871" s="10">
        <f t="shared" si="135"/>
        <v>3.6501362381126334</v>
      </c>
      <c r="E871" s="10">
        <f t="shared" si="136"/>
        <v>38.479908121995798</v>
      </c>
      <c r="F871" s="10">
        <f t="shared" si="140"/>
        <v>0.59120748110781562</v>
      </c>
      <c r="G871" s="10">
        <f t="shared" si="137"/>
        <v>0.78091436966671401</v>
      </c>
      <c r="H871" s="10">
        <f t="shared" si="138"/>
        <v>0.6858771480699527</v>
      </c>
      <c r="I871" s="10">
        <f t="shared" si="141"/>
        <v>2.0049718826734564E-3</v>
      </c>
      <c r="J871" s="20">
        <f t="shared" si="139"/>
        <v>0</v>
      </c>
      <c r="K871" s="10">
        <f t="shared" si="142"/>
        <v>1.5483306599989977E-2</v>
      </c>
      <c r="L871" s="10">
        <f t="shared" si="143"/>
        <v>9.2899839599940304E-3</v>
      </c>
    </row>
    <row r="872" spans="1:12" x14ac:dyDescent="0.2">
      <c r="A872" s="14">
        <v>0.80700000000000005</v>
      </c>
      <c r="B872" s="10">
        <f t="shared" si="133"/>
        <v>1.4306334793650637</v>
      </c>
      <c r="C872" s="10">
        <f t="shared" si="134"/>
        <v>0.43920447816507463</v>
      </c>
      <c r="D872" s="10">
        <f t="shared" si="135"/>
        <v>3.6657003382382269</v>
      </c>
      <c r="E872" s="10">
        <f t="shared" si="136"/>
        <v>39.083498248930901</v>
      </c>
      <c r="F872" s="10">
        <f t="shared" si="140"/>
        <v>0.60359012693510294</v>
      </c>
      <c r="G872" s="10">
        <f t="shared" si="137"/>
        <v>0.79025282974206978</v>
      </c>
      <c r="H872" s="10">
        <f t="shared" si="138"/>
        <v>0.68788561545290572</v>
      </c>
      <c r="I872" s="10">
        <f t="shared" si="141"/>
        <v>2.0084673829530164E-3</v>
      </c>
      <c r="J872" s="20">
        <f t="shared" si="139"/>
        <v>0</v>
      </c>
      <c r="K872" s="10">
        <f t="shared" si="142"/>
        <v>1.5564100125593505E-2</v>
      </c>
      <c r="L872" s="10">
        <f t="shared" si="143"/>
        <v>9.3384600753557701E-3</v>
      </c>
    </row>
    <row r="873" spans="1:12" x14ac:dyDescent="0.2">
      <c r="A873" s="14">
        <v>0.80800000000000005</v>
      </c>
      <c r="B873" s="10">
        <f t="shared" si="133"/>
        <v>1.4370666864933141</v>
      </c>
      <c r="C873" s="10">
        <f t="shared" si="134"/>
        <v>0.44261653943994084</v>
      </c>
      <c r="D873" s="10">
        <f t="shared" si="135"/>
        <v>3.6813459482318525</v>
      </c>
      <c r="E873" s="10">
        <f t="shared" si="136"/>
        <v>39.699791993931619</v>
      </c>
      <c r="F873" s="10">
        <f t="shared" si="140"/>
        <v>0.61629374500071776</v>
      </c>
      <c r="G873" s="10">
        <f t="shared" si="137"/>
        <v>0.7996401957382453</v>
      </c>
      <c r="H873" s="10">
        <f t="shared" si="138"/>
        <v>0.68989751024676516</v>
      </c>
      <c r="I873" s="10">
        <f t="shared" si="141"/>
        <v>2.0118947938594367E-3</v>
      </c>
      <c r="J873" s="20">
        <f t="shared" si="139"/>
        <v>0</v>
      </c>
      <c r="K873" s="10">
        <f t="shared" si="142"/>
        <v>1.564560999362552E-2</v>
      </c>
      <c r="L873" s="10">
        <f t="shared" si="143"/>
        <v>9.3873659961755118E-3</v>
      </c>
    </row>
    <row r="874" spans="1:12" x14ac:dyDescent="0.2">
      <c r="A874" s="14">
        <v>0.80900000000000005</v>
      </c>
      <c r="B874" s="10">
        <f t="shared" si="133"/>
        <v>1.4435254890118623</v>
      </c>
      <c r="C874" s="10">
        <f t="shared" si="134"/>
        <v>0.4460493761046655</v>
      </c>
      <c r="D874" s="10">
        <f t="shared" si="135"/>
        <v>3.6970737953779955</v>
      </c>
      <c r="E874" s="10">
        <f t="shared" si="136"/>
        <v>40.329120270846374</v>
      </c>
      <c r="F874" s="10">
        <f t="shared" si="140"/>
        <v>0.62932827691475524</v>
      </c>
      <c r="G874" s="10">
        <f t="shared" si="137"/>
        <v>0.80907690402593113</v>
      </c>
      <c r="H874" s="10">
        <f t="shared" si="138"/>
        <v>0.69191276326999163</v>
      </c>
      <c r="I874" s="10">
        <f t="shared" si="141"/>
        <v>2.0152530232264709E-3</v>
      </c>
      <c r="J874" s="20">
        <f t="shared" si="139"/>
        <v>0</v>
      </c>
      <c r="K874" s="10">
        <f t="shared" si="142"/>
        <v>1.5727847146143059E-2</v>
      </c>
      <c r="L874" s="10">
        <f t="shared" si="143"/>
        <v>9.4367082876858355E-3</v>
      </c>
    </row>
    <row r="875" spans="1:12" x14ac:dyDescent="0.2">
      <c r="A875" s="14">
        <v>0.81</v>
      </c>
      <c r="B875" s="10">
        <f t="shared" si="133"/>
        <v>1.4500101755059986</v>
      </c>
      <c r="C875" s="10">
        <f t="shared" si="134"/>
        <v>0.44950315440685967</v>
      </c>
      <c r="D875" s="10">
        <f t="shared" si="135"/>
        <v>3.7128846181284425</v>
      </c>
      <c r="E875" s="10">
        <f t="shared" si="136"/>
        <v>40.971824294173565</v>
      </c>
      <c r="F875" s="10">
        <f t="shared" si="140"/>
        <v>0.64270402332719101</v>
      </c>
      <c r="G875" s="10">
        <f t="shared" si="137"/>
        <v>0.81856339767619934</v>
      </c>
      <c r="H875" s="10">
        <f t="shared" si="138"/>
        <v>0.69393130424390004</v>
      </c>
      <c r="I875" s="10">
        <f t="shared" si="141"/>
        <v>2.0185409739084115E-3</v>
      </c>
      <c r="J875" s="20">
        <f t="shared" si="139"/>
        <v>0</v>
      </c>
      <c r="K875" s="10">
        <f t="shared" si="142"/>
        <v>1.5810822750446984E-2</v>
      </c>
      <c r="L875" s="10">
        <f t="shared" si="143"/>
        <v>9.4864936502682129E-3</v>
      </c>
    </row>
    <row r="876" spans="1:12" x14ac:dyDescent="0.2">
      <c r="A876" s="14">
        <v>0.81100000000000005</v>
      </c>
      <c r="B876" s="10">
        <f t="shared" si="133"/>
        <v>1.456521039055771</v>
      </c>
      <c r="C876" s="10">
        <f t="shared" si="134"/>
        <v>0.45297804314634488</v>
      </c>
      <c r="D876" s="10">
        <f t="shared" si="135"/>
        <v>3.7287791663334189</v>
      </c>
      <c r="E876" s="10">
        <f t="shared" si="136"/>
        <v>41.628255952951214</v>
      </c>
      <c r="F876" s="10">
        <f t="shared" si="140"/>
        <v>0.65643165877764886</v>
      </c>
      <c r="G876" s="10">
        <f t="shared" si="137"/>
        <v>0.8281001265991853</v>
      </c>
      <c r="H876" s="10">
        <f t="shared" si="138"/>
        <v>0.69595306178785776</v>
      </c>
      <c r="I876" s="10">
        <f t="shared" si="141"/>
        <v>2.0217575439577251E-3</v>
      </c>
      <c r="J876" s="20">
        <f t="shared" si="139"/>
        <v>0</v>
      </c>
      <c r="K876" s="10">
        <f t="shared" si="142"/>
        <v>1.5894548204976378E-2</v>
      </c>
      <c r="L876" s="10">
        <f t="shared" si="143"/>
        <v>9.5367289229859598E-3</v>
      </c>
    </row>
    <row r="877" spans="1:12" x14ac:dyDescent="0.2">
      <c r="A877" s="14">
        <v>0.81200000000000006</v>
      </c>
      <c r="B877" s="10">
        <f t="shared" si="133"/>
        <v>1.4630583773317292</v>
      </c>
      <c r="C877" s="10">
        <f t="shared" si="134"/>
        <v>0.45647421372749958</v>
      </c>
      <c r="D877" s="10">
        <f t="shared" si="135"/>
        <v>3.7447582014787875</v>
      </c>
      <c r="E877" s="10">
        <f t="shared" si="136"/>
        <v>42.298778200188956</v>
      </c>
      <c r="F877" s="10">
        <f t="shared" si="140"/>
        <v>0.67052224723774145</v>
      </c>
      <c r="G877" s="10">
        <f t="shared" si="137"/>
        <v>0.83768754768640619</v>
      </c>
      <c r="H877" s="10">
        <f t="shared" si="138"/>
        <v>0.69797796341465623</v>
      </c>
      <c r="I877" s="10">
        <f t="shared" si="141"/>
        <v>2.0249016267984699E-3</v>
      </c>
      <c r="J877" s="20">
        <f t="shared" si="139"/>
        <v>0</v>
      </c>
      <c r="K877" s="10">
        <f t="shared" si="142"/>
        <v>1.5979035145368581E-2</v>
      </c>
      <c r="L877" s="10">
        <f t="shared" si="143"/>
        <v>9.587421087220882E-3</v>
      </c>
    </row>
    <row r="878" spans="1:12" x14ac:dyDescent="0.2">
      <c r="A878" s="14">
        <v>0.81299999999999994</v>
      </c>
      <c r="B878" s="10">
        <f t="shared" si="133"/>
        <v>1.4696224926932235</v>
      </c>
      <c r="C878" s="10">
        <f t="shared" si="134"/>
        <v>0.4599918402129789</v>
      </c>
      <c r="D878" s="10">
        <f t="shared" si="135"/>
        <v>3.7608224969295048</v>
      </c>
      <c r="E878" s="10">
        <f t="shared" si="136"/>
        <v>42.983765458572172</v>
      </c>
      <c r="F878" s="10">
        <f t="shared" si="140"/>
        <v>0.68498725838321661</v>
      </c>
      <c r="G878" s="10">
        <f t="shared" si="137"/>
        <v>0.8473261249568369</v>
      </c>
      <c r="H878" s="10">
        <f t="shared" si="138"/>
        <v>0.7000059355260696</v>
      </c>
      <c r="I878" s="10">
        <f t="shared" si="141"/>
        <v>2.0279721114133675E-3</v>
      </c>
      <c r="J878" s="20">
        <f t="shared" si="139"/>
        <v>0</v>
      </c>
      <c r="K878" s="10">
        <f t="shared" si="142"/>
        <v>1.6064295450717303E-2</v>
      </c>
      <c r="L878" s="10">
        <f t="shared" si="143"/>
        <v>9.6385772704307149E-3</v>
      </c>
    </row>
    <row r="879" spans="1:12" x14ac:dyDescent="0.2">
      <c r="A879" s="14">
        <v>0.81399999999999995</v>
      </c>
      <c r="B879" s="10">
        <f t="shared" si="133"/>
        <v>1.4762136922893387</v>
      </c>
      <c r="C879" s="10">
        <f t="shared" si="134"/>
        <v>0.46353109937885228</v>
      </c>
      <c r="D879" s="10">
        <f t="shared" si="135"/>
        <v>3.7769728381795522</v>
      </c>
      <c r="E879" s="10">
        <f t="shared" si="136"/>
        <v>43.683604043206877</v>
      </c>
      <c r="F879" s="10">
        <f t="shared" si="140"/>
        <v>0.69983858463470483</v>
      </c>
      <c r="G879" s="10">
        <f t="shared" si="137"/>
        <v>0.85701632970686525</v>
      </c>
      <c r="H879" s="10">
        <f t="shared" si="138"/>
        <v>0.70203690340860014</v>
      </c>
      <c r="I879" s="10">
        <f t="shared" si="141"/>
        <v>2.0309678825305433E-3</v>
      </c>
      <c r="J879" s="20">
        <f t="shared" si="139"/>
        <v>0</v>
      </c>
      <c r="K879" s="10">
        <f t="shared" si="142"/>
        <v>1.615034125004744E-2</v>
      </c>
      <c r="L879" s="10">
        <f t="shared" si="143"/>
        <v>9.6902047500283528E-3</v>
      </c>
    </row>
    <row r="880" spans="1:12" x14ac:dyDescent="0.2">
      <c r="A880" s="14">
        <v>0.81499999999999995</v>
      </c>
      <c r="B880" s="10">
        <f t="shared" si="133"/>
        <v>1.4828322881625375</v>
      </c>
      <c r="C880" s="10">
        <f t="shared" si="134"/>
        <v>0.46709217077119924</v>
      </c>
      <c r="D880" s="10">
        <f t="shared" si="135"/>
        <v>3.7932100231085029</v>
      </c>
      <c r="E880" s="10">
        <f t="shared" si="136"/>
        <v>44.398692602211504</v>
      </c>
      <c r="F880" s="10">
        <f t="shared" si="140"/>
        <v>0.7150885590046272</v>
      </c>
      <c r="G880" s="10">
        <f t="shared" si="137"/>
        <v>0.86675864066423569</v>
      </c>
      <c r="H880" s="10">
        <f t="shared" si="138"/>
        <v>0.70407079122941463</v>
      </c>
      <c r="I880" s="10">
        <f t="shared" si="141"/>
        <v>2.0338878208144839E-3</v>
      </c>
      <c r="J880" s="20">
        <f t="shared" si="139"/>
        <v>0</v>
      </c>
      <c r="K880" s="10">
        <f t="shared" si="142"/>
        <v>1.6237184928950654E-2</v>
      </c>
      <c r="L880" s="10">
        <f t="shared" si="143"/>
        <v>9.742310957370437E-3</v>
      </c>
    </row>
    <row r="881" spans="1:12" x14ac:dyDescent="0.2">
      <c r="A881" s="14">
        <v>0.81599999999999995</v>
      </c>
      <c r="B881" s="10">
        <f t="shared" si="133"/>
        <v>1.489478597355121</v>
      </c>
      <c r="C881" s="10">
        <f t="shared" si="134"/>
        <v>0.47067523676421819</v>
      </c>
      <c r="D881" s="10">
        <f t="shared" si="135"/>
        <v>3.8095348622450036</v>
      </c>
      <c r="E881" s="10">
        <f t="shared" si="136"/>
        <v>45.129442576009559</v>
      </c>
      <c r="F881" s="10">
        <f t="shared" si="140"/>
        <v>0.73074997379805495</v>
      </c>
      <c r="G881" s="10">
        <f t="shared" si="137"/>
        <v>0.87655354414613595</v>
      </c>
      <c r="H881" s="10">
        <f t="shared" si="138"/>
        <v>0.70610752203248262</v>
      </c>
      <c r="I881" s="10">
        <f t="shared" si="141"/>
        <v>2.0367308030679876E-3</v>
      </c>
      <c r="J881" s="20">
        <f t="shared" si="139"/>
        <v>0</v>
      </c>
      <c r="K881" s="10">
        <f t="shared" si="142"/>
        <v>1.6324839136500735E-2</v>
      </c>
      <c r="L881" s="10">
        <f t="shared" si="143"/>
        <v>9.7949034819002634E-3</v>
      </c>
    </row>
    <row r="882" spans="1:12" x14ac:dyDescent="0.2">
      <c r="A882" s="14">
        <v>0.81699999999999995</v>
      </c>
      <c r="B882" s="10">
        <f t="shared" si="133"/>
        <v>1.4961529420185815</v>
      </c>
      <c r="C882" s="10">
        <f t="shared" si="134"/>
        <v>0.47428048261989025</v>
      </c>
      <c r="D882" s="10">
        <f t="shared" si="135"/>
        <v>3.8259481790373409</v>
      </c>
      <c r="E882" s="10">
        <f t="shared" si="136"/>
        <v>45.876278676217048</v>
      </c>
      <c r="F882" s="10">
        <f t="shared" si="140"/>
        <v>0.74683610020748858</v>
      </c>
      <c r="G882" s="10">
        <f t="shared" si="137"/>
        <v>0.88640153422153833</v>
      </c>
      <c r="H882" s="10">
        <f t="shared" si="138"/>
        <v>0.70814701773491362</v>
      </c>
      <c r="I882" s="10">
        <f t="shared" si="141"/>
        <v>2.0394957024310045E-3</v>
      </c>
      <c r="J882" s="20">
        <f t="shared" si="139"/>
        <v>0</v>
      </c>
      <c r="K882" s="10">
        <f t="shared" si="142"/>
        <v>1.6413316792337262E-2</v>
      </c>
      <c r="L882" s="10">
        <f t="shared" si="143"/>
        <v>9.8479900754023797E-3</v>
      </c>
    </row>
    <row r="883" spans="1:12" x14ac:dyDescent="0.2">
      <c r="A883" s="14">
        <v>0.81799999999999995</v>
      </c>
      <c r="B883" s="10">
        <f t="shared" si="133"/>
        <v>1.5028556495259513</v>
      </c>
      <c r="C883" s="10">
        <f t="shared" si="134"/>
        <v>0.47790809654925243</v>
      </c>
      <c r="D883" s="10">
        <f t="shared" si="135"/>
        <v>3.8424508101313553</v>
      </c>
      <c r="E883" s="10">
        <f t="shared" si="136"/>
        <v>46.639639385070602</v>
      </c>
      <c r="F883" s="10">
        <f t="shared" si="140"/>
        <v>0.76336070885355412</v>
      </c>
      <c r="G883" s="10">
        <f t="shared" si="137"/>
        <v>0.89630311287794684</v>
      </c>
      <c r="H883" s="10">
        <f t="shared" si="138"/>
        <v>0.71018919912350553</v>
      </c>
      <c r="I883" s="10">
        <f t="shared" si="141"/>
        <v>2.0421813885919127E-3</v>
      </c>
      <c r="J883" s="20">
        <f t="shared" si="139"/>
        <v>0</v>
      </c>
      <c r="K883" s="10">
        <f t="shared" si="142"/>
        <v>1.6502631094014397E-2</v>
      </c>
      <c r="L883" s="10">
        <f t="shared" si="143"/>
        <v>9.9015786564085051E-3</v>
      </c>
    </row>
    <row r="884" spans="1:12" x14ac:dyDescent="0.2">
      <c r="A884" s="14">
        <v>0.81899999999999995</v>
      </c>
      <c r="B884" s="10">
        <f t="shared" si="133"/>
        <v>1.5095870525872432</v>
      </c>
      <c r="C884" s="10">
        <f t="shared" si="134"/>
        <v>0.48155826977533051</v>
      </c>
      <c r="D884" s="10">
        <f t="shared" si="135"/>
        <v>3.8590436056559252</v>
      </c>
      <c r="E884" s="10">
        <f t="shared" si="136"/>
        <v>47.419977476390478</v>
      </c>
      <c r="F884" s="10">
        <f t="shared" si="140"/>
        <v>0.78033809131987653</v>
      </c>
      <c r="G884" s="10">
        <f t="shared" si="137"/>
        <v>0.90625879019268885</v>
      </c>
      <c r="H884" s="10">
        <f t="shared" si="138"/>
        <v>0.71223398585150366</v>
      </c>
      <c r="I884" s="10">
        <f t="shared" si="141"/>
        <v>2.0447867279981269E-3</v>
      </c>
      <c r="J884" s="20">
        <f t="shared" si="139"/>
        <v>0</v>
      </c>
      <c r="K884" s="10">
        <f t="shared" si="142"/>
        <v>1.6592795524569937E-2</v>
      </c>
      <c r="L884" s="10">
        <f t="shared" si="143"/>
        <v>9.9556773147420063E-3</v>
      </c>
    </row>
    <row r="885" spans="1:12" x14ac:dyDescent="0.2">
      <c r="A885" s="14">
        <v>0.82</v>
      </c>
      <c r="B885" s="10">
        <f t="shared" si="133"/>
        <v>1.5163474893680882</v>
      </c>
      <c r="C885" s="10">
        <f t="shared" si="134"/>
        <v>0.48523119659778813</v>
      </c>
      <c r="D885" s="10">
        <f t="shared" si="135"/>
        <v>3.8757274295162887</v>
      </c>
      <c r="E885" s="10">
        <f t="shared" si="136"/>
        <v>48.217760559128422</v>
      </c>
      <c r="F885" s="10">
        <f t="shared" si="140"/>
        <v>0.79778308273794352</v>
      </c>
      <c r="G885" s="10">
        <f t="shared" si="137"/>
        <v>0.91626908450890709</v>
      </c>
      <c r="H885" s="10">
        <f t="shared" si="138"/>
        <v>0.71428129643557881</v>
      </c>
      <c r="I885" s="10">
        <f t="shared" si="141"/>
        <v>2.047310584075146E-3</v>
      </c>
      <c r="J885" s="20">
        <f t="shared" si="139"/>
        <v>0</v>
      </c>
      <c r="K885" s="10">
        <f t="shared" si="142"/>
        <v>1.6683823860363489E-2</v>
      </c>
      <c r="L885" s="10">
        <f t="shared" si="143"/>
        <v>1.0010294316218249E-2</v>
      </c>
    </row>
    <row r="886" spans="1:12" x14ac:dyDescent="0.2">
      <c r="A886" s="14">
        <v>0.82099999999999995</v>
      </c>
      <c r="B886" s="10">
        <f t="shared" si="133"/>
        <v>1.5231373036116729</v>
      </c>
      <c r="C886" s="10">
        <f t="shared" si="134"/>
        <v>0.48892707445934691</v>
      </c>
      <c r="D886" s="10">
        <f t="shared" si="135"/>
        <v>3.8925031596954431</v>
      </c>
      <c r="E886" s="10">
        <f t="shared" si="136"/>
        <v>49.033471644605498</v>
      </c>
      <c r="F886" s="10">
        <f t="shared" si="140"/>
        <v>0.81571108547707638</v>
      </c>
      <c r="G886" s="10">
        <f t="shared" si="137"/>
        <v>0.92633452261640004</v>
      </c>
      <c r="H886" s="10">
        <f t="shared" si="138"/>
        <v>0.71633104825302774</v>
      </c>
      <c r="I886" s="10">
        <f t="shared" si="141"/>
        <v>2.0497518174489304E-3</v>
      </c>
      <c r="J886" s="20">
        <f t="shared" si="139"/>
        <v>0</v>
      </c>
      <c r="K886" s="10">
        <f t="shared" si="142"/>
        <v>1.6775730179154458E-2</v>
      </c>
      <c r="L886" s="10">
        <f t="shared" si="143"/>
        <v>1.0065438107492941E-2</v>
      </c>
    </row>
    <row r="887" spans="1:12" x14ac:dyDescent="0.2">
      <c r="A887" s="14">
        <v>0.82199999999999995</v>
      </c>
      <c r="B887" s="10">
        <f t="shared" si="133"/>
        <v>1.5299568447640945</v>
      </c>
      <c r="C887" s="10">
        <f t="shared" si="134"/>
        <v>0.49264610401403836</v>
      </c>
      <c r="D887" s="10">
        <f t="shared" si="135"/>
        <v>3.9093716885639127</v>
      </c>
      <c r="E887" s="10">
        <f t="shared" si="136"/>
        <v>49.86760973860757</v>
      </c>
      <c r="F887" s="10">
        <f t="shared" si="140"/>
        <v>0.83413809400207128</v>
      </c>
      <c r="G887" s="10">
        <f t="shared" si="137"/>
        <v>0.93645563993748171</v>
      </c>
      <c r="H887" s="10">
        <f t="shared" si="138"/>
        <v>0.7183831575392019</v>
      </c>
      <c r="I887" s="10">
        <f t="shared" si="141"/>
        <v>2.0521092861741641E-3</v>
      </c>
      <c r="J887" s="20">
        <f t="shared" si="139"/>
        <v>0</v>
      </c>
      <c r="K887" s="10">
        <f t="shared" si="142"/>
        <v>1.6868528868469568E-2</v>
      </c>
      <c r="L887" s="10">
        <f t="shared" si="143"/>
        <v>1.0121117321081674E-2</v>
      </c>
    </row>
    <row r="888" spans="1:12" x14ac:dyDescent="0.2">
      <c r="A888" s="14">
        <v>0.82299999999999995</v>
      </c>
      <c r="B888" s="10">
        <f t="shared" si="133"/>
        <v>1.5368064681032403</v>
      </c>
      <c r="C888" s="10">
        <f t="shared" si="134"/>
        <v>0.49638848919734652</v>
      </c>
      <c r="D888" s="10">
        <f t="shared" si="135"/>
        <v>3.9263339231981451</v>
      </c>
      <c r="E888" s="10">
        <f t="shared" si="136"/>
        <v>50.720690459568161</v>
      </c>
      <c r="F888" s="10">
        <f t="shared" si="140"/>
        <v>0.85308072096059107</v>
      </c>
      <c r="G888" s="10">
        <f t="shared" si="137"/>
        <v>0.94663298071802104</v>
      </c>
      <c r="H888" s="10">
        <f t="shared" si="138"/>
        <v>0.72043753938516863</v>
      </c>
      <c r="I888" s="10">
        <f t="shared" si="141"/>
        <v>2.0543818459667351E-3</v>
      </c>
      <c r="J888" s="20">
        <f t="shared" si="139"/>
        <v>0</v>
      </c>
      <c r="K888" s="10">
        <f t="shared" si="142"/>
        <v>1.6962234634232409E-2</v>
      </c>
      <c r="L888" s="10">
        <f t="shared" si="143"/>
        <v>1.0177340780539335E-2</v>
      </c>
    </row>
    <row r="889" spans="1:12" x14ac:dyDescent="0.2">
      <c r="A889" s="14">
        <v>0.82399999999999995</v>
      </c>
      <c r="B889" s="10">
        <f t="shared" si="133"/>
        <v>1.5436865348713198</v>
      </c>
      <c r="C889" s="10">
        <f t="shared" si="134"/>
        <v>0.50015443729830755</v>
      </c>
      <c r="D889" s="10">
        <f t="shared" si="135"/>
        <v>3.9433907857078481</v>
      </c>
      <c r="E889" s="10">
        <f t="shared" si="136"/>
        <v>51.593246684138606</v>
      </c>
      <c r="F889" s="10">
        <f t="shared" si="140"/>
        <v>0.87255622457044524</v>
      </c>
      <c r="G889" s="10">
        <f t="shared" si="137"/>
        <v>0.95686709822384264</v>
      </c>
      <c r="H889" s="10">
        <f t="shared" si="138"/>
        <v>0.72249410773561062</v>
      </c>
      <c r="I889" s="10">
        <f t="shared" si="141"/>
        <v>2.0565683504419896E-3</v>
      </c>
      <c r="J889" s="20">
        <f t="shared" si="139"/>
        <v>0</v>
      </c>
      <c r="K889" s="10">
        <f t="shared" si="142"/>
        <v>1.7056862509702952E-2</v>
      </c>
      <c r="L889" s="10">
        <f t="shared" si="143"/>
        <v>1.0234117505821594E-2</v>
      </c>
    </row>
    <row r="890" spans="1:12" x14ac:dyDescent="0.2">
      <c r="A890" s="14">
        <v>0.82499999999999996</v>
      </c>
      <c r="B890" s="10">
        <f t="shared" si="133"/>
        <v>1.5505974124111666</v>
      </c>
      <c r="C890" s="10">
        <f t="shared" si="134"/>
        <v>0.5039441590336291</v>
      </c>
      <c r="D890" s="10">
        <f t="shared" si="135"/>
        <v>3.960543213572548</v>
      </c>
      <c r="E890" s="10">
        <f t="shared" si="136"/>
        <v>52.485829221515495</v>
      </c>
      <c r="F890" s="10">
        <f t="shared" si="140"/>
        <v>0.89258253737688875</v>
      </c>
      <c r="G890" s="10">
        <f t="shared" si="137"/>
        <v>0.96715855494266245</v>
      </c>
      <c r="H890" s="10">
        <f t="shared" si="138"/>
        <v>0.72455277538696716</v>
      </c>
      <c r="I890" s="10">
        <f t="shared" si="141"/>
        <v>2.0586676513565383E-3</v>
      </c>
      <c r="J890" s="20">
        <f t="shared" si="139"/>
        <v>0</v>
      </c>
      <c r="K890" s="10">
        <f t="shared" si="142"/>
        <v>1.7152427864699948E-2</v>
      </c>
      <c r="L890" s="10">
        <f t="shared" si="143"/>
        <v>1.0291456718819814E-2</v>
      </c>
    </row>
    <row r="891" spans="1:12" x14ac:dyDescent="0.2">
      <c r="A891" s="14">
        <v>0.82599999999999996</v>
      </c>
      <c r="B891" s="10">
        <f t="shared" si="133"/>
        <v>1.5575394743064488</v>
      </c>
      <c r="C891" s="10">
        <f t="shared" si="134"/>
        <v>0.50775786862390226</v>
      </c>
      <c r="D891" s="10">
        <f t="shared" si="135"/>
        <v>3.9777921599877111</v>
      </c>
      <c r="E891" s="10">
        <f t="shared" si="136"/>
        <v>53.39900751797456</v>
      </c>
      <c r="F891" s="10">
        <f t="shared" si="140"/>
        <v>0.91317829645906556</v>
      </c>
      <c r="G891" s="10">
        <f t="shared" si="137"/>
        <v>0.97750792279176069</v>
      </c>
      <c r="H891" s="10">
        <f t="shared" si="138"/>
        <v>0.72661345398582511</v>
      </c>
      <c r="I891" s="10">
        <f t="shared" si="141"/>
        <v>2.0606785988579457E-3</v>
      </c>
      <c r="J891" s="20">
        <f t="shared" si="139"/>
        <v>0</v>
      </c>
      <c r="K891" s="10">
        <f t="shared" si="142"/>
        <v>1.7248946415163058E-2</v>
      </c>
      <c r="L891" s="10">
        <f t="shared" si="143"/>
        <v>1.0349367849098234E-2</v>
      </c>
    </row>
    <row r="892" spans="1:12" x14ac:dyDescent="0.2">
      <c r="A892" s="14">
        <v>0.82699999999999996</v>
      </c>
      <c r="B892" s="10">
        <f t="shared" si="133"/>
        <v>1.5645131005259121</v>
      </c>
      <c r="C892" s="10">
        <f t="shared" si="134"/>
        <v>0.51159578387197313</v>
      </c>
      <c r="D892" s="10">
        <f t="shared" si="135"/>
        <v>3.9951385942207294</v>
      </c>
      <c r="E892" s="10">
        <f t="shared" si="136"/>
        <v>54.333370393138807</v>
      </c>
      <c r="F892" s="10">
        <f t="shared" si="140"/>
        <v>0.93436287516424699</v>
      </c>
      <c r="G892" s="10">
        <f t="shared" si="137"/>
        <v>0.9879157833315716</v>
      </c>
      <c r="H892" s="10">
        <f t="shared" si="138"/>
        <v>0.72867605402755997</v>
      </c>
      <c r="I892" s="10">
        <f t="shared" si="141"/>
        <v>2.0626000417348633E-3</v>
      </c>
      <c r="J892" s="20">
        <f t="shared" si="139"/>
        <v>0</v>
      </c>
      <c r="K892" s="10">
        <f t="shared" si="142"/>
        <v>1.7346434233018293E-2</v>
      </c>
      <c r="L892" s="10">
        <f t="shared" si="143"/>
        <v>1.0407860539810909E-2</v>
      </c>
    </row>
    <row r="893" spans="1:12" x14ac:dyDescent="0.2">
      <c r="A893" s="14">
        <v>0.82799999999999996</v>
      </c>
      <c r="B893" s="10">
        <f t="shared" si="133"/>
        <v>1.5715186775718064</v>
      </c>
      <c r="C893" s="10">
        <f t="shared" si="134"/>
        <v>0.51545812624355247</v>
      </c>
      <c r="D893" s="10">
        <f t="shared" si="135"/>
        <v>4.0125835019771312</v>
      </c>
      <c r="E893" s="10">
        <f t="shared" si="136"/>
        <v>55.289526809597717</v>
      </c>
      <c r="F893" s="10">
        <f t="shared" si="140"/>
        <v>0.95615641645891003</v>
      </c>
      <c r="G893" s="10">
        <f t="shared" si="137"/>
        <v>0.99838272798541228</v>
      </c>
      <c r="H893" s="10">
        <f t="shared" si="138"/>
        <v>0.73074048485523602</v>
      </c>
      <c r="I893" s="10">
        <f t="shared" si="141"/>
        <v>2.0644308276760448E-3</v>
      </c>
      <c r="J893" s="20">
        <f t="shared" si="139"/>
        <v>0</v>
      </c>
      <c r="K893" s="10">
        <f t="shared" si="142"/>
        <v>1.744490775640184E-2</v>
      </c>
      <c r="L893" s="10">
        <f t="shared" si="143"/>
        <v>1.0466944653840682E-2</v>
      </c>
    </row>
    <row r="894" spans="1:12" x14ac:dyDescent="0.2">
      <c r="A894" s="14">
        <v>0.82899999999999996</v>
      </c>
      <c r="B894" s="10">
        <f t="shared" si="133"/>
        <v>1.5785565986326349</v>
      </c>
      <c r="C894" s="10">
        <f t="shared" si="134"/>
        <v>0.51934512095013685</v>
      </c>
      <c r="D894" s="10">
        <f t="shared" si="135"/>
        <v>4.0301278857773575</v>
      </c>
      <c r="E894" s="10">
        <f t="shared" si="136"/>
        <v>56.268106677584321</v>
      </c>
      <c r="F894" s="10">
        <f t="shared" si="140"/>
        <v>0.97857986798660335</v>
      </c>
      <c r="G894" s="10">
        <f t="shared" si="137"/>
        <v>1.0089093582655484</v>
      </c>
      <c r="H894" s="10">
        <f t="shared" si="138"/>
        <v>0.73280665465876893</v>
      </c>
      <c r="I894" s="10">
        <f t="shared" si="141"/>
        <v>2.0661698035329135E-3</v>
      </c>
      <c r="J894" s="20">
        <f t="shared" si="139"/>
        <v>0</v>
      </c>
      <c r="K894" s="10">
        <f t="shared" si="142"/>
        <v>1.7544383800226271E-2</v>
      </c>
      <c r="L894" s="10">
        <f t="shared" si="143"/>
        <v>1.0526630280136118E-2</v>
      </c>
    </row>
    <row r="895" spans="1:12" x14ac:dyDescent="0.2">
      <c r="A895" s="14">
        <v>0.83</v>
      </c>
      <c r="B895" s="10">
        <f t="shared" si="133"/>
        <v>1.5856272637403817</v>
      </c>
      <c r="C895" s="10">
        <f t="shared" si="134"/>
        <v>0.52325699703432593</v>
      </c>
      <c r="D895" s="10">
        <f t="shared" si="135"/>
        <v>4.0477727653444955</v>
      </c>
      <c r="E895" s="10">
        <f t="shared" si="136"/>
        <v>57.269761696516838</v>
      </c>
      <c r="F895" s="10">
        <f t="shared" si="140"/>
        <v>1.0016550189325173</v>
      </c>
      <c r="G895" s="10">
        <f t="shared" si="137"/>
        <v>1.0194962860058312</v>
      </c>
      <c r="H895" s="10">
        <f t="shared" si="138"/>
        <v>0.7348744704743545</v>
      </c>
      <c r="I895" s="10">
        <f t="shared" si="141"/>
        <v>2.0678158155855719E-3</v>
      </c>
      <c r="J895" s="20">
        <f t="shared" si="139"/>
        <v>0</v>
      </c>
      <c r="K895" s="10">
        <f t="shared" si="142"/>
        <v>1.7644879567138005E-2</v>
      </c>
      <c r="L895" s="10">
        <f t="shared" si="143"/>
        <v>1.0586927740282803E-2</v>
      </c>
    </row>
    <row r="896" spans="1:12" x14ac:dyDescent="0.2">
      <c r="A896" s="14">
        <v>0.83099999999999996</v>
      </c>
      <c r="B896" s="10">
        <f t="shared" si="133"/>
        <v>1.5927310799323744</v>
      </c>
      <c r="C896" s="10">
        <f t="shared" si="134"/>
        <v>0.52719398745761581</v>
      </c>
      <c r="D896" s="10">
        <f t="shared" si="135"/>
        <v>4.0655191780033206</v>
      </c>
      <c r="E896" s="10">
        <f t="shared" si="136"/>
        <v>58.295166235312173</v>
      </c>
      <c r="F896" s="10">
        <f t="shared" si="140"/>
        <v>1.0254045387953354</v>
      </c>
      <c r="G896" s="10">
        <f t="shared" si="137"/>
        <v>1.0301441336011257</v>
      </c>
      <c r="H896" s="10">
        <f t="shared" si="138"/>
        <v>0.73694383818416964</v>
      </c>
      <c r="I896" s="10">
        <f t="shared" si="141"/>
        <v>2.0693677098151397E-3</v>
      </c>
      <c r="J896" s="20">
        <f t="shared" si="139"/>
        <v>0</v>
      </c>
      <c r="K896" s="10">
        <f t="shared" si="142"/>
        <v>1.774641265882515E-2</v>
      </c>
      <c r="L896" s="10">
        <f t="shared" si="143"/>
        <v>1.0647847595294468E-2</v>
      </c>
    </row>
    <row r="897" spans="1:12" x14ac:dyDescent="0.2">
      <c r="A897" s="14">
        <v>0.83199999999999996</v>
      </c>
      <c r="B897" s="10">
        <f t="shared" si="133"/>
        <v>1.5998684614179493</v>
      </c>
      <c r="C897" s="10">
        <f t="shared" si="134"/>
        <v>0.53115632919075906</v>
      </c>
      <c r="D897" s="10">
        <f t="shared" si="135"/>
        <v>4.0833681790910799</v>
      </c>
      <c r="E897" s="10">
        <f t="shared" si="136"/>
        <v>59.345018253492874</v>
      </c>
      <c r="F897" s="10">
        <f t="shared" si="140"/>
        <v>1.049852018180701</v>
      </c>
      <c r="G897" s="10">
        <f t="shared" si="137"/>
        <v>1.0408535342537819</v>
      </c>
      <c r="H897" s="10">
        <f t="shared" si="138"/>
        <v>0.73901466251635151</v>
      </c>
      <c r="I897" s="10">
        <f t="shared" si="141"/>
        <v>2.0708243321818642E-3</v>
      </c>
      <c r="J897" s="20">
        <f t="shared" si="139"/>
        <v>0</v>
      </c>
      <c r="K897" s="10">
        <f t="shared" si="142"/>
        <v>1.784900108775922E-2</v>
      </c>
      <c r="L897" s="10">
        <f t="shared" si="143"/>
        <v>1.0709400652656242E-2</v>
      </c>
    </row>
    <row r="898" spans="1:12" x14ac:dyDescent="0.2">
      <c r="A898" s="14">
        <v>0.83299999999999996</v>
      </c>
      <c r="B898" s="10">
        <f t="shared" ref="B898:B961" si="144">LN(A898/(1-A898))</f>
        <v>1.6070398297500872</v>
      </c>
      <c r="C898" s="10">
        <f t="shared" ref="C898:C961" si="145">(A898-0.5)*B898</f>
        <v>0.535144263306779</v>
      </c>
      <c r="D898" s="10">
        <f t="shared" ref="D898:D961" si="146">$B$45+$B$46*B898+$B$47*C898</f>
        <v>4.1013208423804191</v>
      </c>
      <c r="E898" s="10">
        <f t="shared" ref="E898:E961" si="147">$B$14+EXP(D898)</f>
        <v>60.420040265224202</v>
      </c>
      <c r="F898" s="10">
        <f t="shared" si="140"/>
        <v>1.0750220117313276</v>
      </c>
      <c r="G898" s="10">
        <f t="shared" ref="G898:G961" si="148">$C$45+$C$46*B898+$C$47*C898</f>
        <v>1.0516251322273857</v>
      </c>
      <c r="H898" s="10">
        <f t="shared" ref="H898:H961" si="149">$C$14+($C$15-$C$14)/(1+EXP(-G898))</f>
        <v>0.7410868470452554</v>
      </c>
      <c r="I898" s="10">
        <f t="shared" si="141"/>
        <v>2.0721845289038976E-3</v>
      </c>
      <c r="J898" s="20">
        <f t="shared" ref="J898:J961" si="150">G898-($B$22+$B$21*D898)</f>
        <v>0</v>
      </c>
      <c r="K898" s="10">
        <f t="shared" si="142"/>
        <v>1.7952663289339199E-2</v>
      </c>
      <c r="L898" s="10">
        <f t="shared" si="143"/>
        <v>1.077159797360383E-2</v>
      </c>
    </row>
    <row r="899" spans="1:12" x14ac:dyDescent="0.2">
      <c r="A899" s="14">
        <v>0.83399999999999996</v>
      </c>
      <c r="B899" s="10">
        <f t="shared" si="144"/>
        <v>1.6142456140022032</v>
      </c>
      <c r="C899" s="10">
        <f t="shared" si="145"/>
        <v>0.53915803507673588</v>
      </c>
      <c r="D899" s="10">
        <f t="shared" si="146"/>
        <v>4.1193782605148845</v>
      </c>
      <c r="E899" s="10">
        <f t="shared" si="147"/>
        <v>61.520980348543418</v>
      </c>
      <c r="F899" s="10">
        <f t="shared" ref="F899:F962" si="151">E899-E898</f>
        <v>1.100940083319216</v>
      </c>
      <c r="G899" s="10">
        <f t="shared" si="148"/>
        <v>1.0624595831080643</v>
      </c>
      <c r="H899" s="10">
        <f t="shared" si="149"/>
        <v>0.74316029419200058</v>
      </c>
      <c r="I899" s="10">
        <f t="shared" ref="I899:I962" si="152">H899-H898</f>
        <v>2.0734471467451776E-3</v>
      </c>
      <c r="J899" s="20">
        <f t="shared" si="150"/>
        <v>0</v>
      </c>
      <c r="K899" s="10">
        <f t="shared" ref="K899:K962" si="153">D899-D898</f>
        <v>1.8057418134465486E-2</v>
      </c>
      <c r="L899" s="10">
        <f t="shared" ref="L899:L962" si="154">G899-G898</f>
        <v>1.0834450880678581E-2</v>
      </c>
    </row>
    <row r="900" spans="1:12" x14ac:dyDescent="0.2">
      <c r="A900" s="14">
        <v>0.83499999999999996</v>
      </c>
      <c r="B900" s="10">
        <f t="shared" si="144"/>
        <v>1.6214862509502748</v>
      </c>
      <c r="C900" s="10">
        <f t="shared" si="145"/>
        <v>0.54319789406834196</v>
      </c>
      <c r="D900" s="10">
        <f t="shared" si="146"/>
        <v>4.1375415454574567</v>
      </c>
      <c r="E900" s="10">
        <f t="shared" si="147"/>
        <v>62.648613202177572</v>
      </c>
      <c r="F900" s="10">
        <f t="shared" si="151"/>
        <v>1.1276328536341538</v>
      </c>
      <c r="G900" s="10">
        <f t="shared" si="148"/>
        <v>1.073357554073608</v>
      </c>
      <c r="H900" s="10">
        <f t="shared" si="149"/>
        <v>0.74523490522530589</v>
      </c>
      <c r="I900" s="10">
        <f t="shared" si="152"/>
        <v>2.0746110333053069E-3</v>
      </c>
      <c r="J900" s="20">
        <f t="shared" si="150"/>
        <v>0</v>
      </c>
      <c r="K900" s="10">
        <f t="shared" si="153"/>
        <v>1.8163284942572133E-2</v>
      </c>
      <c r="L900" s="10">
        <f t="shared" si="154"/>
        <v>1.089797096554368E-2</v>
      </c>
    </row>
    <row r="901" spans="1:12" x14ac:dyDescent="0.2">
      <c r="A901" s="14">
        <v>0.83599999999999997</v>
      </c>
      <c r="B901" s="10">
        <f t="shared" si="144"/>
        <v>1.6287621852605028</v>
      </c>
      <c r="C901" s="10">
        <f t="shared" si="145"/>
        <v>0.54726409424752887</v>
      </c>
      <c r="D901" s="10">
        <f t="shared" si="146"/>
        <v>4.1558118289526034</v>
      </c>
      <c r="E901" s="10">
        <f t="shared" si="147"/>
        <v>63.80374125248845</v>
      </c>
      <c r="F901" s="10">
        <f t="shared" si="151"/>
        <v>1.1551280503108785</v>
      </c>
      <c r="G901" s="10">
        <f t="shared" si="148"/>
        <v>1.0843197241706961</v>
      </c>
      <c r="H901" s="10">
        <f t="shared" si="149"/>
        <v>0.74731058026262065</v>
      </c>
      <c r="I901" s="10">
        <f t="shared" si="152"/>
        <v>2.0756750373147614E-3</v>
      </c>
      <c r="J901" s="20">
        <f t="shared" si="150"/>
        <v>0</v>
      </c>
      <c r="K901" s="10">
        <f t="shared" si="153"/>
        <v>1.82702834951467E-2</v>
      </c>
      <c r="L901" s="10">
        <f t="shared" si="154"/>
        <v>1.0962170097088109E-2</v>
      </c>
    </row>
    <row r="902" spans="1:12" x14ac:dyDescent="0.2">
      <c r="A902" s="14">
        <v>0.83699999999999997</v>
      </c>
      <c r="B902" s="10">
        <f t="shared" si="144"/>
        <v>1.6360738696827126</v>
      </c>
      <c r="C902" s="10">
        <f t="shared" si="145"/>
        <v>0.55135689408307409</v>
      </c>
      <c r="D902" s="10">
        <f t="shared" si="146"/>
        <v>4.174190263002318</v>
      </c>
      <c r="E902" s="10">
        <f t="shared" si="147"/>
        <v>64.987195813232205</v>
      </c>
      <c r="F902" s="10">
        <f t="shared" si="151"/>
        <v>1.1834545607437548</v>
      </c>
      <c r="G902" s="10">
        <f t="shared" si="148"/>
        <v>1.0953467846005247</v>
      </c>
      <c r="H902" s="10">
        <f t="shared" si="149"/>
        <v>0.74938721827155508</v>
      </c>
      <c r="I902" s="10">
        <f t="shared" si="152"/>
        <v>2.0766380089344283E-3</v>
      </c>
      <c r="J902" s="20">
        <f t="shared" si="150"/>
        <v>0</v>
      </c>
      <c r="K902" s="10">
        <f t="shared" si="153"/>
        <v>1.837843404971462E-2</v>
      </c>
      <c r="L902" s="10">
        <f t="shared" si="154"/>
        <v>1.1027060429828595E-2</v>
      </c>
    </row>
    <row r="903" spans="1:12" x14ac:dyDescent="0.2">
      <c r="A903" s="14">
        <v>0.83799999999999997</v>
      </c>
      <c r="B903" s="10">
        <f t="shared" si="144"/>
        <v>1.6434217652496987</v>
      </c>
      <c r="C903" s="10">
        <f t="shared" si="145"/>
        <v>0.5554765566543981</v>
      </c>
      <c r="D903" s="10">
        <f t="shared" si="146"/>
        <v>4.1926780203566683</v>
      </c>
      <c r="E903" s="10">
        <f t="shared" si="147"/>
        <v>66.199838300984808</v>
      </c>
      <c r="F903" s="10">
        <f t="shared" si="151"/>
        <v>1.2126424877526034</v>
      </c>
      <c r="G903" s="10">
        <f t="shared" si="148"/>
        <v>1.1064394390131345</v>
      </c>
      <c r="H903" s="10">
        <f t="shared" si="149"/>
        <v>0.75146471707161322</v>
      </c>
      <c r="I903" s="10">
        <f t="shared" si="152"/>
        <v>2.0774988000581418E-3</v>
      </c>
      <c r="J903" s="20">
        <f t="shared" si="150"/>
        <v>0</v>
      </c>
      <c r="K903" s="10">
        <f t="shared" si="153"/>
        <v>1.8487757354350265E-2</v>
      </c>
      <c r="L903" s="10">
        <f t="shared" si="154"/>
        <v>1.1092654412609759E-2</v>
      </c>
    </row>
    <row r="904" spans="1:12" x14ac:dyDescent="0.2">
      <c r="A904" s="14">
        <v>0.83899999999999997</v>
      </c>
      <c r="B904" s="10">
        <f t="shared" si="144"/>
        <v>1.650806341482743</v>
      </c>
      <c r="C904" s="10">
        <f t="shared" si="145"/>
        <v>0.55962334976264982</v>
      </c>
      <c r="D904" s="10">
        <f t="shared" si="146"/>
        <v>4.2112762950193998</v>
      </c>
      <c r="E904" s="10">
        <f t="shared" si="147"/>
        <v>67.442561509256393</v>
      </c>
      <c r="F904" s="10">
        <f t="shared" si="151"/>
        <v>1.2427232082715847</v>
      </c>
      <c r="G904" s="10">
        <f t="shared" si="148"/>
        <v>1.1175984038107736</v>
      </c>
      <c r="H904" s="10">
        <f t="shared" si="149"/>
        <v>0.75354297333623677</v>
      </c>
      <c r="I904" s="10">
        <f t="shared" si="152"/>
        <v>2.0782562646235458E-3</v>
      </c>
      <c r="J904" s="20">
        <f t="shared" si="150"/>
        <v>0</v>
      </c>
      <c r="K904" s="10">
        <f t="shared" si="153"/>
        <v>1.8598274662731562E-2</v>
      </c>
      <c r="L904" s="10">
        <f t="shared" si="154"/>
        <v>1.1158964797639115E-2</v>
      </c>
    </row>
    <row r="905" spans="1:12" x14ac:dyDescent="0.2">
      <c r="A905" s="14">
        <v>0.84</v>
      </c>
      <c r="B905" s="10">
        <f t="shared" si="144"/>
        <v>1.6582280766035322</v>
      </c>
      <c r="C905" s="10">
        <f t="shared" si="145"/>
        <v>0.56379754604520094</v>
      </c>
      <c r="D905" s="10">
        <f t="shared" si="146"/>
        <v>4.2299863027691451</v>
      </c>
      <c r="E905" s="10">
        <f t="shared" si="147"/>
        <v>68.716290944499804</v>
      </c>
      <c r="F905" s="10">
        <f t="shared" si="151"/>
        <v>1.2737294352434105</v>
      </c>
      <c r="G905" s="10">
        <f t="shared" si="148"/>
        <v>1.1288244084606209</v>
      </c>
      <c r="H905" s="10">
        <f t="shared" si="149"/>
        <v>0.75562188259515783</v>
      </c>
      <c r="I905" s="10">
        <f t="shared" si="152"/>
        <v>2.0789092589210689E-3</v>
      </c>
      <c r="J905" s="20">
        <f t="shared" si="150"/>
        <v>0</v>
      </c>
      <c r="K905" s="10">
        <f t="shared" si="153"/>
        <v>1.8710007749745294E-2</v>
      </c>
      <c r="L905" s="10">
        <f t="shared" si="154"/>
        <v>1.1226004649847354E-2</v>
      </c>
    </row>
    <row r="906" spans="1:12" x14ac:dyDescent="0.2">
      <c r="A906" s="14">
        <v>0.84099999999999997</v>
      </c>
      <c r="B906" s="10">
        <f t="shared" si="144"/>
        <v>1.6656874577527163</v>
      </c>
      <c r="C906" s="10">
        <f t="shared" si="145"/>
        <v>0.56799942309367624</v>
      </c>
      <c r="D906" s="10">
        <f t="shared" si="146"/>
        <v>4.2488092816968166</v>
      </c>
      <c r="E906" s="10">
        <f t="shared" si="147"/>
        <v>70.021986227414899</v>
      </c>
      <c r="F906" s="10">
        <f t="shared" si="151"/>
        <v>1.3056952829150958</v>
      </c>
      <c r="G906" s="10">
        <f t="shared" si="148"/>
        <v>1.140118195817224</v>
      </c>
      <c r="H906" s="10">
        <f t="shared" si="149"/>
        <v>0.75770133923707106</v>
      </c>
      <c r="I906" s="10">
        <f t="shared" si="152"/>
        <v>2.0794566419132243E-3</v>
      </c>
      <c r="J906" s="20">
        <f t="shared" si="150"/>
        <v>0</v>
      </c>
      <c r="K906" s="10">
        <f t="shared" si="153"/>
        <v>1.8822978927671485E-2</v>
      </c>
      <c r="L906" s="10">
        <f t="shared" si="154"/>
        <v>1.1293787356603024E-2</v>
      </c>
    </row>
    <row r="907" spans="1:12" x14ac:dyDescent="0.2">
      <c r="A907" s="14">
        <v>0.84199999999999997</v>
      </c>
      <c r="B907" s="10">
        <f t="shared" si="144"/>
        <v>1.6731849812153599</v>
      </c>
      <c r="C907" s="10">
        <f t="shared" si="145"/>
        <v>0.57222926357565307</v>
      </c>
      <c r="D907" s="10">
        <f t="shared" si="146"/>
        <v>4.2677464927598043</v>
      </c>
      <c r="E907" s="10">
        <f t="shared" si="147"/>
        <v>71.360642563160255</v>
      </c>
      <c r="F907" s="10">
        <f t="shared" si="151"/>
        <v>1.3386563357453554</v>
      </c>
      <c r="G907" s="10">
        <f t="shared" si="148"/>
        <v>1.1514805224550164</v>
      </c>
      <c r="H907" s="10">
        <f t="shared" si="149"/>
        <v>0.75978123651262319</v>
      </c>
      <c r="I907" s="10">
        <f t="shared" si="152"/>
        <v>2.0798972755521339E-3</v>
      </c>
      <c r="J907" s="20">
        <f t="shared" si="150"/>
        <v>0</v>
      </c>
      <c r="K907" s="10">
        <f t="shared" si="153"/>
        <v>1.8937211062987735E-2</v>
      </c>
      <c r="L907" s="10">
        <f t="shared" si="154"/>
        <v>1.1362326637792464E-2</v>
      </c>
    </row>
    <row r="908" spans="1:12" x14ac:dyDescent="0.2">
      <c r="A908" s="14">
        <v>0.84299999999999997</v>
      </c>
      <c r="B908" s="10">
        <f t="shared" si="144"/>
        <v>1.680721152653547</v>
      </c>
      <c r="C908" s="10">
        <f t="shared" si="145"/>
        <v>0.5764873553601666</v>
      </c>
      <c r="D908" s="10">
        <f t="shared" si="146"/>
        <v>4.2867992203535987</v>
      </c>
      <c r="E908" s="10">
        <f t="shared" si="147"/>
        <v>72.733292284305392</v>
      </c>
      <c r="F908" s="10">
        <f t="shared" si="151"/>
        <v>1.3726497211451374</v>
      </c>
      <c r="G908" s="10">
        <f t="shared" si="148"/>
        <v>1.162912159011293</v>
      </c>
      <c r="H908" s="10">
        <f t="shared" si="149"/>
        <v>0.7618614665377299</v>
      </c>
      <c r="I908" s="10">
        <f t="shared" si="152"/>
        <v>2.0802300251067107E-3</v>
      </c>
      <c r="J908" s="20">
        <f t="shared" si="150"/>
        <v>0</v>
      </c>
      <c r="K908" s="10">
        <f t="shared" si="153"/>
        <v>1.9052727593794394E-2</v>
      </c>
      <c r="L908" s="10">
        <f t="shared" si="154"/>
        <v>1.1431636556276548E-2</v>
      </c>
    </row>
    <row r="909" spans="1:12" x14ac:dyDescent="0.2">
      <c r="A909" s="14">
        <v>0.84399999999999997</v>
      </c>
      <c r="B909" s="10">
        <f t="shared" si="144"/>
        <v>1.6882964873464199</v>
      </c>
      <c r="C909" s="10">
        <f t="shared" si="145"/>
        <v>0.58077399164716836</v>
      </c>
      <c r="D909" s="10">
        <f t="shared" si="146"/>
        <v>4.3059687729015295</v>
      </c>
      <c r="E909" s="10">
        <f t="shared" si="147"/>
        <v>74.141006470598342</v>
      </c>
      <c r="F909" s="10">
        <f t="shared" si="151"/>
        <v>1.4077141862929494</v>
      </c>
      <c r="G909" s="10">
        <f t="shared" si="148"/>
        <v>1.1744138905400514</v>
      </c>
      <c r="H909" s="10">
        <f t="shared" si="149"/>
        <v>0.7639419202972183</v>
      </c>
      <c r="I909" s="10">
        <f t="shared" si="152"/>
        <v>2.0804537594883987E-3</v>
      </c>
      <c r="J909" s="20">
        <f t="shared" si="150"/>
        <v>0</v>
      </c>
      <c r="K909" s="10">
        <f t="shared" si="153"/>
        <v>1.9169552547930735E-2</v>
      </c>
      <c r="L909" s="10">
        <f t="shared" si="154"/>
        <v>1.1501731528758441E-2</v>
      </c>
    </row>
    <row r="910" spans="1:12" x14ac:dyDescent="0.2">
      <c r="A910" s="14">
        <v>0.84499999999999997</v>
      </c>
      <c r="B910" s="10">
        <f t="shared" si="144"/>
        <v>1.695911510437927</v>
      </c>
      <c r="C910" s="10">
        <f t="shared" si="145"/>
        <v>0.58508947110108478</v>
      </c>
      <c r="D910" s="10">
        <f t="shared" si="146"/>
        <v>4.3252564834632761</v>
      </c>
      <c r="E910" s="10">
        <f t="shared" si="147"/>
        <v>75.584896649873656</v>
      </c>
      <c r="F910" s="10">
        <f t="shared" si="151"/>
        <v>1.4438901792753143</v>
      </c>
      <c r="G910" s="10">
        <f t="shared" si="148"/>
        <v>1.1859865168770996</v>
      </c>
      <c r="H910" s="10">
        <f t="shared" si="149"/>
        <v>0.76602248764880176</v>
      </c>
      <c r="I910" s="10">
        <f t="shared" si="152"/>
        <v>2.0805673515834622E-3</v>
      </c>
      <c r="J910" s="20">
        <f t="shared" si="150"/>
        <v>0</v>
      </c>
      <c r="K910" s="10">
        <f t="shared" si="153"/>
        <v>1.9287710561746607E-2</v>
      </c>
      <c r="L910" s="10">
        <f t="shared" si="154"/>
        <v>1.1572626337048142E-2</v>
      </c>
    </row>
    <row r="911" spans="1:12" x14ac:dyDescent="0.2">
      <c r="A911" s="14">
        <v>0.84599999999999997</v>
      </c>
      <c r="B911" s="10">
        <f t="shared" si="144"/>
        <v>1.7035667571925939</v>
      </c>
      <c r="C911" s="10">
        <f t="shared" si="145"/>
        <v>0.58943409798863744</v>
      </c>
      <c r="D911" s="10">
        <f t="shared" si="146"/>
        <v>4.3446637103629158</v>
      </c>
      <c r="E911" s="10">
        <f t="shared" si="147"/>
        <v>77.066116584704531</v>
      </c>
      <c r="F911" s="10">
        <f t="shared" si="151"/>
        <v>1.4812199348308752</v>
      </c>
      <c r="G911" s="10">
        <f t="shared" si="148"/>
        <v>1.1976308530168829</v>
      </c>
      <c r="H911" s="10">
        <f t="shared" si="149"/>
        <v>0.76810305732739081</v>
      </c>
      <c r="I911" s="10">
        <f t="shared" si="152"/>
        <v>2.0805696785890504E-3</v>
      </c>
      <c r="J911" s="20">
        <f t="shared" si="150"/>
        <v>0</v>
      </c>
      <c r="K911" s="10">
        <f t="shared" si="153"/>
        <v>1.9407226899639696E-2</v>
      </c>
      <c r="L911" s="10">
        <f t="shared" si="154"/>
        <v>1.1644336139783329E-2</v>
      </c>
    </row>
    <row r="912" spans="1:12" x14ac:dyDescent="0.2">
      <c r="A912" s="14">
        <v>0.84699999999999998</v>
      </c>
      <c r="B912" s="10">
        <f t="shared" si="144"/>
        <v>1.7112627732596188</v>
      </c>
      <c r="C912" s="10">
        <f t="shared" si="145"/>
        <v>0.59380818232108767</v>
      </c>
      <c r="D912" s="10">
        <f t="shared" si="146"/>
        <v>4.3641918378372324</v>
      </c>
      <c r="E912" s="10">
        <f t="shared" si="147"/>
        <v>78.585864149689243</v>
      </c>
      <c r="F912" s="10">
        <f t="shared" si="151"/>
        <v>1.5197475649847121</v>
      </c>
      <c r="G912" s="10">
        <f t="shared" si="148"/>
        <v>1.2093477295014732</v>
      </c>
      <c r="H912" s="10">
        <f t="shared" si="149"/>
        <v>0.77018351694974119</v>
      </c>
      <c r="I912" s="10">
        <f t="shared" si="152"/>
        <v>2.0804596223503724E-3</v>
      </c>
      <c r="J912" s="20">
        <f t="shared" si="150"/>
        <v>0</v>
      </c>
      <c r="K912" s="10">
        <f t="shared" si="153"/>
        <v>1.9528127474316648E-2</v>
      </c>
      <c r="L912" s="10">
        <f t="shared" si="154"/>
        <v>1.17168764845903E-2</v>
      </c>
    </row>
    <row r="913" spans="1:12" x14ac:dyDescent="0.2">
      <c r="A913" s="14">
        <v>0.84799999999999998</v>
      </c>
      <c r="B913" s="10">
        <f t="shared" si="144"/>
        <v>1.7190001149456264</v>
      </c>
      <c r="C913" s="10">
        <f t="shared" si="145"/>
        <v>0.59821204000107797</v>
      </c>
      <c r="D913" s="10">
        <f t="shared" si="146"/>
        <v>4.3838422767051082</v>
      </c>
      <c r="E913" s="10">
        <f t="shared" si="147"/>
        <v>80.145383304578658</v>
      </c>
      <c r="F913" s="10">
        <f t="shared" si="151"/>
        <v>1.5595191548894149</v>
      </c>
      <c r="G913" s="10">
        <f t="shared" si="148"/>
        <v>1.2211379928221988</v>
      </c>
      <c r="H913" s="10">
        <f t="shared" si="149"/>
        <v>0.77226375301944494</v>
      </c>
      <c r="I913" s="10">
        <f t="shared" si="152"/>
        <v>2.0802360697037559E-3</v>
      </c>
      <c r="J913" s="20">
        <f t="shared" si="150"/>
        <v>0</v>
      </c>
      <c r="K913" s="10">
        <f t="shared" si="153"/>
        <v>1.9650438867875764E-2</v>
      </c>
      <c r="L913" s="10">
        <f t="shared" si="154"/>
        <v>1.1790263320725636E-2</v>
      </c>
    </row>
    <row r="914" spans="1:12" x14ac:dyDescent="0.2">
      <c r="A914" s="14">
        <v>0.84899999999999998</v>
      </c>
      <c r="B914" s="10">
        <f t="shared" si="144"/>
        <v>1.7267793494964228</v>
      </c>
      <c r="C914" s="10">
        <f t="shared" si="145"/>
        <v>0.60264599297425148</v>
      </c>
      <c r="D914" s="10">
        <f t="shared" si="146"/>
        <v>4.4036164650588061</v>
      </c>
      <c r="E914" s="10">
        <f t="shared" si="147"/>
        <v>81.745966168782942</v>
      </c>
      <c r="F914" s="10">
        <f t="shared" si="151"/>
        <v>1.6005828642042843</v>
      </c>
      <c r="G914" s="10">
        <f t="shared" si="148"/>
        <v>1.2330025058344176</v>
      </c>
      <c r="H914" s="10">
        <f t="shared" si="149"/>
        <v>0.77434365093226598</v>
      </c>
      <c r="I914" s="10">
        <f t="shared" si="152"/>
        <v>2.0798979128210382E-3</v>
      </c>
      <c r="J914" s="20">
        <f t="shared" si="150"/>
        <v>0</v>
      </c>
      <c r="K914" s="10">
        <f t="shared" si="153"/>
        <v>1.977418835369793E-2</v>
      </c>
      <c r="L914" s="10">
        <f t="shared" si="154"/>
        <v>1.1864513012218803E-2</v>
      </c>
    </row>
    <row r="915" spans="1:12" x14ac:dyDescent="0.2">
      <c r="A915" s="14">
        <v>0.85</v>
      </c>
      <c r="B915" s="10">
        <f t="shared" si="144"/>
        <v>1.7346010553881064</v>
      </c>
      <c r="C915" s="10">
        <f t="shared" si="145"/>
        <v>0.60711036938583718</v>
      </c>
      <c r="D915" s="10">
        <f t="shared" si="146"/>
        <v>4.4235158689780203</v>
      </c>
      <c r="E915" s="10">
        <f t="shared" si="147"/>
        <v>83.388955203155547</v>
      </c>
      <c r="F915" s="10">
        <f t="shared" si="151"/>
        <v>1.6429890343726044</v>
      </c>
      <c r="G915" s="10">
        <f t="shared" si="148"/>
        <v>1.2449421481859462</v>
      </c>
      <c r="H915" s="10">
        <f t="shared" si="149"/>
        <v>0.77642309498182438</v>
      </c>
      <c r="I915" s="10">
        <f t="shared" si="152"/>
        <v>2.0794440495583988E-3</v>
      </c>
      <c r="J915" s="20">
        <f t="shared" si="150"/>
        <v>0</v>
      </c>
      <c r="K915" s="10">
        <f t="shared" si="153"/>
        <v>1.9899403919214187E-2</v>
      </c>
      <c r="L915" s="10">
        <f t="shared" si="154"/>
        <v>1.1939642351528557E-2</v>
      </c>
    </row>
    <row r="916" spans="1:12" x14ac:dyDescent="0.2">
      <c r="A916" s="14">
        <v>0.85099999999999998</v>
      </c>
      <c r="B916" s="10">
        <f t="shared" si="144"/>
        <v>1.7424658226279148</v>
      </c>
      <c r="C916" s="10">
        <f t="shared" si="145"/>
        <v>0.61160550374239808</v>
      </c>
      <c r="D916" s="10">
        <f t="shared" si="146"/>
        <v>4.443541983267604</v>
      </c>
      <c r="E916" s="10">
        <f t="shared" si="147"/>
        <v>85.075745505336371</v>
      </c>
      <c r="F916" s="10">
        <f t="shared" si="151"/>
        <v>1.6867903021808246</v>
      </c>
      <c r="G916" s="10">
        <f t="shared" si="148"/>
        <v>1.2569578167596964</v>
      </c>
      <c r="H916" s="10">
        <f t="shared" si="149"/>
        <v>0.77850196836562924</v>
      </c>
      <c r="I916" s="10">
        <f t="shared" si="152"/>
        <v>2.0788733838048579E-3</v>
      </c>
      <c r="J916" s="20">
        <f t="shared" si="150"/>
        <v>0</v>
      </c>
      <c r="K916" s="10">
        <f t="shared" si="153"/>
        <v>2.0026114289583674E-2</v>
      </c>
      <c r="L916" s="10">
        <f t="shared" si="154"/>
        <v>1.2015668573750249E-2</v>
      </c>
    </row>
    <row r="917" spans="1:12" x14ac:dyDescent="0.2">
      <c r="A917" s="14">
        <v>0.85199999999999998</v>
      </c>
      <c r="B917" s="10">
        <f t="shared" si="144"/>
        <v>1.7503742530652007</v>
      </c>
      <c r="C917" s="10">
        <f t="shared" si="145"/>
        <v>0.61613173707895064</v>
      </c>
      <c r="D917" s="10">
        <f t="shared" si="146"/>
        <v>4.463696332219925</v>
      </c>
      <c r="E917" s="10">
        <f t="shared" si="147"/>
        <v>86.807787225347184</v>
      </c>
      <c r="F917" s="10">
        <f t="shared" si="151"/>
        <v>1.7320417200108125</v>
      </c>
      <c r="G917" s="10">
        <f t="shared" si="148"/>
        <v>1.2690504261310886</v>
      </c>
      <c r="H917" s="10">
        <f t="shared" si="149"/>
        <v>0.78058015319146856</v>
      </c>
      <c r="I917" s="10">
        <f t="shared" si="152"/>
        <v>2.0781848258393243E-3</v>
      </c>
      <c r="J917" s="20">
        <f t="shared" si="150"/>
        <v>0</v>
      </c>
      <c r="K917" s="10">
        <f t="shared" si="153"/>
        <v>2.0154348952321044E-2</v>
      </c>
      <c r="L917" s="10">
        <f t="shared" si="154"/>
        <v>1.2092609371392227E-2</v>
      </c>
    </row>
    <row r="918" spans="1:12" x14ac:dyDescent="0.2">
      <c r="A918" s="14">
        <v>0.85299999999999998</v>
      </c>
      <c r="B918" s="10">
        <f t="shared" si="144"/>
        <v>1.7583269607129426</v>
      </c>
      <c r="C918" s="10">
        <f t="shared" si="145"/>
        <v>0.6206894171316687</v>
      </c>
      <c r="D918" s="10">
        <f t="shared" si="146"/>
        <v>4.4839804704028321</v>
      </c>
      <c r="E918" s="10">
        <f t="shared" si="147"/>
        <v>88.58658810857321</v>
      </c>
      <c r="F918" s="10">
        <f t="shared" si="151"/>
        <v>1.778800883226026</v>
      </c>
      <c r="G918" s="10">
        <f t="shared" si="148"/>
        <v>1.2812209090408333</v>
      </c>
      <c r="H918" s="10">
        <f t="shared" si="149"/>
        <v>0.7826575304841511</v>
      </c>
      <c r="I918" s="10">
        <f t="shared" si="152"/>
        <v>2.0773772926825362E-3</v>
      </c>
      <c r="J918" s="20">
        <f t="shared" si="150"/>
        <v>0</v>
      </c>
      <c r="K918" s="10">
        <f t="shared" si="153"/>
        <v>2.0284138182907085E-2</v>
      </c>
      <c r="L918" s="10">
        <f t="shared" si="154"/>
        <v>1.2170482909744651E-2</v>
      </c>
    </row>
    <row r="919" spans="1:12" x14ac:dyDescent="0.2">
      <c r="A919" s="14">
        <v>0.85399999999999998</v>
      </c>
      <c r="B919" s="10">
        <f t="shared" si="144"/>
        <v>1.7663245720802332</v>
      </c>
      <c r="C919" s="10">
        <f t="shared" si="145"/>
        <v>0.6252788985164025</v>
      </c>
      <c r="D919" s="10">
        <f t="shared" si="146"/>
        <v>4.5043959834743106</v>
      </c>
      <c r="E919" s="10">
        <f t="shared" si="147"/>
        <v>90.413716173742372</v>
      </c>
      <c r="F919" s="10">
        <f t="shared" si="151"/>
        <v>1.8271280651691626</v>
      </c>
      <c r="G919" s="10">
        <f t="shared" si="148"/>
        <v>1.2934702168837202</v>
      </c>
      <c r="H919" s="10">
        <f t="shared" si="149"/>
        <v>0.78473398019260998</v>
      </c>
      <c r="I919" s="10">
        <f t="shared" si="152"/>
        <v>2.0764497084588829E-3</v>
      </c>
      <c r="J919" s="20">
        <f t="shared" si="150"/>
        <v>0</v>
      </c>
      <c r="K919" s="10">
        <f t="shared" si="153"/>
        <v>2.0415513071478486E-2</v>
      </c>
      <c r="L919" s="10">
        <f t="shared" si="154"/>
        <v>1.2249307842886914E-2</v>
      </c>
    </row>
    <row r="920" spans="1:12" x14ac:dyDescent="0.2">
      <c r="A920" s="14">
        <v>0.85499999999999998</v>
      </c>
      <c r="B920" s="10">
        <f t="shared" si="144"/>
        <v>1.7743677265161857</v>
      </c>
      <c r="C920" s="10">
        <f t="shared" si="145"/>
        <v>0.62990054291324593</v>
      </c>
      <c r="D920" s="10">
        <f t="shared" si="146"/>
        <v>4.5249444890248665</v>
      </c>
      <c r="E920" s="10">
        <f t="shared" si="147"/>
        <v>92.290802534015114</v>
      </c>
      <c r="F920" s="10">
        <f t="shared" si="151"/>
        <v>1.8770863602727417</v>
      </c>
      <c r="G920" s="10">
        <f t="shared" si="148"/>
        <v>1.3057993202140539</v>
      </c>
      <c r="H920" s="10">
        <f t="shared" si="149"/>
        <v>0.78680938119736432</v>
      </c>
      <c r="I920" s="10">
        <f t="shared" si="152"/>
        <v>2.0754010047543403E-3</v>
      </c>
      <c r="J920" s="20">
        <f t="shared" si="150"/>
        <v>0</v>
      </c>
      <c r="K920" s="10">
        <f t="shared" si="153"/>
        <v>2.0548505550555873E-2</v>
      </c>
      <c r="L920" s="10">
        <f t="shared" si="154"/>
        <v>1.2329103330333657E-2</v>
      </c>
    </row>
    <row r="921" spans="1:12" x14ac:dyDescent="0.2">
      <c r="A921" s="14">
        <v>0.85599999999999998</v>
      </c>
      <c r="B921" s="10">
        <f t="shared" si="144"/>
        <v>1.7824570765657413</v>
      </c>
      <c r="C921" s="10">
        <f t="shared" si="145"/>
        <v>0.63455471925740381</v>
      </c>
      <c r="D921" s="10">
        <f t="shared" si="146"/>
        <v>4.5456276374488382</v>
      </c>
      <c r="E921" s="10">
        <f t="shared" si="147"/>
        <v>94.219544369853267</v>
      </c>
      <c r="F921" s="10">
        <f t="shared" si="151"/>
        <v>1.928741835838153</v>
      </c>
      <c r="G921" s="10">
        <f t="shared" si="148"/>
        <v>1.3182092092684365</v>
      </c>
      <c r="H921" s="10">
        <f t="shared" si="149"/>
        <v>0.78888361131834306</v>
      </c>
      <c r="I921" s="10">
        <f t="shared" si="152"/>
        <v>2.0742301209787373E-3</v>
      </c>
      <c r="J921" s="20">
        <f t="shared" si="150"/>
        <v>0</v>
      </c>
      <c r="K921" s="10">
        <f t="shared" si="153"/>
        <v>2.0683148423971787E-2</v>
      </c>
      <c r="L921" s="10">
        <f t="shared" si="154"/>
        <v>1.2409889054382672E-2</v>
      </c>
    </row>
    <row r="922" spans="1:12" x14ac:dyDescent="0.2">
      <c r="A922" s="14">
        <v>0.85699999999999998</v>
      </c>
      <c r="B922" s="10">
        <f t="shared" si="144"/>
        <v>1.7905932883378723</v>
      </c>
      <c r="C922" s="10">
        <f t="shared" si="145"/>
        <v>0.63924180393662045</v>
      </c>
      <c r="D922" s="10">
        <f t="shared" si="146"/>
        <v>4.5664471128458057</v>
      </c>
      <c r="E922" s="10">
        <f t="shared" si="147"/>
        <v>96.201708062916168</v>
      </c>
      <c r="F922" s="10">
        <f t="shared" si="151"/>
        <v>1.9821636930629012</v>
      </c>
      <c r="G922" s="10">
        <f t="shared" si="148"/>
        <v>1.3307008945066174</v>
      </c>
      <c r="H922" s="10">
        <f t="shared" si="149"/>
        <v>0.79095654732307541</v>
      </c>
      <c r="I922" s="10">
        <f t="shared" si="152"/>
        <v>2.0729360047323508E-3</v>
      </c>
      <c r="J922" s="20">
        <f t="shared" si="150"/>
        <v>0</v>
      </c>
      <c r="K922" s="10">
        <f t="shared" si="153"/>
        <v>2.0819475396967491E-2</v>
      </c>
      <c r="L922" s="10">
        <f t="shared" si="154"/>
        <v>1.2491685238180894E-2</v>
      </c>
    </row>
    <row r="923" spans="1:12" x14ac:dyDescent="0.2">
      <c r="A923" s="14">
        <v>0.85799999999999998</v>
      </c>
      <c r="B923" s="10">
        <f t="shared" si="144"/>
        <v>1.7987770418867015</v>
      </c>
      <c r="C923" s="10">
        <f t="shared" si="145"/>
        <v>0.64396218099543912</v>
      </c>
      <c r="D923" s="10">
        <f t="shared" si="146"/>
        <v>4.5874046339533665</v>
      </c>
      <c r="E923" s="10">
        <f t="shared" si="147"/>
        <v>98.23913250086764</v>
      </c>
      <c r="F923" s="10">
        <f t="shared" si="151"/>
        <v>2.0374244379514721</v>
      </c>
      <c r="G923" s="10">
        <f t="shared" si="148"/>
        <v>1.3432754071711539</v>
      </c>
      <c r="H923" s="10">
        <f t="shared" si="149"/>
        <v>0.79302806493524225</v>
      </c>
      <c r="I923" s="10">
        <f t="shared" si="152"/>
        <v>2.0715176121668399E-3</v>
      </c>
      <c r="J923" s="20">
        <f t="shared" si="150"/>
        <v>0</v>
      </c>
      <c r="K923" s="10">
        <f t="shared" si="153"/>
        <v>2.0957521107560773E-2</v>
      </c>
      <c r="L923" s="10">
        <f t="shared" si="154"/>
        <v>1.2574512664536464E-2</v>
      </c>
    </row>
    <row r="924" spans="1:12" x14ac:dyDescent="0.2">
      <c r="A924" s="14">
        <v>0.85899999999999999</v>
      </c>
      <c r="B924" s="10">
        <f t="shared" si="144"/>
        <v>1.8070090316060869</v>
      </c>
      <c r="C924" s="10">
        <f t="shared" si="145"/>
        <v>0.6487162423465852</v>
      </c>
      <c r="D924" s="10">
        <f t="shared" si="146"/>
        <v>4.6085019551126027</v>
      </c>
      <c r="E924" s="10">
        <f t="shared" si="147"/>
        <v>100.33373256365522</v>
      </c>
      <c r="F924" s="10">
        <f t="shared" si="151"/>
        <v>2.0946000627875776</v>
      </c>
      <c r="G924" s="10">
        <f t="shared" si="148"/>
        <v>1.3559337998666956</v>
      </c>
      <c r="H924" s="10">
        <f t="shared" si="149"/>
        <v>0.79509803884359875</v>
      </c>
      <c r="I924" s="10">
        <f t="shared" si="152"/>
        <v>2.0699739083565039E-3</v>
      </c>
      <c r="J924" s="20">
        <f t="shared" si="150"/>
        <v>0</v>
      </c>
      <c r="K924" s="10">
        <f t="shared" si="153"/>
        <v>2.1097321159236238E-2</v>
      </c>
      <c r="L924" s="10">
        <f t="shared" si="154"/>
        <v>1.2658392695541698E-2</v>
      </c>
    </row>
    <row r="925" spans="1:12" x14ac:dyDescent="0.2">
      <c r="A925" s="14">
        <v>0.86</v>
      </c>
      <c r="B925" s="10">
        <f t="shared" si="144"/>
        <v>1.8152899666382489</v>
      </c>
      <c r="C925" s="10">
        <f t="shared" si="145"/>
        <v>0.65350438798976962</v>
      </c>
      <c r="D925" s="10">
        <f t="shared" si="146"/>
        <v>4.6297408672676248</v>
      </c>
      <c r="E925" s="10">
        <f t="shared" si="147"/>
        <v>102.48750280255442</v>
      </c>
      <c r="F925" s="10">
        <f t="shared" si="151"/>
        <v>2.1537702388991988</v>
      </c>
      <c r="G925" s="10">
        <f t="shared" si="148"/>
        <v>1.368677147159709</v>
      </c>
      <c r="H925" s="10">
        <f t="shared" si="149"/>
        <v>0.79716634271126174</v>
      </c>
      <c r="I925" s="10">
        <f t="shared" si="152"/>
        <v>2.0683038676629906E-3</v>
      </c>
      <c r="J925" s="20">
        <f t="shared" si="150"/>
        <v>0</v>
      </c>
      <c r="K925" s="10">
        <f t="shared" si="153"/>
        <v>2.1238912155022049E-2</v>
      </c>
      <c r="L925" s="10">
        <f t="shared" si="154"/>
        <v>1.2743347293013407E-2</v>
      </c>
    </row>
    <row r="926" spans="1:12" x14ac:dyDescent="0.2">
      <c r="A926" s="14">
        <v>0.86099999999999999</v>
      </c>
      <c r="B926" s="10">
        <f t="shared" si="144"/>
        <v>1.823620571297039</v>
      </c>
      <c r="C926" s="10">
        <f t="shared" si="145"/>
        <v>0.65832702623823103</v>
      </c>
      <c r="D926" s="10">
        <f t="shared" si="146"/>
        <v>4.6511231990006525</v>
      </c>
      <c r="E926" s="10">
        <f t="shared" si="147"/>
        <v>104.70252132405773</v>
      </c>
      <c r="F926" s="10">
        <f t="shared" si="151"/>
        <v>2.2150185215033105</v>
      </c>
      <c r="G926" s="10">
        <f t="shared" si="148"/>
        <v>1.3815065461995253</v>
      </c>
      <c r="H926" s="10">
        <f t="shared" si="149"/>
        <v>0.79923284918536686</v>
      </c>
      <c r="I926" s="10">
        <f t="shared" si="152"/>
        <v>2.066506474105112E-3</v>
      </c>
      <c r="J926" s="20">
        <f t="shared" si="150"/>
        <v>0</v>
      </c>
      <c r="K926" s="10">
        <f t="shared" si="153"/>
        <v>2.1382331733027726E-2</v>
      </c>
      <c r="L926" s="10">
        <f t="shared" si="154"/>
        <v>1.282939903981628E-2</v>
      </c>
    </row>
    <row r="927" spans="1:12" x14ac:dyDescent="0.2">
      <c r="A927" s="14">
        <v>0.86199999999999999</v>
      </c>
      <c r="B927" s="10">
        <f t="shared" si="144"/>
        <v>1.8320015855064884</v>
      </c>
      <c r="C927" s="10">
        <f t="shared" si="145"/>
        <v>0.66318457395334873</v>
      </c>
      <c r="D927" s="10">
        <f t="shared" si="146"/>
        <v>4.6726508176041568</v>
      </c>
      <c r="E927" s="10">
        <f t="shared" si="147"/>
        <v>106.98095389153531</v>
      </c>
      <c r="F927" s="10">
        <f t="shared" si="151"/>
        <v>2.2784325674775801</v>
      </c>
      <c r="G927" s="10">
        <f t="shared" si="148"/>
        <v>1.3944231173616279</v>
      </c>
      <c r="H927" s="10">
        <f t="shared" si="149"/>
        <v>0.80129742990709429</v>
      </c>
      <c r="I927" s="10">
        <f t="shared" si="152"/>
        <v>2.0645807217274381E-3</v>
      </c>
      <c r="J927" s="20">
        <f t="shared" si="150"/>
        <v>0</v>
      </c>
      <c r="K927" s="10">
        <f t="shared" si="153"/>
        <v>2.1527618603504273E-2</v>
      </c>
      <c r="L927" s="10">
        <f t="shared" si="154"/>
        <v>1.2916571162102652E-2</v>
      </c>
    </row>
    <row r="928" spans="1:12" x14ac:dyDescent="0.2">
      <c r="A928" s="14">
        <v>0.86299999999999999</v>
      </c>
      <c r="B928" s="10">
        <f t="shared" si="144"/>
        <v>1.8404337652553029</v>
      </c>
      <c r="C928" s="10">
        <f t="shared" si="145"/>
        <v>0.66807745678767494</v>
      </c>
      <c r="D928" s="10">
        <f t="shared" si="146"/>
        <v>4.6943256301916856</v>
      </c>
      <c r="E928" s="10">
        <f t="shared" si="147"/>
        <v>109.3250582585101</v>
      </c>
      <c r="F928" s="10">
        <f t="shared" si="151"/>
        <v>2.3441043669747899</v>
      </c>
      <c r="G928" s="10">
        <f t="shared" si="148"/>
        <v>1.4074280049141448</v>
      </c>
      <c r="H928" s="10">
        <f t="shared" si="149"/>
        <v>0.80335995552206463</v>
      </c>
      <c r="I928" s="10">
        <f t="shared" si="152"/>
        <v>2.0625256149703342E-3</v>
      </c>
      <c r="J928" s="20">
        <f t="shared" si="150"/>
        <v>0</v>
      </c>
      <c r="K928" s="10">
        <f t="shared" si="153"/>
        <v>2.1674812587528791E-2</v>
      </c>
      <c r="L928" s="10">
        <f t="shared" si="154"/>
        <v>1.3004887552516831E-2</v>
      </c>
    </row>
    <row r="929" spans="1:12" x14ac:dyDescent="0.2">
      <c r="A929" s="14">
        <v>0.86399999999999999</v>
      </c>
      <c r="B929" s="10">
        <f t="shared" si="144"/>
        <v>1.8489178830680035</v>
      </c>
      <c r="C929" s="10">
        <f t="shared" si="145"/>
        <v>0.67300610943675332</v>
      </c>
      <c r="D929" s="10">
        <f t="shared" si="146"/>
        <v>4.7161495848490453</v>
      </c>
      <c r="E929" s="10">
        <f t="shared" si="147"/>
        <v>111.73718874837263</v>
      </c>
      <c r="F929" s="10">
        <f t="shared" si="151"/>
        <v>2.412130489862534</v>
      </c>
      <c r="G929" s="10">
        <f t="shared" si="148"/>
        <v>1.4205223777085607</v>
      </c>
      <c r="H929" s="10">
        <f t="shared" si="149"/>
        <v>0.80542029569110329</v>
      </c>
      <c r="I929" s="10">
        <f t="shared" si="152"/>
        <v>2.0603401690386658E-3</v>
      </c>
      <c r="J929" s="20">
        <f t="shared" si="150"/>
        <v>0</v>
      </c>
      <c r="K929" s="10">
        <f t="shared" si="153"/>
        <v>2.1823954657359756E-2</v>
      </c>
      <c r="L929" s="10">
        <f t="shared" si="154"/>
        <v>1.3094372794415943E-2</v>
      </c>
    </row>
    <row r="930" spans="1:12" x14ac:dyDescent="0.2">
      <c r="A930" s="14">
        <v>0.86499999999999999</v>
      </c>
      <c r="B930" s="10">
        <f t="shared" si="144"/>
        <v>1.8574547284934497</v>
      </c>
      <c r="C930" s="10">
        <f t="shared" si="145"/>
        <v>0.67797097590010913</v>
      </c>
      <c r="D930" s="10">
        <f t="shared" si="146"/>
        <v>4.7381246718276318</v>
      </c>
      <c r="E930" s="10">
        <f t="shared" si="147"/>
        <v>114.21980109642749</v>
      </c>
      <c r="F930" s="10">
        <f t="shared" si="151"/>
        <v>2.4826123480548574</v>
      </c>
      <c r="G930" s="10">
        <f t="shared" si="148"/>
        <v>1.4337074298957131</v>
      </c>
      <c r="H930" s="10">
        <f t="shared" si="149"/>
        <v>0.80747831910137458</v>
      </c>
      <c r="I930" s="10">
        <f t="shared" si="152"/>
        <v>2.0580234102712813E-3</v>
      </c>
      <c r="J930" s="20">
        <f t="shared" si="150"/>
        <v>0</v>
      </c>
      <c r="K930" s="10">
        <f t="shared" si="153"/>
        <v>2.1975086978586411E-2</v>
      </c>
      <c r="L930" s="10">
        <f t="shared" si="154"/>
        <v>1.318505218715238E-2</v>
      </c>
    </row>
    <row r="931" spans="1:12" x14ac:dyDescent="0.2">
      <c r="A931" s="14">
        <v>0.86599999999999999</v>
      </c>
      <c r="B931" s="10">
        <f t="shared" si="144"/>
        <v>1.8660451086115237</v>
      </c>
      <c r="C931" s="10">
        <f t="shared" si="145"/>
        <v>0.68297250975181767</v>
      </c>
      <c r="D931" s="10">
        <f t="shared" si="146"/>
        <v>4.7602529247817778</v>
      </c>
      <c r="E931" s="10">
        <f t="shared" si="147"/>
        <v>116.77545757130981</v>
      </c>
      <c r="F931" s="10">
        <f t="shared" si="151"/>
        <v>2.5556564748823263</v>
      </c>
      <c r="G931" s="10">
        <f t="shared" si="148"/>
        <v>1.4469843816682002</v>
      </c>
      <c r="H931" s="10">
        <f t="shared" si="149"/>
        <v>0.80953389347788474</v>
      </c>
      <c r="I931" s="10">
        <f t="shared" si="152"/>
        <v>2.0555743765101608E-3</v>
      </c>
      <c r="J931" s="20">
        <f t="shared" si="150"/>
        <v>0</v>
      </c>
      <c r="K931" s="10">
        <f t="shared" si="153"/>
        <v>2.2128252954145999E-2</v>
      </c>
      <c r="L931" s="10">
        <f t="shared" si="154"/>
        <v>1.3276951772487111E-2</v>
      </c>
    </row>
    <row r="932" spans="1:12" x14ac:dyDescent="0.2">
      <c r="A932" s="14">
        <v>0.86699999999999999</v>
      </c>
      <c r="B932" s="10">
        <f t="shared" si="144"/>
        <v>1.8746898485587882</v>
      </c>
      <c r="C932" s="10">
        <f t="shared" si="145"/>
        <v>0.68801117442107529</v>
      </c>
      <c r="D932" s="10">
        <f t="shared" si="146"/>
        <v>4.7825364220520683</v>
      </c>
      <c r="E932" s="10">
        <f t="shared" si="147"/>
        <v>119.40683239404852</v>
      </c>
      <c r="F932" s="10">
        <f t="shared" si="151"/>
        <v>2.6313748227387066</v>
      </c>
      <c r="G932" s="10">
        <f t="shared" si="148"/>
        <v>1.4603544800303749</v>
      </c>
      <c r="H932" s="10">
        <f t="shared" si="149"/>
        <v>0.8115868855953523</v>
      </c>
      <c r="I932" s="10">
        <f t="shared" si="152"/>
        <v>2.0529921174675669E-3</v>
      </c>
      <c r="J932" s="20">
        <f t="shared" si="150"/>
        <v>0</v>
      </c>
      <c r="K932" s="10">
        <f t="shared" si="153"/>
        <v>2.2283497270290553E-2</v>
      </c>
      <c r="L932" s="10">
        <f t="shared" si="154"/>
        <v>1.3370098362174732E-2</v>
      </c>
    </row>
    <row r="933" spans="1:12" x14ac:dyDescent="0.2">
      <c r="A933" s="14">
        <v>0.86799999999999999</v>
      </c>
      <c r="B933" s="10">
        <f t="shared" si="144"/>
        <v>1.8833897920739793</v>
      </c>
      <c r="C933" s="10">
        <f t="shared" si="145"/>
        <v>0.69308744348322437</v>
      </c>
      <c r="D933" s="10">
        <f t="shared" si="146"/>
        <v>4.8049772879967234</v>
      </c>
      <c r="E933" s="10">
        <f t="shared" si="147"/>
        <v>122.11671747439838</v>
      </c>
      <c r="F933" s="10">
        <f t="shared" si="151"/>
        <v>2.7098850803498635</v>
      </c>
      <c r="G933" s="10">
        <f t="shared" si="148"/>
        <v>1.473818999597168</v>
      </c>
      <c r="H933" s="10">
        <f t="shared" si="149"/>
        <v>0.81363716129044494</v>
      </c>
      <c r="I933" s="10">
        <f t="shared" si="152"/>
        <v>2.0502756950926404E-3</v>
      </c>
      <c r="J933" s="20">
        <f t="shared" si="150"/>
        <v>0</v>
      </c>
      <c r="K933" s="10">
        <f t="shared" si="153"/>
        <v>2.2440865944655108E-2</v>
      </c>
      <c r="L933" s="10">
        <f t="shared" si="154"/>
        <v>1.3464519566793065E-2</v>
      </c>
    </row>
    <row r="934" spans="1:12" x14ac:dyDescent="0.2">
      <c r="A934" s="14">
        <v>0.86899999999999999</v>
      </c>
      <c r="B934" s="10">
        <f t="shared" si="144"/>
        <v>1.8921458020642403</v>
      </c>
      <c r="C934" s="10">
        <f t="shared" si="145"/>
        <v>0.6982018009617047</v>
      </c>
      <c r="D934" s="10">
        <f t="shared" si="146"/>
        <v>4.8275776943732076</v>
      </c>
      <c r="E934" s="10">
        <f t="shared" si="147"/>
        <v>124.90802848550697</v>
      </c>
      <c r="F934" s="10">
        <f t="shared" si="151"/>
        <v>2.7913110111085899</v>
      </c>
      <c r="G934" s="10">
        <f t="shared" si="148"/>
        <v>1.4873792434230584</v>
      </c>
      <c r="H934" s="10">
        <f t="shared" si="149"/>
        <v>0.81568458547438283</v>
      </c>
      <c r="I934" s="10">
        <f t="shared" si="152"/>
        <v>2.0474241839378848E-3</v>
      </c>
      <c r="J934" s="20">
        <f t="shared" si="150"/>
        <v>0</v>
      </c>
      <c r="K934" s="10">
        <f t="shared" si="153"/>
        <v>2.2600406376484194E-2</v>
      </c>
      <c r="L934" s="10">
        <f t="shared" si="154"/>
        <v>1.3560243825890383E-2</v>
      </c>
    </row>
    <row r="935" spans="1:12" x14ac:dyDescent="0.2">
      <c r="A935" s="14">
        <v>0.87</v>
      </c>
      <c r="B935" s="10">
        <f t="shared" si="144"/>
        <v>1.900958761193047</v>
      </c>
      <c r="C935" s="10">
        <f t="shared" si="145"/>
        <v>0.70335474164142742</v>
      </c>
      <c r="D935" s="10">
        <f t="shared" si="146"/>
        <v>4.8503398617723681</v>
      </c>
      <c r="E935" s="10">
        <f t="shared" si="147"/>
        <v>127.78381129955304</v>
      </c>
      <c r="F935" s="10">
        <f t="shared" si="151"/>
        <v>2.8757828140460617</v>
      </c>
      <c r="G935" s="10">
        <f t="shared" si="148"/>
        <v>1.5010365438625546</v>
      </c>
      <c r="H935" s="10">
        <f t="shared" si="149"/>
        <v>0.81772902214590448</v>
      </c>
      <c r="I935" s="10">
        <f t="shared" si="152"/>
        <v>2.0444366715216544E-3</v>
      </c>
      <c r="J935" s="20">
        <f t="shared" si="150"/>
        <v>0</v>
      </c>
      <c r="K935" s="10">
        <f t="shared" si="153"/>
        <v>2.2762167399160482E-2</v>
      </c>
      <c r="L935" s="10">
        <f t="shared" si="154"/>
        <v>1.3657300439496201E-2</v>
      </c>
    </row>
    <row r="936" spans="1:12" x14ac:dyDescent="0.2">
      <c r="A936" s="14">
        <v>0.871</v>
      </c>
      <c r="B936" s="10">
        <f t="shared" si="144"/>
        <v>1.9098295724908305</v>
      </c>
      <c r="C936" s="10">
        <f t="shared" si="145"/>
        <v>0.70854677139409816</v>
      </c>
      <c r="D936" s="10">
        <f t="shared" si="146"/>
        <v>4.8732660611075262</v>
      </c>
      <c r="E936" s="10">
        <f t="shared" si="147"/>
        <v>130.74724880869124</v>
      </c>
      <c r="F936" s="10">
        <f t="shared" si="151"/>
        <v>2.9634375091382026</v>
      </c>
      <c r="G936" s="10">
        <f t="shared" si="148"/>
        <v>1.5147922634636493</v>
      </c>
      <c r="H936" s="10">
        <f t="shared" si="149"/>
        <v>0.81977033440459368</v>
      </c>
      <c r="I936" s="10">
        <f t="shared" si="152"/>
        <v>2.0413122586891985E-3</v>
      </c>
      <c r="J936" s="20">
        <f t="shared" si="150"/>
        <v>0</v>
      </c>
      <c r="K936" s="10">
        <f t="shared" si="153"/>
        <v>2.2926199335158159E-2</v>
      </c>
      <c r="L936" s="10">
        <f t="shared" si="154"/>
        <v>1.3755719601094674E-2</v>
      </c>
    </row>
    <row r="937" spans="1:12" x14ac:dyDescent="0.2">
      <c r="A937" s="14">
        <v>0.872</v>
      </c>
      <c r="B937" s="10">
        <f t="shared" si="144"/>
        <v>1.9187591599893625</v>
      </c>
      <c r="C937" s="10">
        <f t="shared" si="145"/>
        <v>0.71377840751604282</v>
      </c>
      <c r="D937" s="10">
        <f t="shared" si="146"/>
        <v>4.8963586151610796</v>
      </c>
      <c r="E937" s="10">
        <f t="shared" si="147"/>
        <v>133.80166815747694</v>
      </c>
      <c r="F937" s="10">
        <f t="shared" si="151"/>
        <v>3.0544193487857001</v>
      </c>
      <c r="G937" s="10">
        <f t="shared" si="148"/>
        <v>1.5286477958957818</v>
      </c>
      <c r="H937" s="10">
        <f t="shared" si="149"/>
        <v>0.82180838446456661</v>
      </c>
      <c r="I937" s="10">
        <f t="shared" si="152"/>
        <v>2.038050059972929E-3</v>
      </c>
      <c r="J937" s="20">
        <f t="shared" si="150"/>
        <v>0</v>
      </c>
      <c r="K937" s="10">
        <f t="shared" si="153"/>
        <v>2.3092554053553371E-2</v>
      </c>
      <c r="L937" s="10">
        <f t="shared" si="154"/>
        <v>1.3855532432132556E-2</v>
      </c>
    </row>
    <row r="938" spans="1:12" x14ac:dyDescent="0.2">
      <c r="A938" s="14">
        <v>0.873</v>
      </c>
      <c r="B938" s="10">
        <f t="shared" si="144"/>
        <v>1.927748469381011</v>
      </c>
      <c r="C938" s="10">
        <f t="shared" si="145"/>
        <v>0.71905017907911706</v>
      </c>
      <c r="D938" s="10">
        <f t="shared" si="146"/>
        <v>4.9196199001912948</v>
      </c>
      <c r="E938" s="10">
        <f t="shared" si="147"/>
        <v>136.95054841493641</v>
      </c>
      <c r="F938" s="10">
        <f t="shared" si="151"/>
        <v>3.1488802574594672</v>
      </c>
      <c r="G938" s="10">
        <f t="shared" si="148"/>
        <v>1.5426045669139108</v>
      </c>
      <c r="H938" s="10">
        <f t="shared" si="149"/>
        <v>0.82384303366851419</v>
      </c>
      <c r="I938" s="10">
        <f t="shared" si="152"/>
        <v>2.0346492039475805E-3</v>
      </c>
      <c r="J938" s="20">
        <f t="shared" si="150"/>
        <v>0</v>
      </c>
      <c r="K938" s="10">
        <f t="shared" si="153"/>
        <v>2.3261285030215184E-2</v>
      </c>
      <c r="L938" s="10">
        <f t="shared" si="154"/>
        <v>1.3956771018128977E-2</v>
      </c>
    </row>
    <row r="939" spans="1:12" x14ac:dyDescent="0.2">
      <c r="A939" s="14">
        <v>0.874</v>
      </c>
      <c r="B939" s="10">
        <f t="shared" si="144"/>
        <v>1.9367984687040576</v>
      </c>
      <c r="C939" s="10">
        <f t="shared" si="145"/>
        <v>0.72436262729531753</v>
      </c>
      <c r="D939" s="10">
        <f t="shared" si="146"/>
        <v>4.9430523476021397</v>
      </c>
      <c r="E939" s="10">
        <f t="shared" si="147"/>
        <v>140.19752871661206</v>
      </c>
      <c r="F939" s="10">
        <f t="shared" si="151"/>
        <v>3.2469803016756487</v>
      </c>
      <c r="G939" s="10">
        <f t="shared" si="148"/>
        <v>1.5566640353604175</v>
      </c>
      <c r="H939" s="10">
        <f t="shared" si="149"/>
        <v>0.82587414250209745</v>
      </c>
      <c r="I939" s="10">
        <f t="shared" si="152"/>
        <v>2.0311088335832617E-3</v>
      </c>
      <c r="J939" s="20">
        <f t="shared" si="150"/>
        <v>0</v>
      </c>
      <c r="K939" s="10">
        <f t="shared" si="153"/>
        <v>2.3432447410844937E-2</v>
      </c>
      <c r="L939" s="10">
        <f t="shared" si="154"/>
        <v>1.405946844650674E-2</v>
      </c>
    </row>
    <row r="940" spans="1:12" x14ac:dyDescent="0.2">
      <c r="A940" s="14">
        <v>0.875</v>
      </c>
      <c r="B940" s="10">
        <f t="shared" si="144"/>
        <v>1.9459101490553132</v>
      </c>
      <c r="C940" s="10">
        <f t="shared" si="145"/>
        <v>0.72971630589574243</v>
      </c>
      <c r="D940" s="10">
        <f t="shared" si="146"/>
        <v>4.9666584456791529</v>
      </c>
      <c r="E940" s="10">
        <f t="shared" si="147"/>
        <v>143.54641690925783</v>
      </c>
      <c r="F940" s="10">
        <f t="shared" si="151"/>
        <v>3.3488881926457736</v>
      </c>
      <c r="G940" s="10">
        <f t="shared" si="148"/>
        <v>1.5708276942066255</v>
      </c>
      <c r="H940" s="10">
        <f t="shared" si="149"/>
        <v>0.82790157060869296</v>
      </c>
      <c r="I940" s="10">
        <f t="shared" si="152"/>
        <v>2.027428106595508E-3</v>
      </c>
      <c r="J940" s="20">
        <f t="shared" si="150"/>
        <v>0</v>
      </c>
      <c r="K940" s="10">
        <f t="shared" si="153"/>
        <v>2.3606098077013193E-2</v>
      </c>
      <c r="L940" s="10">
        <f t="shared" si="154"/>
        <v>1.416365884620796E-2</v>
      </c>
    </row>
    <row r="941" spans="1:12" x14ac:dyDescent="0.2">
      <c r="A941" s="14">
        <v>0.876</v>
      </c>
      <c r="B941" s="10">
        <f t="shared" si="144"/>
        <v>1.9550845253313545</v>
      </c>
      <c r="C941" s="10">
        <f t="shared" si="145"/>
        <v>0.73511178152458923</v>
      </c>
      <c r="D941" s="10">
        <f t="shared" si="146"/>
        <v>4.9904407413945213</v>
      </c>
      <c r="E941" s="10">
        <f t="shared" si="147"/>
        <v>147.00119873340799</v>
      </c>
      <c r="F941" s="10">
        <f t="shared" si="151"/>
        <v>3.4547818241501602</v>
      </c>
      <c r="G941" s="10">
        <f t="shared" si="148"/>
        <v>1.5850970716358466</v>
      </c>
      <c r="H941" s="10">
        <f t="shared" si="149"/>
        <v>0.82992517680448252</v>
      </c>
      <c r="I941" s="10">
        <f t="shared" si="152"/>
        <v>2.0236061957895624E-3</v>
      </c>
      <c r="J941" s="20">
        <f t="shared" si="150"/>
        <v>0</v>
      </c>
      <c r="K941" s="10">
        <f t="shared" si="153"/>
        <v>2.3782295715368384E-2</v>
      </c>
      <c r="L941" s="10">
        <f t="shared" si="154"/>
        <v>1.4269377429221075E-2</v>
      </c>
    </row>
    <row r="942" spans="1:12" x14ac:dyDescent="0.2">
      <c r="A942" s="14">
        <v>0.877</v>
      </c>
      <c r="B942" s="10">
        <f t="shared" si="144"/>
        <v>1.9643226369997655</v>
      </c>
      <c r="C942" s="10">
        <f t="shared" si="145"/>
        <v>0.74054963414891162</v>
      </c>
      <c r="D942" s="10">
        <f t="shared" si="146"/>
        <v>5.0144018422847001</v>
      </c>
      <c r="E942" s="10">
        <f t="shared" si="147"/>
        <v>150.56604758180939</v>
      </c>
      <c r="F942" s="10">
        <f t="shared" si="151"/>
        <v>3.5648488484013967</v>
      </c>
      <c r="G942" s="10">
        <f t="shared" si="148"/>
        <v>1.5994737321699537</v>
      </c>
      <c r="H942" s="10">
        <f t="shared" si="149"/>
        <v>0.83194481909388474</v>
      </c>
      <c r="I942" s="10">
        <f t="shared" si="152"/>
        <v>2.0196422894022126E-3</v>
      </c>
      <c r="J942" s="20">
        <f t="shared" si="150"/>
        <v>0</v>
      </c>
      <c r="K942" s="10">
        <f t="shared" si="153"/>
        <v>2.3961100890178777E-2</v>
      </c>
      <c r="L942" s="10">
        <f t="shared" si="154"/>
        <v>1.4376660534107133E-2</v>
      </c>
    </row>
    <row r="943" spans="1:12" x14ac:dyDescent="0.2">
      <c r="A943" s="14">
        <v>0.878</v>
      </c>
      <c r="B943" s="10">
        <f t="shared" si="144"/>
        <v>1.9736255489018601</v>
      </c>
      <c r="C943" s="10">
        <f t="shared" si="145"/>
        <v>0.74603045748490315</v>
      </c>
      <c r="D943" s="10">
        <f t="shared" si="146"/>
        <v>5.0385444184041184</v>
      </c>
      <c r="E943" s="10">
        <f t="shared" si="147"/>
        <v>154.24533487471959</v>
      </c>
      <c r="F943" s="10">
        <f t="shared" si="151"/>
        <v>3.6792872929102032</v>
      </c>
      <c r="G943" s="10">
        <f t="shared" si="148"/>
        <v>1.6139592778416052</v>
      </c>
      <c r="H943" s="10">
        <f t="shared" si="149"/>
        <v>0.8339603546853227</v>
      </c>
      <c r="I943" s="10">
        <f t="shared" si="152"/>
        <v>2.0155355914379669E-3</v>
      </c>
      <c r="J943" s="20">
        <f t="shared" si="150"/>
        <v>0</v>
      </c>
      <c r="K943" s="10">
        <f t="shared" si="153"/>
        <v>2.414257611941828E-2</v>
      </c>
      <c r="L943" s="10">
        <f t="shared" si="154"/>
        <v>1.4485545671651501E-2</v>
      </c>
    </row>
    <row r="944" spans="1:12" x14ac:dyDescent="0.2">
      <c r="A944" s="14">
        <v>0.879</v>
      </c>
      <c r="B944" s="10">
        <f t="shared" si="144"/>
        <v>1.9829943520884359</v>
      </c>
      <c r="C944" s="10">
        <f t="shared" si="145"/>
        <v>0.75155485944151723</v>
      </c>
      <c r="D944" s="10">
        <f t="shared" si="146"/>
        <v>5.0628712043587178</v>
      </c>
      <c r="E944" s="10">
        <f t="shared" si="147"/>
        <v>158.04364109634915</v>
      </c>
      <c r="F944" s="10">
        <f t="shared" si="151"/>
        <v>3.7983062216295593</v>
      </c>
      <c r="G944" s="10">
        <f t="shared" si="148"/>
        <v>1.6285553494143648</v>
      </c>
      <c r="H944" s="10">
        <f t="shared" si="149"/>
        <v>0.83597164000732216</v>
      </c>
      <c r="I944" s="10">
        <f t="shared" si="152"/>
        <v>2.0112853219994564E-3</v>
      </c>
      <c r="J944" s="20">
        <f t="shared" si="150"/>
        <v>0</v>
      </c>
      <c r="K944" s="10">
        <f t="shared" si="153"/>
        <v>2.4326785954599472E-2</v>
      </c>
      <c r="L944" s="10">
        <f t="shared" si="154"/>
        <v>1.459607157275955E-2</v>
      </c>
    </row>
    <row r="945" spans="1:12" x14ac:dyDescent="0.2">
      <c r="A945" s="14">
        <v>0.88</v>
      </c>
      <c r="B945" s="10">
        <f t="shared" si="144"/>
        <v>1.9924301646902063</v>
      </c>
      <c r="C945" s="10">
        <f t="shared" si="145"/>
        <v>0.75712346258227836</v>
      </c>
      <c r="D945" s="10">
        <f t="shared" si="146"/>
        <v>5.0873850014232591</v>
      </c>
      <c r="E945" s="10">
        <f t="shared" si="147"/>
        <v>161.9657675402872</v>
      </c>
      <c r="F945" s="10">
        <f t="shared" si="151"/>
        <v>3.9221264439380548</v>
      </c>
      <c r="G945" s="10">
        <f t="shared" si="148"/>
        <v>1.6432636276530894</v>
      </c>
      <c r="H945" s="10">
        <f t="shared" si="149"/>
        <v>0.83797853072493578</v>
      </c>
      <c r="I945" s="10">
        <f t="shared" si="152"/>
        <v>2.0068907176136186E-3</v>
      </c>
      <c r="J945" s="20">
        <f t="shared" si="150"/>
        <v>0</v>
      </c>
      <c r="K945" s="10">
        <f t="shared" si="153"/>
        <v>2.4513797064541265E-2</v>
      </c>
      <c r="L945" s="10">
        <f t="shared" si="154"/>
        <v>1.470827823872467E-2</v>
      </c>
    </row>
    <row r="946" spans="1:12" x14ac:dyDescent="0.2">
      <c r="A946" s="14">
        <v>0.88100000000000001</v>
      </c>
      <c r="B946" s="10">
        <f t="shared" si="144"/>
        <v>2.0019341328246503</v>
      </c>
      <c r="C946" s="10">
        <f t="shared" si="145"/>
        <v>0.76273690460619181</v>
      </c>
      <c r="D946" s="10">
        <f t="shared" si="146"/>
        <v>5.1120886797466021</v>
      </c>
      <c r="E946" s="10">
        <f t="shared" si="147"/>
        <v>166.01674881564119</v>
      </c>
      <c r="F946" s="10">
        <f t="shared" si="151"/>
        <v>4.0509812753539904</v>
      </c>
      <c r="G946" s="10">
        <f t="shared" si="148"/>
        <v>1.6580858346470955</v>
      </c>
      <c r="H946" s="10">
        <f t="shared" si="149"/>
        <v>0.83998088175648555</v>
      </c>
      <c r="I946" s="10">
        <f t="shared" si="152"/>
        <v>2.0023510315497761E-3</v>
      </c>
      <c r="J946" s="20">
        <f t="shared" si="150"/>
        <v>0</v>
      </c>
      <c r="K946" s="10">
        <f t="shared" si="153"/>
        <v>2.470367832334297E-2</v>
      </c>
      <c r="L946" s="10">
        <f t="shared" si="154"/>
        <v>1.4822206994006049E-2</v>
      </c>
    </row>
    <row r="947" spans="1:12" x14ac:dyDescent="0.2">
      <c r="A947" s="14">
        <v>0.88200000000000001</v>
      </c>
      <c r="B947" s="10">
        <f t="shared" si="144"/>
        <v>2.0115074315411268</v>
      </c>
      <c r="C947" s="10">
        <f t="shared" si="145"/>
        <v>0.76839583884871043</v>
      </c>
      <c r="D947" s="10">
        <f t="shared" si="146"/>
        <v>5.1369851806493863</v>
      </c>
      <c r="E947" s="10">
        <f t="shared" si="147"/>
        <v>170.20186616985194</v>
      </c>
      <c r="F947" s="10">
        <f t="shared" si="151"/>
        <v>4.185117354210746</v>
      </c>
      <c r="G947" s="10">
        <f t="shared" si="148"/>
        <v>1.6730237351887653</v>
      </c>
      <c r="H947" s="10">
        <f t="shared" si="149"/>
        <v>0.84197854729061827</v>
      </c>
      <c r="I947" s="10">
        <f t="shared" si="152"/>
        <v>1.9976655341327199E-3</v>
      </c>
      <c r="J947" s="20">
        <f t="shared" si="150"/>
        <v>0</v>
      </c>
      <c r="K947" s="10">
        <f t="shared" si="153"/>
        <v>2.4896500902784169E-2</v>
      </c>
      <c r="L947" s="10">
        <f t="shared" si="154"/>
        <v>1.493790054166988E-2</v>
      </c>
    </row>
    <row r="948" spans="1:12" x14ac:dyDescent="0.2">
      <c r="A948" s="14">
        <v>0.88300000000000001</v>
      </c>
      <c r="B948" s="10">
        <f t="shared" si="144"/>
        <v>2.0211512658062039</v>
      </c>
      <c r="C948" s="10">
        <f t="shared" si="145"/>
        <v>0.77410093480377606</v>
      </c>
      <c r="D948" s="10">
        <f t="shared" si="146"/>
        <v>5.162077519018796</v>
      </c>
      <c r="E948" s="10">
        <f t="shared" si="147"/>
        <v>174.52666168876638</v>
      </c>
      <c r="F948" s="10">
        <f t="shared" si="151"/>
        <v>4.324795518914442</v>
      </c>
      <c r="G948" s="10">
        <f t="shared" si="148"/>
        <v>1.6880791382104112</v>
      </c>
      <c r="H948" s="10">
        <f t="shared" si="149"/>
        <v>0.84397138080366607</v>
      </c>
      <c r="I948" s="10">
        <f t="shared" si="152"/>
        <v>1.9928335130477981E-3</v>
      </c>
      <c r="J948" s="20">
        <f t="shared" si="150"/>
        <v>0</v>
      </c>
      <c r="K948" s="10">
        <f t="shared" si="153"/>
        <v>2.5092338369409717E-2</v>
      </c>
      <c r="L948" s="10">
        <f t="shared" si="154"/>
        <v>1.5055403021645875E-2</v>
      </c>
    </row>
    <row r="949" spans="1:12" x14ac:dyDescent="0.2">
      <c r="A949" s="14">
        <v>0.88400000000000001</v>
      </c>
      <c r="B949" s="10">
        <f t="shared" si="144"/>
        <v>2.0308668715312788</v>
      </c>
      <c r="C949" s="10">
        <f t="shared" si="145"/>
        <v>0.77985287866801101</v>
      </c>
      <c r="D949" s="10">
        <f t="shared" si="146"/>
        <v>5.1873687858054183</v>
      </c>
      <c r="E949" s="10">
        <f t="shared" si="147"/>
        <v>178.99695343960107</v>
      </c>
      <c r="F949" s="10">
        <f t="shared" si="151"/>
        <v>4.47029175083469</v>
      </c>
      <c r="G949" s="10">
        <f t="shared" si="148"/>
        <v>1.7032538982823844</v>
      </c>
      <c r="H949" s="10">
        <f t="shared" si="149"/>
        <v>0.84595923507730508</v>
      </c>
      <c r="I949" s="10">
        <f t="shared" si="152"/>
        <v>1.9878542736390115E-3</v>
      </c>
      <c r="J949" s="20">
        <f t="shared" si="150"/>
        <v>0</v>
      </c>
      <c r="K949" s="10">
        <f t="shared" si="153"/>
        <v>2.5291266786622302E-2</v>
      </c>
      <c r="L949" s="10">
        <f t="shared" si="154"/>
        <v>1.5174760071973159E-2</v>
      </c>
    </row>
    <row r="950" spans="1:12" x14ac:dyDescent="0.2">
      <c r="A950" s="14">
        <v>0.88500000000000001</v>
      </c>
      <c r="B950" s="10">
        <f t="shared" si="144"/>
        <v>2.0406555166446796</v>
      </c>
      <c r="C950" s="10">
        <f t="shared" si="145"/>
        <v>0.78565237390820164</v>
      </c>
      <c r="D950" s="10">
        <f t="shared" si="146"/>
        <v>5.2128621506274264</v>
      </c>
      <c r="E950" s="10">
        <f t="shared" si="147"/>
        <v>183.61885162792905</v>
      </c>
      <c r="F950" s="10">
        <f t="shared" si="151"/>
        <v>4.6218981883279753</v>
      </c>
      <c r="G950" s="10">
        <f t="shared" si="148"/>
        <v>1.7185499171755896</v>
      </c>
      <c r="H950" s="10">
        <f t="shared" si="149"/>
        <v>0.8479419622165022</v>
      </c>
      <c r="I950" s="10">
        <f t="shared" si="152"/>
        <v>1.9827271391971157E-3</v>
      </c>
      <c r="J950" s="20">
        <f t="shared" si="150"/>
        <v>0</v>
      </c>
      <c r="K950" s="10">
        <f t="shared" si="153"/>
        <v>2.5493364822008147E-2</v>
      </c>
      <c r="L950" s="10">
        <f t="shared" si="154"/>
        <v>1.5296018893205199E-2</v>
      </c>
    </row>
    <row r="951" spans="1:12" x14ac:dyDescent="0.2">
      <c r="A951" s="14">
        <v>0.88600000000000001</v>
      </c>
      <c r="B951" s="10">
        <f t="shared" si="144"/>
        <v>2.0505185022105854</v>
      </c>
      <c r="C951" s="10">
        <f t="shared" si="145"/>
        <v>0.79150014185328599</v>
      </c>
      <c r="D951" s="10">
        <f t="shared" si="146"/>
        <v>5.2385608644877344</v>
      </c>
      <c r="E951" s="10">
        <f t="shared" si="147"/>
        <v>188.39877584586395</v>
      </c>
      <c r="F951" s="10">
        <f t="shared" si="151"/>
        <v>4.7799242179349051</v>
      </c>
      <c r="G951" s="10">
        <f t="shared" si="148"/>
        <v>1.7339691454917743</v>
      </c>
      <c r="H951" s="10">
        <f t="shared" si="149"/>
        <v>0.84991941366774393</v>
      </c>
      <c r="I951" s="10">
        <f t="shared" si="152"/>
        <v>1.9774514512417296E-3</v>
      </c>
      <c r="J951" s="20">
        <f t="shared" si="150"/>
        <v>0</v>
      </c>
      <c r="K951" s="10">
        <f t="shared" si="153"/>
        <v>2.5698713860307976E-2</v>
      </c>
      <c r="L951" s="10">
        <f t="shared" si="154"/>
        <v>1.5419228316184697E-2</v>
      </c>
    </row>
    <row r="952" spans="1:12" x14ac:dyDescent="0.2">
      <c r="A952" s="14">
        <v>0.88700000000000001</v>
      </c>
      <c r="B952" s="10">
        <f t="shared" si="144"/>
        <v>2.0604571635972388</v>
      </c>
      <c r="C952" s="10">
        <f t="shared" si="145"/>
        <v>0.79739692231213144</v>
      </c>
      <c r="D952" s="10">
        <f t="shared" si="146"/>
        <v>5.2644682626100341</v>
      </c>
      <c r="E952" s="10">
        <f t="shared" si="147"/>
        <v>193.34347349519652</v>
      </c>
      <c r="F952" s="10">
        <f t="shared" si="151"/>
        <v>4.9446976493325678</v>
      </c>
      <c r="G952" s="10">
        <f t="shared" si="148"/>
        <v>1.7495135843651544</v>
      </c>
      <c r="H952" s="10">
        <f t="shared" si="149"/>
        <v>0.85189144023753582</v>
      </c>
      <c r="I952" s="10">
        <f t="shared" si="152"/>
        <v>1.9720265697918959E-3</v>
      </c>
      <c r="J952" s="20">
        <f t="shared" si="150"/>
        <v>0</v>
      </c>
      <c r="K952" s="10">
        <f t="shared" si="153"/>
        <v>2.5907398122299696E-2</v>
      </c>
      <c r="L952" s="10">
        <f t="shared" si="154"/>
        <v>1.5544438873380084E-2</v>
      </c>
    </row>
    <row r="953" spans="1:12" x14ac:dyDescent="0.2">
      <c r="A953" s="14">
        <v>0.88800000000000001</v>
      </c>
      <c r="B953" s="10">
        <f t="shared" si="144"/>
        <v>2.0704728716970755</v>
      </c>
      <c r="C953" s="10">
        <f t="shared" si="145"/>
        <v>0.8033434742184653</v>
      </c>
      <c r="D953" s="10">
        <f t="shared" si="146"/>
        <v>5.2905877674000434</v>
      </c>
      <c r="E953" s="10">
        <f t="shared" si="147"/>
        <v>198.46003947646605</v>
      </c>
      <c r="F953" s="10">
        <f t="shared" si="151"/>
        <v>5.116565981269531</v>
      </c>
      <c r="G953" s="10">
        <f t="shared" si="148"/>
        <v>1.7651852872391598</v>
      </c>
      <c r="H953" s="10">
        <f t="shared" si="149"/>
        <v>0.85385789211116392</v>
      </c>
      <c r="I953" s="10">
        <f t="shared" si="152"/>
        <v>1.9664518736280945E-3</v>
      </c>
      <c r="J953" s="20">
        <f t="shared" si="150"/>
        <v>0</v>
      </c>
      <c r="K953" s="10">
        <f t="shared" si="153"/>
        <v>2.6119504790009351E-2</v>
      </c>
      <c r="L953" s="10">
        <f t="shared" si="154"/>
        <v>1.5671702874005433E-2</v>
      </c>
    </row>
    <row r="954" spans="1:12" x14ac:dyDescent="0.2">
      <c r="A954" s="14">
        <v>0.88900000000000001</v>
      </c>
      <c r="B954" s="10">
        <f t="shared" si="144"/>
        <v>2.0805670342015703</v>
      </c>
      <c r="C954" s="10">
        <f t="shared" si="145"/>
        <v>0.80934057630441092</v>
      </c>
      <c r="D954" s="10">
        <f t="shared" si="146"/>
        <v>5.3169228915386642</v>
      </c>
      <c r="E954" s="10">
        <f t="shared" si="147"/>
        <v>203.75593724285824</v>
      </c>
      <c r="F954" s="10">
        <f t="shared" si="151"/>
        <v>5.2958977663921871</v>
      </c>
      <c r="G954" s="10">
        <f t="shared" si="148"/>
        <v>1.7809863617223323</v>
      </c>
      <c r="H954" s="10">
        <f t="shared" si="149"/>
        <v>0.85581861887170529</v>
      </c>
      <c r="I954" s="10">
        <f t="shared" si="152"/>
        <v>1.9607267605413758E-3</v>
      </c>
      <c r="J954" s="20">
        <f t="shared" si="150"/>
        <v>0</v>
      </c>
      <c r="K954" s="10">
        <f t="shared" si="153"/>
        <v>2.6335124138620714E-2</v>
      </c>
      <c r="L954" s="10">
        <f t="shared" si="154"/>
        <v>1.5801074483172473E-2</v>
      </c>
    </row>
    <row r="955" spans="1:12" x14ac:dyDescent="0.2">
      <c r="A955" s="14">
        <v>0.89</v>
      </c>
      <c r="B955" s="10">
        <f t="shared" si="144"/>
        <v>2.0907410969337694</v>
      </c>
      <c r="C955" s="10">
        <f t="shared" si="145"/>
        <v>0.81538902780417011</v>
      </c>
      <c r="D955" s="10">
        <f t="shared" si="146"/>
        <v>5.3434772412141918</v>
      </c>
      <c r="E955" s="10">
        <f t="shared" si="147"/>
        <v>209.23902132650193</v>
      </c>
      <c r="F955" s="10">
        <f t="shared" si="151"/>
        <v>5.4830840836436892</v>
      </c>
      <c r="G955" s="10">
        <f t="shared" si="148"/>
        <v>1.7969189715276492</v>
      </c>
      <c r="H955" s="10">
        <f t="shared" si="149"/>
        <v>0.85777346951928113</v>
      </c>
      <c r="I955" s="10">
        <f t="shared" si="152"/>
        <v>1.9548506475758343E-3</v>
      </c>
      <c r="J955" s="20">
        <f t="shared" si="150"/>
        <v>0</v>
      </c>
      <c r="K955" s="10">
        <f t="shared" si="153"/>
        <v>2.6554349675527611E-2</v>
      </c>
      <c r="L955" s="10">
        <f t="shared" si="154"/>
        <v>1.5932609805316966E-2</v>
      </c>
    </row>
    <row r="956" spans="1:12" x14ac:dyDescent="0.2">
      <c r="A956" s="14">
        <v>0.89100000000000001</v>
      </c>
      <c r="B956" s="10">
        <f t="shared" si="144"/>
        <v>2.1009965452416659</v>
      </c>
      <c r="C956" s="10">
        <f t="shared" si="145"/>
        <v>0.82148964918949141</v>
      </c>
      <c r="D956" s="10">
        <f t="shared" si="146"/>
        <v>5.3702545195011506</v>
      </c>
      <c r="E956" s="10">
        <f t="shared" si="147"/>
        <v>214.91756145425703</v>
      </c>
      <c r="F956" s="10">
        <f t="shared" si="151"/>
        <v>5.6785401277550989</v>
      </c>
      <c r="G956" s="10">
        <f t="shared" si="148"/>
        <v>1.8129853384998238</v>
      </c>
      <c r="H956" s="10">
        <f t="shared" si="149"/>
        <v>0.85972229249053478</v>
      </c>
      <c r="I956" s="10">
        <f t="shared" si="152"/>
        <v>1.9488229712536498E-3</v>
      </c>
      <c r="J956" s="20">
        <f t="shared" si="150"/>
        <v>0</v>
      </c>
      <c r="K956" s="10">
        <f t="shared" si="153"/>
        <v>2.6777278286958861E-2</v>
      </c>
      <c r="L956" s="10">
        <f t="shared" si="154"/>
        <v>1.6066366972174562E-2</v>
      </c>
    </row>
    <row r="957" spans="1:12" x14ac:dyDescent="0.2">
      <c r="A957" s="14">
        <v>0.89200000000000002</v>
      </c>
      <c r="B957" s="10">
        <f t="shared" si="144"/>
        <v>2.1113349054557897</v>
      </c>
      <c r="C957" s="10">
        <f t="shared" si="145"/>
        <v>0.82764328293866962</v>
      </c>
      <c r="D957" s="10">
        <f t="shared" si="146"/>
        <v>5.3972585298938265</v>
      </c>
      <c r="E957" s="10">
        <f t="shared" si="147"/>
        <v>220.80026838055079</v>
      </c>
      <c r="F957" s="10">
        <f t="shared" si="151"/>
        <v>5.8827069262937641</v>
      </c>
      <c r="G957" s="10">
        <f t="shared" si="148"/>
        <v>1.8291877447354297</v>
      </c>
      <c r="H957" s="10">
        <f t="shared" si="149"/>
        <v>0.86166493567832714</v>
      </c>
      <c r="I957" s="10">
        <f t="shared" si="152"/>
        <v>1.9426431877923589E-3</v>
      </c>
      <c r="J957" s="20">
        <f t="shared" si="150"/>
        <v>0</v>
      </c>
      <c r="K957" s="10">
        <f t="shared" si="153"/>
        <v>2.7004010392675859E-2</v>
      </c>
      <c r="L957" s="10">
        <f t="shared" si="154"/>
        <v>1.6202406235605871E-2</v>
      </c>
    </row>
    <row r="958" spans="1:12" x14ac:dyDescent="0.2">
      <c r="A958" s="14">
        <v>0.89300000000000002</v>
      </c>
      <c r="B958" s="10">
        <f t="shared" si="144"/>
        <v>2.1217577464145929</v>
      </c>
      <c r="C958" s="10">
        <f t="shared" si="145"/>
        <v>0.83385079434093501</v>
      </c>
      <c r="D958" s="10">
        <f t="shared" si="146"/>
        <v>5.4244931800031218</v>
      </c>
      <c r="E958" s="10">
        <f t="shared" si="147"/>
        <v>226.89632157632818</v>
      </c>
      <c r="F958" s="10">
        <f t="shared" si="151"/>
        <v>6.0960531957773867</v>
      </c>
      <c r="G958" s="10">
        <f t="shared" si="148"/>
        <v>1.8455285348010069</v>
      </c>
      <c r="H958" s="10">
        <f t="shared" si="149"/>
        <v>0.86360124645163239</v>
      </c>
      <c r="I958" s="10">
        <f t="shared" si="152"/>
        <v>1.9363107733052498E-3</v>
      </c>
      <c r="J958" s="20">
        <f t="shared" si="150"/>
        <v>0</v>
      </c>
      <c r="K958" s="10">
        <f t="shared" si="153"/>
        <v>2.7234650109295266E-2</v>
      </c>
      <c r="L958" s="10">
        <f t="shared" si="154"/>
        <v>1.6340790065577204E-2</v>
      </c>
    </row>
    <row r="959" spans="1:12" x14ac:dyDescent="0.2">
      <c r="A959" s="14">
        <v>0.89400000000000002</v>
      </c>
      <c r="B959" s="10">
        <f t="shared" si="144"/>
        <v>2.1322666810614472</v>
      </c>
      <c r="C959" s="10">
        <f t="shared" si="145"/>
        <v>0.8401130723382102</v>
      </c>
      <c r="D959" s="10">
        <f t="shared" si="146"/>
        <v>5.4519624854258453</v>
      </c>
      <c r="E959" s="10">
        <f t="shared" si="147"/>
        <v>233.21539892582251</v>
      </c>
      <c r="F959" s="10">
        <f t="shared" si="151"/>
        <v>6.3190773494943357</v>
      </c>
      <c r="G959" s="10">
        <f t="shared" si="148"/>
        <v>1.8620101180546409</v>
      </c>
      <c r="H959" s="10">
        <f t="shared" si="149"/>
        <v>0.86553107167562315</v>
      </c>
      <c r="I959" s="10">
        <f t="shared" si="152"/>
        <v>1.9298252239907665E-3</v>
      </c>
      <c r="J959" s="20">
        <f t="shared" si="150"/>
        <v>0</v>
      </c>
      <c r="K959" s="10">
        <f t="shared" si="153"/>
        <v>2.7469305422723522E-2</v>
      </c>
      <c r="L959" s="10">
        <f t="shared" si="154"/>
        <v>1.6481583253634025E-2</v>
      </c>
    </row>
    <row r="960" spans="1:12" x14ac:dyDescent="0.2">
      <c r="A960" s="14">
        <v>0.89500000000000002</v>
      </c>
      <c r="B960" s="10">
        <f t="shared" si="144"/>
        <v>2.1428633681173324</v>
      </c>
      <c r="C960" s="10">
        <f t="shared" si="145"/>
        <v>0.84643103040634637</v>
      </c>
      <c r="D960" s="10">
        <f t="shared" si="146"/>
        <v>5.4796705737962492</v>
      </c>
      <c r="E960" s="10">
        <f t="shared" si="147"/>
        <v>239.76770859681093</v>
      </c>
      <c r="F960" s="10">
        <f t="shared" si="151"/>
        <v>6.5523096709884214</v>
      </c>
      <c r="G960" s="10">
        <f t="shared" si="148"/>
        <v>1.8786349710768833</v>
      </c>
      <c r="H960" s="10">
        <f t="shared" si="149"/>
        <v>0.86745425773192875</v>
      </c>
      <c r="I960" s="10">
        <f t="shared" si="152"/>
        <v>1.9231860563055925E-3</v>
      </c>
      <c r="J960" s="20">
        <f t="shared" si="150"/>
        <v>0</v>
      </c>
      <c r="K960" s="10">
        <f t="shared" si="153"/>
        <v>2.7708088370403949E-2</v>
      </c>
      <c r="L960" s="10">
        <f t="shared" si="154"/>
        <v>1.662485302224237E-2</v>
      </c>
    </row>
    <row r="961" spans="1:12" x14ac:dyDescent="0.2">
      <c r="A961" s="14">
        <v>0.89600000000000002</v>
      </c>
      <c r="B961" s="10">
        <f t="shared" si="144"/>
        <v>2.1535495138335579</v>
      </c>
      <c r="C961" s="10">
        <f t="shared" si="145"/>
        <v>0.85280560747808898</v>
      </c>
      <c r="D961" s="10">
        <f t="shared" si="146"/>
        <v>5.5076216890302057</v>
      </c>
      <c r="E961" s="10">
        <f t="shared" si="147"/>
        <v>246.56402326536775</v>
      </c>
      <c r="F961" s="10">
        <f t="shared" si="151"/>
        <v>6.7963146685568177</v>
      </c>
      <c r="G961" s="10">
        <f t="shared" si="148"/>
        <v>1.8954056402172568</v>
      </c>
      <c r="H961" s="10">
        <f t="shared" si="149"/>
        <v>0.86937065053904972</v>
      </c>
      <c r="I961" s="10">
        <f t="shared" si="152"/>
        <v>1.9163928071209702E-3</v>
      </c>
      <c r="J961" s="20">
        <f t="shared" si="150"/>
        <v>0</v>
      </c>
      <c r="K961" s="10">
        <f t="shared" si="153"/>
        <v>2.7951115233956436E-2</v>
      </c>
      <c r="L961" s="10">
        <f t="shared" si="154"/>
        <v>1.6770669140373506E-2</v>
      </c>
    </row>
    <row r="962" spans="1:12" x14ac:dyDescent="0.2">
      <c r="A962" s="14">
        <v>0.89700000000000002</v>
      </c>
      <c r="B962" s="10">
        <f t="shared" ref="B962:B1025" si="155">LN(A962/(1-A962))</f>
        <v>2.1643268738291606</v>
      </c>
      <c r="C962" s="10">
        <f t="shared" ref="C962:C1025" si="156">(A962-0.5)*B962</f>
        <v>0.85923776891017678</v>
      </c>
      <c r="D962" s="10">
        <f t="shared" ref="D962:D1025" si="157">$B$45+$B$46*B962+$B$47*C962</f>
        <v>5.5358201957731588</v>
      </c>
      <c r="E962" s="10">
        <f t="shared" ref="E962:E1025" si="158">$B$14+EXP(D962)</f>
        <v>253.61571689308641</v>
      </c>
      <c r="F962" s="10">
        <f t="shared" si="151"/>
        <v>7.051693627718663</v>
      </c>
      <c r="G962" s="10">
        <f t="shared" ref="G962:G1025" si="159">$C$45+$C$46*B962+$C$47*C962</f>
        <v>1.9123247442630289</v>
      </c>
      <c r="H962" s="10">
        <f t="shared" ref="H962:H1025" si="160">$C$14+($C$15-$C$14)/(1+EXP(-G962))</f>
        <v>0.87128009557291586</v>
      </c>
      <c r="I962" s="10">
        <f t="shared" si="152"/>
        <v>1.9094450338661417E-3</v>
      </c>
      <c r="J962" s="20">
        <f t="shared" ref="J962:J1025" si="161">G962-($B$22+$B$21*D962)</f>
        <v>0</v>
      </c>
      <c r="K962" s="10">
        <f t="shared" si="153"/>
        <v>2.81985067429531E-2</v>
      </c>
      <c r="L962" s="10">
        <f t="shared" si="154"/>
        <v>1.6919104045772126E-2</v>
      </c>
    </row>
    <row r="963" spans="1:12" x14ac:dyDescent="0.2">
      <c r="A963" s="14">
        <v>0.89800000000000002</v>
      </c>
      <c r="B963" s="10">
        <f t="shared" si="155"/>
        <v>2.1751972550179288</v>
      </c>
      <c r="C963" s="10">
        <f t="shared" si="156"/>
        <v>0.8657285074971357</v>
      </c>
      <c r="D963" s="10">
        <f t="shared" si="157"/>
        <v>5.5642705840637152</v>
      </c>
      <c r="E963" s="10">
        <f t="shared" si="158"/>
        <v>260.9348042734502</v>
      </c>
      <c r="F963" s="10">
        <f t="shared" ref="F963:F1026" si="162">E963-E962</f>
        <v>7.3190873803637828</v>
      </c>
      <c r="G963" s="10">
        <f t="shared" si="159"/>
        <v>1.9293949772373626</v>
      </c>
      <c r="H963" s="10">
        <f t="shared" si="160"/>
        <v>0.873182437887566</v>
      </c>
      <c r="I963" s="10">
        <f t="shared" ref="I963:I1026" si="163">H963-H962</f>
        <v>1.9023423146501406E-3</v>
      </c>
      <c r="J963" s="20">
        <f t="shared" si="161"/>
        <v>0</v>
      </c>
      <c r="K963" s="10">
        <f t="shared" ref="K963:K1026" si="164">D963-D962</f>
        <v>2.8450388290556461E-2</v>
      </c>
      <c r="L963" s="10">
        <f t="shared" ref="L963:L1026" si="165">G963-G962</f>
        <v>1.7070232974333743E-2</v>
      </c>
    </row>
    <row r="964" spans="1:12" x14ac:dyDescent="0.2">
      <c r="A964" s="14">
        <v>0.89900000000000002</v>
      </c>
      <c r="B964" s="10">
        <f t="shared" si="155"/>
        <v>2.1861625176303612</v>
      </c>
      <c r="C964" s="10">
        <f t="shared" si="156"/>
        <v>0.87227884453451421</v>
      </c>
      <c r="D964" s="10">
        <f t="shared" si="157"/>
        <v>5.5929774742255862</v>
      </c>
      <c r="E964" s="10">
        <f t="shared" si="158"/>
        <v>268.5339835847256</v>
      </c>
      <c r="F964" s="10">
        <f t="shared" si="162"/>
        <v>7.5991793112754067</v>
      </c>
      <c r="G964" s="10">
        <f t="shared" si="159"/>
        <v>1.9466191113344851</v>
      </c>
      <c r="H964" s="10">
        <f t="shared" si="160"/>
        <v>0.87507752213593604</v>
      </c>
      <c r="I964" s="10">
        <f t="shared" si="163"/>
        <v>1.8950842483700381E-3</v>
      </c>
      <c r="J964" s="20">
        <f t="shared" si="161"/>
        <v>0</v>
      </c>
      <c r="K964" s="10">
        <f t="shared" si="164"/>
        <v>2.8706890161871002E-2</v>
      </c>
      <c r="L964" s="10">
        <f t="shared" si="165"/>
        <v>1.7224134097122423E-2</v>
      </c>
    </row>
    <row r="965" spans="1:12" x14ac:dyDescent="0.2">
      <c r="A965" s="14">
        <v>0.9</v>
      </c>
      <c r="B965" s="10">
        <f t="shared" si="155"/>
        <v>2.1972245773362196</v>
      </c>
      <c r="C965" s="10">
        <f t="shared" si="156"/>
        <v>0.87888983093448791</v>
      </c>
      <c r="D965" s="10">
        <f t="shared" si="157"/>
        <v>5.6219456220014443</v>
      </c>
      <c r="E965" s="10">
        <f t="shared" si="158"/>
        <v>276.42668220962929</v>
      </c>
      <c r="F965" s="10">
        <f t="shared" si="162"/>
        <v>7.8926986249036872</v>
      </c>
      <c r="G965" s="10">
        <f t="shared" si="159"/>
        <v>1.9640000000000004</v>
      </c>
      <c r="H965" s="10">
        <f t="shared" si="160"/>
        <v>0.87696519259073058</v>
      </c>
      <c r="I965" s="10">
        <f t="shared" si="163"/>
        <v>1.8876704547945433E-3</v>
      </c>
      <c r="J965" s="20">
        <f t="shared" si="161"/>
        <v>0</v>
      </c>
      <c r="K965" s="10">
        <f t="shared" si="164"/>
        <v>2.89681477758581E-2</v>
      </c>
      <c r="L965" s="10">
        <f t="shared" si="165"/>
        <v>1.7380888665515348E-2</v>
      </c>
    </row>
    <row r="966" spans="1:12" x14ac:dyDescent="0.2">
      <c r="A966" s="14">
        <v>0.90100000000000002</v>
      </c>
      <c r="B966" s="10">
        <f t="shared" si="155"/>
        <v>2.2083854074737483</v>
      </c>
      <c r="C966" s="10">
        <f t="shared" si="156"/>
        <v>0.88556254839697313</v>
      </c>
      <c r="D966" s="10">
        <f t="shared" si="157"/>
        <v>5.651179923943241</v>
      </c>
      <c r="E966" s="10">
        <f t="shared" si="158"/>
        <v>284.62710610736849</v>
      </c>
      <c r="F966" s="10">
        <f t="shared" si="162"/>
        <v>8.2004238977391992</v>
      </c>
      <c r="G966" s="10">
        <f t="shared" si="159"/>
        <v>1.9815405811650781</v>
      </c>
      <c r="H966" s="10">
        <f t="shared" si="160"/>
        <v>0.87884529316536475</v>
      </c>
      <c r="I966" s="10">
        <f t="shared" si="163"/>
        <v>1.8801005746341692E-3</v>
      </c>
      <c r="J966" s="20">
        <f t="shared" si="161"/>
        <v>0</v>
      </c>
      <c r="K966" s="10">
        <f t="shared" si="164"/>
        <v>2.9234301941796659E-2</v>
      </c>
      <c r="L966" s="10">
        <f t="shared" si="165"/>
        <v>1.7540581165077729E-2</v>
      </c>
    </row>
    <row r="967" spans="1:12" x14ac:dyDescent="0.2">
      <c r="A967" s="14">
        <v>0.90200000000000002</v>
      </c>
      <c r="B967" s="10">
        <f t="shared" si="155"/>
        <v>2.2196470413920522</v>
      </c>
      <c r="C967" s="10">
        <f t="shared" si="156"/>
        <v>0.89229811063960507</v>
      </c>
      <c r="D967" s="10">
        <f t="shared" si="157"/>
        <v>5.6806854230745163</v>
      </c>
      <c r="E967" s="10">
        <f t="shared" si="158"/>
        <v>293.15029305173374</v>
      </c>
      <c r="F967" s="10">
        <f t="shared" si="162"/>
        <v>8.5231869443652499</v>
      </c>
      <c r="G967" s="10">
        <f t="shared" si="159"/>
        <v>1.9992438806438437</v>
      </c>
      <c r="H967" s="10">
        <f t="shared" si="160"/>
        <v>0.88071766743494795</v>
      </c>
      <c r="I967" s="10">
        <f t="shared" si="163"/>
        <v>1.8723742695831991E-3</v>
      </c>
      <c r="J967" s="20">
        <f t="shared" si="161"/>
        <v>0</v>
      </c>
      <c r="K967" s="10">
        <f t="shared" si="164"/>
        <v>2.9505499131275315E-2</v>
      </c>
      <c r="L967" s="10">
        <f t="shared" si="165"/>
        <v>1.7703299478765588E-2</v>
      </c>
    </row>
    <row r="968" spans="1:12" x14ac:dyDescent="0.2">
      <c r="A968" s="14">
        <v>0.90300000000000002</v>
      </c>
      <c r="B968" s="10">
        <f t="shared" si="155"/>
        <v>2.231011574913603</v>
      </c>
      <c r="C968" s="10">
        <f t="shared" si="156"/>
        <v>0.89909766469018204</v>
      </c>
      <c r="D968" s="10">
        <f t="shared" si="157"/>
        <v>5.710467314841412</v>
      </c>
      <c r="E968" s="10">
        <f t="shared" si="158"/>
        <v>302.01217008010588</v>
      </c>
      <c r="F968" s="10">
        <f t="shared" si="162"/>
        <v>8.8618770283721346</v>
      </c>
      <c r="G968" s="10">
        <f t="shared" si="159"/>
        <v>2.0171130157039809</v>
      </c>
      <c r="H968" s="10">
        <f t="shared" si="160"/>
        <v>0.88258215865729228</v>
      </c>
      <c r="I968" s="10">
        <f t="shared" si="163"/>
        <v>1.8644912223443333E-3</v>
      </c>
      <c r="J968" s="20">
        <f t="shared" si="161"/>
        <v>0</v>
      </c>
      <c r="K968" s="10">
        <f t="shared" si="164"/>
        <v>2.9781891766895718E-2</v>
      </c>
      <c r="L968" s="10">
        <f t="shared" si="165"/>
        <v>1.7869135060137209E-2</v>
      </c>
    </row>
    <row r="969" spans="1:12" x14ac:dyDescent="0.2">
      <c r="A969" s="14">
        <v>0.90400000000000003</v>
      </c>
      <c r="B969" s="10">
        <f t="shared" si="155"/>
        <v>2.2424811689243405</v>
      </c>
      <c r="C969" s="10">
        <f t="shared" si="156"/>
        <v>0.90596239224543362</v>
      </c>
      <c r="D969" s="10">
        <f t="shared" si="157"/>
        <v>5.7405309533702304</v>
      </c>
      <c r="E969" s="10">
        <f t="shared" si="158"/>
        <v>311.22961553283778</v>
      </c>
      <c r="F969" s="10">
        <f t="shared" si="162"/>
        <v>9.2174454527319085</v>
      </c>
      <c r="G969" s="10">
        <f t="shared" si="159"/>
        <v>2.0351511988212723</v>
      </c>
      <c r="H969" s="10">
        <f t="shared" si="160"/>
        <v>0.88443860979392097</v>
      </c>
      <c r="I969" s="10">
        <f t="shared" si="163"/>
        <v>1.8564511366286895E-3</v>
      </c>
      <c r="J969" s="20">
        <f t="shared" si="161"/>
        <v>0</v>
      </c>
      <c r="K969" s="10">
        <f t="shared" si="164"/>
        <v>3.0063638528818437E-2</v>
      </c>
      <c r="L969" s="10">
        <f t="shared" si="165"/>
        <v>1.8038183117291329E-2</v>
      </c>
    </row>
    <row r="970" spans="1:12" x14ac:dyDescent="0.2">
      <c r="A970" s="14">
        <v>0.90500000000000003</v>
      </c>
      <c r="B970" s="10">
        <f t="shared" si="155"/>
        <v>2.2540580520993854</v>
      </c>
      <c r="C970" s="10">
        <f t="shared" si="156"/>
        <v>0.91289351110025119</v>
      </c>
      <c r="D970" s="10">
        <f t="shared" si="157"/>
        <v>5.7708818580507568</v>
      </c>
      <c r="E970" s="10">
        <f t="shared" si="158"/>
        <v>320.82052610097799</v>
      </c>
      <c r="F970" s="10">
        <f t="shared" si="162"/>
        <v>9.5909105681402025</v>
      </c>
      <c r="G970" s="10">
        <f t="shared" si="159"/>
        <v>2.0533617416295877</v>
      </c>
      <c r="H970" s="10">
        <f t="shared" si="160"/>
        <v>0.88628686353105024</v>
      </c>
      <c r="I970" s="10">
        <f t="shared" si="163"/>
        <v>1.8482537371292684E-3</v>
      </c>
      <c r="J970" s="20">
        <f t="shared" si="161"/>
        <v>0</v>
      </c>
      <c r="K970" s="10">
        <f t="shared" si="164"/>
        <v>3.0350904680526369E-2</v>
      </c>
      <c r="L970" s="10">
        <f t="shared" si="165"/>
        <v>1.8210542808315466E-2</v>
      </c>
    </row>
    <row r="971" spans="1:12" x14ac:dyDescent="0.2">
      <c r="A971" s="14">
        <v>0.90600000000000003</v>
      </c>
      <c r="B971" s="10">
        <f t="shared" si="155"/>
        <v>2.2657445237729759</v>
      </c>
      <c r="C971" s="10">
        <f t="shared" si="156"/>
        <v>0.91989227665182827</v>
      </c>
      <c r="D971" s="10">
        <f t="shared" si="157"/>
        <v>5.8015257204659196</v>
      </c>
      <c r="E971" s="10">
        <f t="shared" si="158"/>
        <v>330.80388934312367</v>
      </c>
      <c r="F971" s="10">
        <f t="shared" si="162"/>
        <v>9.9833632421456855</v>
      </c>
      <c r="G971" s="10">
        <f t="shared" si="159"/>
        <v>2.0717480590786859</v>
      </c>
      <c r="H971" s="10">
        <f t="shared" si="160"/>
        <v>0.8881267623005219</v>
      </c>
      <c r="I971" s="10">
        <f t="shared" si="163"/>
        <v>1.8398987694716595E-3</v>
      </c>
      <c r="J971" s="20">
        <f t="shared" si="161"/>
        <v>0</v>
      </c>
      <c r="K971" s="10">
        <f t="shared" si="164"/>
        <v>3.0643862415162815E-2</v>
      </c>
      <c r="L971" s="10">
        <f t="shared" si="165"/>
        <v>1.8386317449098133E-2</v>
      </c>
    </row>
    <row r="972" spans="1:12" x14ac:dyDescent="0.2">
      <c r="A972" s="14">
        <v>0.90700000000000003</v>
      </c>
      <c r="B972" s="10">
        <f t="shared" si="155"/>
        <v>2.2775429569618808</v>
      </c>
      <c r="C972" s="10">
        <f t="shared" si="156"/>
        <v>0.92695998348348552</v>
      </c>
      <c r="D972" s="10">
        <f t="shared" si="157"/>
        <v>5.832468411689959</v>
      </c>
      <c r="E972" s="10">
        <f t="shared" si="158"/>
        <v>341.19986217994261</v>
      </c>
      <c r="F972" s="10">
        <f t="shared" si="162"/>
        <v>10.395972836818942</v>
      </c>
      <c r="G972" s="10">
        <f t="shared" si="159"/>
        <v>2.090313673813109</v>
      </c>
      <c r="H972" s="10">
        <f t="shared" si="160"/>
        <v>0.88995814830065478</v>
      </c>
      <c r="I972" s="10">
        <f t="shared" si="163"/>
        <v>1.8313860001328841E-3</v>
      </c>
      <c r="J972" s="20">
        <f t="shared" si="161"/>
        <v>0</v>
      </c>
      <c r="K972" s="10">
        <f t="shared" si="164"/>
        <v>3.0942691224039365E-2</v>
      </c>
      <c r="L972" s="10">
        <f t="shared" si="165"/>
        <v>1.8565614734423086E-2</v>
      </c>
    </row>
    <row r="973" spans="1:12" x14ac:dyDescent="0.2">
      <c r="A973" s="14">
        <v>0.90800000000000003</v>
      </c>
      <c r="B973" s="10">
        <f t="shared" si="155"/>
        <v>2.2894558015522533</v>
      </c>
      <c r="C973" s="10">
        <f t="shared" si="156"/>
        <v>0.93409796703331938</v>
      </c>
      <c r="D973" s="10">
        <f t="shared" si="157"/>
        <v>5.8637159899788953</v>
      </c>
      <c r="E973" s="10">
        <f t="shared" si="158"/>
        <v>352.02985592812911</v>
      </c>
      <c r="F973" s="10">
        <f t="shared" si="162"/>
        <v>10.829993748186496</v>
      </c>
      <c r="G973" s="10">
        <f t="shared" si="159"/>
        <v>2.1090622207864707</v>
      </c>
      <c r="H973" s="10">
        <f t="shared" si="160"/>
        <v>0.89178086351699304</v>
      </c>
      <c r="I973" s="10">
        <f t="shared" si="163"/>
        <v>1.8227152163382554E-3</v>
      </c>
      <c r="J973" s="20">
        <f t="shared" si="161"/>
        <v>0</v>
      </c>
      <c r="K973" s="10">
        <f t="shared" si="164"/>
        <v>3.1247578288936317E-2</v>
      </c>
      <c r="L973" s="10">
        <f t="shared" si="165"/>
        <v>1.8748546973361702E-2</v>
      </c>
    </row>
    <row r="974" spans="1:12" x14ac:dyDescent="0.2">
      <c r="A974" s="14">
        <v>0.90900000000000003</v>
      </c>
      <c r="B974" s="10">
        <f t="shared" si="155"/>
        <v>2.3014855876606291</v>
      </c>
      <c r="C974" s="10">
        <f t="shared" si="156"/>
        <v>0.94130760535319735</v>
      </c>
      <c r="D974" s="10">
        <f t="shared" si="157"/>
        <v>5.8952747088789366</v>
      </c>
      <c r="E974" s="10">
        <f t="shared" si="158"/>
        <v>363.31662849502908</v>
      </c>
      <c r="F974" s="10">
        <f t="shared" si="162"/>
        <v>11.28677256689997</v>
      </c>
      <c r="G974" s="10">
        <f t="shared" si="159"/>
        <v>2.127997452126495</v>
      </c>
      <c r="H974" s="10">
        <f t="shared" si="160"/>
        <v>0.89359474974291375</v>
      </c>
      <c r="I974" s="10">
        <f t="shared" si="163"/>
        <v>1.8138862259207134E-3</v>
      </c>
      <c r="J974" s="20">
        <f t="shared" si="161"/>
        <v>0</v>
      </c>
      <c r="K974" s="10">
        <f t="shared" si="164"/>
        <v>3.1558718900041249E-2</v>
      </c>
      <c r="L974" s="10">
        <f t="shared" si="165"/>
        <v>1.8935231340024394E-2</v>
      </c>
    </row>
    <row r="975" spans="1:12" x14ac:dyDescent="0.2">
      <c r="A975" s="14">
        <v>0.91</v>
      </c>
      <c r="B975" s="10">
        <f t="shared" si="155"/>
        <v>2.3136349291806311</v>
      </c>
      <c r="C975" s="10">
        <f t="shared" si="156"/>
        <v>0.94859032096405882</v>
      </c>
      <c r="D975" s="10">
        <f t="shared" si="157"/>
        <v>5.9271510257804323</v>
      </c>
      <c r="E975" s="10">
        <f t="shared" si="158"/>
        <v>375.08438442164146</v>
      </c>
      <c r="F975" s="10">
        <f t="shared" si="162"/>
        <v>11.767755926612381</v>
      </c>
      <c r="G975" s="10">
        <f t="shared" si="159"/>
        <v>2.1471232422673934</v>
      </c>
      <c r="H975" s="10">
        <f t="shared" si="160"/>
        <v>0.89539964860006682</v>
      </c>
      <c r="I975" s="10">
        <f t="shared" si="163"/>
        <v>1.80489885715307E-3</v>
      </c>
      <c r="J975" s="20">
        <f t="shared" si="161"/>
        <v>0</v>
      </c>
      <c r="K975" s="10">
        <f t="shared" si="164"/>
        <v>3.1876316901495727E-2</v>
      </c>
      <c r="L975" s="10">
        <f t="shared" si="165"/>
        <v>1.9125790140898324E-2</v>
      </c>
    </row>
    <row r="976" spans="1:12" x14ac:dyDescent="0.2">
      <c r="A976" s="14">
        <v>0.91100000000000003</v>
      </c>
      <c r="B976" s="10">
        <f t="shared" si="155"/>
        <v>2.325906527527819</v>
      </c>
      <c r="C976" s="10">
        <f t="shared" si="156"/>
        <v>0.95594758281393366</v>
      </c>
      <c r="D976" s="10">
        <f t="shared" si="157"/>
        <v>5.9593516109471363</v>
      </c>
      <c r="E976" s="10">
        <f t="shared" si="158"/>
        <v>387.35888353611074</v>
      </c>
      <c r="F976" s="10">
        <f t="shared" si="162"/>
        <v>12.274499114469279</v>
      </c>
      <c r="G976" s="10">
        <f t="shared" si="159"/>
        <v>2.1664435933674158</v>
      </c>
      <c r="H976" s="10">
        <f t="shared" si="160"/>
        <v>0.8971954015586131</v>
      </c>
      <c r="I976" s="10">
        <f t="shared" si="163"/>
        <v>1.7957529585462817E-3</v>
      </c>
      <c r="J976" s="20">
        <f t="shared" si="161"/>
        <v>0</v>
      </c>
      <c r="K976" s="10">
        <f t="shared" si="164"/>
        <v>3.2200585166703988E-2</v>
      </c>
      <c r="L976" s="10">
        <f t="shared" si="165"/>
        <v>1.9320351100022393E-2</v>
      </c>
    </row>
    <row r="977" spans="1:12" x14ac:dyDescent="0.2">
      <c r="A977" s="14">
        <v>0.91200000000000003</v>
      </c>
      <c r="B977" s="10">
        <f t="shared" si="155"/>
        <v>2.3383031755961254</v>
      </c>
      <c r="C977" s="10">
        <f t="shared" si="156"/>
        <v>0.96338090834560375</v>
      </c>
      <c r="D977" s="10">
        <f t="shared" si="157"/>
        <v>5.9918833570528793</v>
      </c>
      <c r="E977" s="10">
        <f t="shared" si="158"/>
        <v>400.16755906321077</v>
      </c>
      <c r="F977" s="10">
        <f t="shared" si="162"/>
        <v>12.808675527100036</v>
      </c>
      <c r="G977" s="10">
        <f t="shared" si="159"/>
        <v>2.1859626410308617</v>
      </c>
      <c r="H977" s="10">
        <f t="shared" si="160"/>
        <v>0.89898184995722275</v>
      </c>
      <c r="I977" s="10">
        <f t="shared" si="163"/>
        <v>1.7864483986096413E-3</v>
      </c>
      <c r="J977" s="20">
        <f t="shared" si="161"/>
        <v>0</v>
      </c>
      <c r="K977" s="10">
        <f t="shared" si="164"/>
        <v>3.2531746105743053E-2</v>
      </c>
      <c r="L977" s="10">
        <f t="shared" si="165"/>
        <v>1.9519047663445921E-2</v>
      </c>
    </row>
    <row r="978" spans="1:12" x14ac:dyDescent="0.2">
      <c r="A978" s="14">
        <v>0.91300000000000003</v>
      </c>
      <c r="B978" s="10">
        <f t="shared" si="155"/>
        <v>2.3508277619403852</v>
      </c>
      <c r="C978" s="10">
        <f t="shared" si="156"/>
        <v>0.9708918656813792</v>
      </c>
      <c r="D978" s="10">
        <f t="shared" si="157"/>
        <v>6.0247533892603311</v>
      </c>
      <c r="E978" s="10">
        <f t="shared" si="158"/>
        <v>413.53964612888984</v>
      </c>
      <c r="F978" s="10">
        <f t="shared" si="162"/>
        <v>13.372087065679068</v>
      </c>
      <c r="G978" s="10">
        <f t="shared" si="159"/>
        <v>2.2056846603553319</v>
      </c>
      <c r="H978" s="10">
        <f t="shared" si="160"/>
        <v>0.90075883502280063</v>
      </c>
      <c r="I978" s="10">
        <f t="shared" si="163"/>
        <v>1.7769850655778852E-3</v>
      </c>
      <c r="J978" s="20">
        <f t="shared" si="161"/>
        <v>0</v>
      </c>
      <c r="K978" s="10">
        <f t="shared" si="164"/>
        <v>3.2870032207451771E-2</v>
      </c>
      <c r="L978" s="10">
        <f t="shared" si="165"/>
        <v>1.9722019324470264E-2</v>
      </c>
    </row>
    <row r="979" spans="1:12" x14ac:dyDescent="0.2">
      <c r="A979" s="14">
        <v>0.91400000000000003</v>
      </c>
      <c r="B979" s="10">
        <f t="shared" si="155"/>
        <v>2.3634832752006427</v>
      </c>
      <c r="C979" s="10">
        <f t="shared" si="156"/>
        <v>0.97848207593306613</v>
      </c>
      <c r="D979" s="10">
        <f t="shared" si="157"/>
        <v>6.057969075879317</v>
      </c>
      <c r="E979" s="10">
        <f t="shared" si="158"/>
        <v>427.50632170406061</v>
      </c>
      <c r="F979" s="10">
        <f t="shared" si="162"/>
        <v>13.966675575170768</v>
      </c>
      <c r="G979" s="10">
        <f t="shared" si="159"/>
        <v>2.2256140723267235</v>
      </c>
      <c r="H979" s="10">
        <f t="shared" si="160"/>
        <v>0.90252619788989619</v>
      </c>
      <c r="I979" s="10">
        <f t="shared" si="163"/>
        <v>1.7673628670955566E-3</v>
      </c>
      <c r="J979" s="20">
        <f t="shared" si="161"/>
        <v>0</v>
      </c>
      <c r="K979" s="10">
        <f t="shared" si="164"/>
        <v>3.3215686618985885E-2</v>
      </c>
      <c r="L979" s="10">
        <f t="shared" si="165"/>
        <v>1.9929411971391531E-2</v>
      </c>
    </row>
    <row r="980" spans="1:12" x14ac:dyDescent="0.2">
      <c r="A980" s="14">
        <v>0.91500000000000004</v>
      </c>
      <c r="B980" s="10">
        <f t="shared" si="155"/>
        <v>2.3762728087852052</v>
      </c>
      <c r="C980" s="10">
        <f t="shared" si="156"/>
        <v>0.98615321564586023</v>
      </c>
      <c r="D980" s="10">
        <f t="shared" si="157"/>
        <v>6.0915380396452257</v>
      </c>
      <c r="E980" s="10">
        <f t="shared" si="158"/>
        <v>442.10085715007068</v>
      </c>
      <c r="F980" s="10">
        <f t="shared" si="162"/>
        <v>14.59453544601007</v>
      </c>
      <c r="G980" s="10">
        <f t="shared" si="159"/>
        <v>2.2457554505862687</v>
      </c>
      <c r="H980" s="10">
        <f t="shared" si="160"/>
        <v>0.90428377961975759</v>
      </c>
      <c r="I980" s="10">
        <f t="shared" si="163"/>
        <v>1.7575817298614016E-3</v>
      </c>
      <c r="J980" s="20">
        <f t="shared" si="161"/>
        <v>0</v>
      </c>
      <c r="K980" s="10">
        <f t="shared" si="164"/>
        <v>3.3568963765908677E-2</v>
      </c>
      <c r="L980" s="10">
        <f t="shared" si="165"/>
        <v>2.0141378259545206E-2</v>
      </c>
    </row>
    <row r="981" spans="1:12" x14ac:dyDescent="0.2">
      <c r="A981" s="14">
        <v>0.91600000000000004</v>
      </c>
      <c r="B981" s="10">
        <f t="shared" si="155"/>
        <v>2.3891995658308174</v>
      </c>
      <c r="C981" s="10">
        <f t="shared" si="156"/>
        <v>0.99390701938562009</v>
      </c>
      <c r="D981" s="10">
        <f t="shared" si="157"/>
        <v>6.1254681696613762</v>
      </c>
      <c r="E981" s="10">
        <f t="shared" si="158"/>
        <v>457.35878466147557</v>
      </c>
      <c r="F981" s="10">
        <f t="shared" si="162"/>
        <v>15.257927511404887</v>
      </c>
      <c r="G981" s="10">
        <f t="shared" si="159"/>
        <v>2.2661135285959597</v>
      </c>
      <c r="H981" s="10">
        <f t="shared" si="160"/>
        <v>0.90603142121898816</v>
      </c>
      <c r="I981" s="10">
        <f t="shared" si="163"/>
        <v>1.747641599230576E-3</v>
      </c>
      <c r="J981" s="20">
        <f t="shared" si="161"/>
        <v>0</v>
      </c>
      <c r="K981" s="10">
        <f t="shared" si="164"/>
        <v>3.3930130016150528E-2</v>
      </c>
      <c r="L981" s="10">
        <f t="shared" si="165"/>
        <v>2.0358078009691027E-2</v>
      </c>
    </row>
    <row r="982" spans="1:12" x14ac:dyDescent="0.2">
      <c r="A982" s="14">
        <v>0.91700000000000004</v>
      </c>
      <c r="B982" s="10">
        <f t="shared" si="155"/>
        <v>2.4022668644598673</v>
      </c>
      <c r="C982" s="10">
        <f t="shared" si="156"/>
        <v>1.0017452824797648</v>
      </c>
      <c r="D982" s="10">
        <f t="shared" si="157"/>
        <v>6.1597676340529022</v>
      </c>
      <c r="E982" s="10">
        <f t="shared" si="158"/>
        <v>473.31807905197508</v>
      </c>
      <c r="F982" s="10">
        <f t="shared" si="162"/>
        <v>15.959294390499508</v>
      </c>
      <c r="G982" s="10">
        <f t="shared" si="159"/>
        <v>2.2866932072308752</v>
      </c>
      <c r="H982" s="10">
        <f t="shared" si="160"/>
        <v>0.90776896365775483</v>
      </c>
      <c r="I982" s="10">
        <f t="shared" si="163"/>
        <v>1.7375424387666705E-3</v>
      </c>
      <c r="J982" s="20">
        <f t="shared" si="161"/>
        <v>0</v>
      </c>
      <c r="K982" s="10">
        <f t="shared" si="164"/>
        <v>3.429946439152598E-2</v>
      </c>
      <c r="L982" s="10">
        <f t="shared" si="165"/>
        <v>2.0579678634915499E-2</v>
      </c>
    </row>
    <row r="983" spans="1:12" x14ac:dyDescent="0.2">
      <c r="A983" s="14">
        <v>0.91800000000000004</v>
      </c>
      <c r="B983" s="10">
        <f t="shared" si="155"/>
        <v>2.4154781433562378</v>
      </c>
      <c r="C983" s="10">
        <f t="shared" si="156"/>
        <v>1.0096698639229076</v>
      </c>
      <c r="D983" s="10">
        <f t="shared" si="157"/>
        <v>6.1944448933837286</v>
      </c>
      <c r="E983" s="10">
        <f t="shared" si="158"/>
        <v>490.019356499048</v>
      </c>
      <c r="F983" s="10">
        <f t="shared" si="162"/>
        <v>16.701277447072925</v>
      </c>
      <c r="G983" s="10">
        <f t="shared" si="159"/>
        <v>2.3074995628293706</v>
      </c>
      <c r="H983" s="10">
        <f t="shared" si="160"/>
        <v>0.90949624788750572</v>
      </c>
      <c r="I983" s="10">
        <f t="shared" si="163"/>
        <v>1.7272842297508806E-3</v>
      </c>
      <c r="J983" s="20">
        <f t="shared" si="161"/>
        <v>0</v>
      </c>
      <c r="K983" s="10">
        <f t="shared" si="164"/>
        <v>3.4677259330826438E-2</v>
      </c>
      <c r="L983" s="10">
        <f t="shared" si="165"/>
        <v>2.0806355598495418E-2</v>
      </c>
    </row>
    <row r="984" spans="1:12" x14ac:dyDescent="0.2">
      <c r="A984" s="14">
        <v>0.91900000000000004</v>
      </c>
      <c r="B984" s="10">
        <f t="shared" si="155"/>
        <v>2.4288369676832486</v>
      </c>
      <c r="C984" s="10">
        <f t="shared" si="156"/>
        <v>1.0176826894592812</v>
      </c>
      <c r="D984" s="10">
        <f t="shared" si="157"/>
        <v>6.2295087148926171</v>
      </c>
      <c r="E984" s="10">
        <f t="shared" si="158"/>
        <v>507.50609205472682</v>
      </c>
      <c r="F984" s="10">
        <f t="shared" si="162"/>
        <v>17.48673555567882</v>
      </c>
      <c r="G984" s="10">
        <f t="shared" si="159"/>
        <v>2.3285378557347038</v>
      </c>
      <c r="H984" s="10">
        <f t="shared" si="160"/>
        <v>0.91121311485813927</v>
      </c>
      <c r="I984" s="10">
        <f t="shared" si="163"/>
        <v>1.7168669706335571E-3</v>
      </c>
      <c r="J984" s="20">
        <f t="shared" si="161"/>
        <v>0</v>
      </c>
      <c r="K984" s="10">
        <f t="shared" si="164"/>
        <v>3.5063821508888537E-2</v>
      </c>
      <c r="L984" s="10">
        <f t="shared" si="165"/>
        <v>2.1038292905333211E-2</v>
      </c>
    </row>
    <row r="985" spans="1:12" x14ac:dyDescent="0.2">
      <c r="A985" s="14">
        <v>0.92</v>
      </c>
      <c r="B985" s="10">
        <f t="shared" si="155"/>
        <v>2.4423470353692052</v>
      </c>
      <c r="C985" s="10">
        <f t="shared" si="156"/>
        <v>1.0257857548550662</v>
      </c>
      <c r="D985" s="10">
        <f t="shared" si="157"/>
        <v>6.2649681876091634</v>
      </c>
      <c r="E985" s="10">
        <f t="shared" si="158"/>
        <v>525.82485794735555</v>
      </c>
      <c r="F985" s="10">
        <f t="shared" si="162"/>
        <v>18.318765892628733</v>
      </c>
      <c r="G985" s="10">
        <f t="shared" si="159"/>
        <v>2.3498135393646318</v>
      </c>
      <c r="H985" s="10">
        <f t="shared" si="160"/>
        <v>0.91291940553457396</v>
      </c>
      <c r="I985" s="10">
        <f t="shared" si="163"/>
        <v>1.7062906764346852E-3</v>
      </c>
      <c r="J985" s="20">
        <f t="shared" si="161"/>
        <v>0</v>
      </c>
      <c r="K985" s="10">
        <f t="shared" si="164"/>
        <v>3.5459472716546259E-2</v>
      </c>
      <c r="L985" s="10">
        <f t="shared" si="165"/>
        <v>2.1275683629927933E-2</v>
      </c>
    </row>
    <row r="986" spans="1:12" x14ac:dyDescent="0.2">
      <c r="A986" s="14">
        <v>0.92100000000000004</v>
      </c>
      <c r="B986" s="10">
        <f t="shared" si="155"/>
        <v>2.4560121837882858</v>
      </c>
      <c r="C986" s="10">
        <f t="shared" si="156"/>
        <v>1.0339811293748684</v>
      </c>
      <c r="D986" s="10">
        <f t="shared" si="157"/>
        <v>6.3008327384159015</v>
      </c>
      <c r="E986" s="10">
        <f t="shared" si="158"/>
        <v>545.02558494572031</v>
      </c>
      <c r="F986" s="10">
        <f t="shared" si="162"/>
        <v>19.200726998364757</v>
      </c>
      <c r="G986" s="10">
        <f t="shared" si="159"/>
        <v>2.3713322698486747</v>
      </c>
      <c r="H986" s="10">
        <f t="shared" si="160"/>
        <v>0.91461496091265992</v>
      </c>
      <c r="I986" s="10">
        <f t="shared" si="163"/>
        <v>1.6955553780859667E-3</v>
      </c>
      <c r="J986" s="20">
        <f t="shared" si="161"/>
        <v>0</v>
      </c>
      <c r="K986" s="10">
        <f t="shared" si="164"/>
        <v>3.5864550806738116E-2</v>
      </c>
      <c r="L986" s="10">
        <f t="shared" si="165"/>
        <v>2.1518730484042958E-2</v>
      </c>
    </row>
    <row r="987" spans="1:12" x14ac:dyDescent="0.2">
      <c r="A987" s="14">
        <v>0.92200000000000004</v>
      </c>
      <c r="B987" s="10">
        <f t="shared" si="155"/>
        <v>2.4698363968670027</v>
      </c>
      <c r="C987" s="10">
        <f t="shared" si="156"/>
        <v>1.0422709594778752</v>
      </c>
      <c r="D987" s="10">
        <f t="shared" si="157"/>
        <v>6.3371121491286395</v>
      </c>
      <c r="E987" s="10">
        <f t="shared" si="158"/>
        <v>565.161849337116</v>
      </c>
      <c r="F987" s="10">
        <f t="shared" si="162"/>
        <v>20.136264391395684</v>
      </c>
      <c r="G987" s="10">
        <f t="shared" si="159"/>
        <v>2.3930999162763174</v>
      </c>
      <c r="H987" s="10">
        <f t="shared" si="160"/>
        <v>0.91629962203437043</v>
      </c>
      <c r="I987" s="10">
        <f t="shared" si="163"/>
        <v>1.6846611217105067E-3</v>
      </c>
      <c r="J987" s="20">
        <f t="shared" si="161"/>
        <v>0</v>
      </c>
      <c r="K987" s="10">
        <f t="shared" si="164"/>
        <v>3.6279410712737992E-2</v>
      </c>
      <c r="L987" s="10">
        <f t="shared" si="165"/>
        <v>2.1767646427642617E-2</v>
      </c>
    </row>
    <row r="988" spans="1:12" x14ac:dyDescent="0.2">
      <c r="A988" s="14">
        <v>0.92300000000000004</v>
      </c>
      <c r="B988" s="10">
        <f t="shared" si="155"/>
        <v>2.483823812649169</v>
      </c>
      <c r="C988" s="10">
        <f t="shared" si="156"/>
        <v>1.0506574727505986</v>
      </c>
      <c r="D988" s="10">
        <f t="shared" si="157"/>
        <v>6.3738165746735786</v>
      </c>
      <c r="E988" s="10">
        <f t="shared" si="158"/>
        <v>586.29118838962518</v>
      </c>
      <c r="F988" s="10">
        <f t="shared" si="162"/>
        <v>21.129339052509181</v>
      </c>
      <c r="G988" s="10">
        <f t="shared" si="159"/>
        <v>2.4151225716032805</v>
      </c>
      <c r="H988" s="10">
        <f t="shared" si="160"/>
        <v>0.91797323000220865</v>
      </c>
      <c r="I988" s="10">
        <f t="shared" si="163"/>
        <v>1.6736079678382199E-3</v>
      </c>
      <c r="J988" s="20">
        <f t="shared" si="161"/>
        <v>0</v>
      </c>
      <c r="K988" s="10">
        <f t="shared" si="164"/>
        <v>3.6704425544939134E-2</v>
      </c>
      <c r="L988" s="10">
        <f t="shared" si="165"/>
        <v>2.2022655326963125E-2</v>
      </c>
    </row>
    <row r="989" spans="1:12" x14ac:dyDescent="0.2">
      <c r="A989" s="14">
        <v>0.92400000000000004</v>
      </c>
      <c r="B989" s="10">
        <f t="shared" si="155"/>
        <v>2.4979787313553539</v>
      </c>
      <c r="C989" s="10">
        <f t="shared" si="156"/>
        <v>1.0591429820946701</v>
      </c>
      <c r="D989" s="10">
        <f t="shared" si="157"/>
        <v>6.4109565624469909</v>
      </c>
      <c r="E989" s="10">
        <f t="shared" si="158"/>
        <v>608.47544753215948</v>
      </c>
      <c r="F989" s="10">
        <f t="shared" si="162"/>
        <v>22.184259142534302</v>
      </c>
      <c r="G989" s="10">
        <f t="shared" si="159"/>
        <v>2.4374065642673282</v>
      </c>
      <c r="H989" s="10">
        <f t="shared" si="160"/>
        <v>0.91963562599275983</v>
      </c>
      <c r="I989" s="10">
        <f t="shared" si="163"/>
        <v>1.6623959905511798E-3</v>
      </c>
      <c r="J989" s="20">
        <f t="shared" si="161"/>
        <v>0</v>
      </c>
      <c r="K989" s="10">
        <f t="shared" si="164"/>
        <v>3.7139987773412209E-2</v>
      </c>
      <c r="L989" s="10">
        <f t="shared" si="165"/>
        <v>2.228399266404768E-2</v>
      </c>
    </row>
    <row r="990" spans="1:12" x14ac:dyDescent="0.2">
      <c r="A990" s="14">
        <v>0.92500000000000004</v>
      </c>
      <c r="B990" s="10">
        <f t="shared" si="155"/>
        <v>2.5123056239761152</v>
      </c>
      <c r="C990" s="10">
        <f t="shared" si="156"/>
        <v>1.0677298901898491</v>
      </c>
      <c r="D990" s="10">
        <f t="shared" si="157"/>
        <v>6.4485430729511446</v>
      </c>
      <c r="E990" s="10">
        <f t="shared" si="158"/>
        <v>631.78116290045978</v>
      </c>
      <c r="F990" s="10">
        <f t="shared" si="162"/>
        <v>23.305715368300298</v>
      </c>
      <c r="G990" s="10">
        <f t="shared" si="159"/>
        <v>2.4599584705698199</v>
      </c>
      <c r="H990" s="10">
        <f t="shared" si="160"/>
        <v>0.92128665126931542</v>
      </c>
      <c r="I990" s="10">
        <f t="shared" si="163"/>
        <v>1.6510252765555844E-3</v>
      </c>
      <c r="J990" s="20">
        <f t="shared" si="161"/>
        <v>0</v>
      </c>
      <c r="K990" s="10">
        <f t="shared" si="164"/>
        <v>3.7586510504153736E-2</v>
      </c>
      <c r="L990" s="10">
        <f t="shared" si="165"/>
        <v>2.2551906302491709E-2</v>
      </c>
    </row>
    <row r="991" spans="1:12" x14ac:dyDescent="0.2">
      <c r="A991" s="14">
        <v>0.92600000000000005</v>
      </c>
      <c r="B991" s="10">
        <f t="shared" si="155"/>
        <v>2.5268091414420102</v>
      </c>
      <c r="C991" s="10">
        <f t="shared" si="156"/>
        <v>1.0764206942542964</v>
      </c>
      <c r="D991" s="10">
        <f t="shared" si="157"/>
        <v>6.4865875018089341</v>
      </c>
      <c r="E991" s="10">
        <f t="shared" si="158"/>
        <v>656.27998337134318</v>
      </c>
      <c r="F991" s="10">
        <f t="shared" si="162"/>
        <v>24.498820470883402</v>
      </c>
      <c r="G991" s="10">
        <f t="shared" si="159"/>
        <v>2.4827851278844948</v>
      </c>
      <c r="H991" s="10">
        <f t="shared" si="160"/>
        <v>0.92292614719349064</v>
      </c>
      <c r="I991" s="10">
        <f t="shared" si="163"/>
        <v>1.6394959241752272E-3</v>
      </c>
      <c r="J991" s="20">
        <f t="shared" si="161"/>
        <v>0</v>
      </c>
      <c r="K991" s="10">
        <f t="shared" si="164"/>
        <v>3.804442885778947E-2</v>
      </c>
      <c r="L991" s="10">
        <f t="shared" si="165"/>
        <v>2.2826657314674925E-2</v>
      </c>
    </row>
    <row r="992" spans="1:12" x14ac:dyDescent="0.2">
      <c r="A992" s="14">
        <v>0.92700000000000005</v>
      </c>
      <c r="B992" s="10">
        <f t="shared" si="155"/>
        <v>2.5414941244174649</v>
      </c>
      <c r="C992" s="10">
        <f t="shared" si="156"/>
        <v>1.0852179911262576</v>
      </c>
      <c r="D992" s="10">
        <f t="shared" si="157"/>
        <v>6.5251017032694616</v>
      </c>
      <c r="E992" s="10">
        <f t="shared" si="158"/>
        <v>682.04913675054945</v>
      </c>
      <c r="F992" s="10">
        <f t="shared" si="162"/>
        <v>25.769153379206273</v>
      </c>
      <c r="G992" s="10">
        <f t="shared" si="159"/>
        <v>2.5058936487608108</v>
      </c>
      <c r="H992" s="10">
        <f t="shared" si="160"/>
        <v>0.9245539552357509</v>
      </c>
      <c r="I992" s="10">
        <f t="shared" si="163"/>
        <v>1.6278080422602592E-3</v>
      </c>
      <c r="J992" s="20">
        <f t="shared" si="161"/>
        <v>0</v>
      </c>
      <c r="K992" s="10">
        <f t="shared" si="164"/>
        <v>3.8514201460527531E-2</v>
      </c>
      <c r="L992" s="10">
        <f t="shared" si="165"/>
        <v>2.3108520876315986E-2</v>
      </c>
    </row>
    <row r="993" spans="1:12" x14ac:dyDescent="0.2">
      <c r="A993" s="14">
        <v>0.92800000000000005</v>
      </c>
      <c r="B993" s="10">
        <f t="shared" si="155"/>
        <v>2.5563656137701458</v>
      </c>
      <c r="C993" s="10">
        <f t="shared" si="156"/>
        <v>1.0941244826936225</v>
      </c>
      <c r="D993" s="10">
        <f t="shared" si="157"/>
        <v>6.564098015327545</v>
      </c>
      <c r="E993" s="10">
        <f t="shared" si="158"/>
        <v>709.17194540252524</v>
      </c>
      <c r="F993" s="10">
        <f t="shared" si="162"/>
        <v>27.122808651975788</v>
      </c>
      <c r="G993" s="10">
        <f t="shared" si="159"/>
        <v>2.5292914359956606</v>
      </c>
      <c r="H993" s="10">
        <f t="shared" si="160"/>
        <v>0.92616991698475859</v>
      </c>
      <c r="I993" s="10">
        <f t="shared" si="163"/>
        <v>1.6159617490076883E-3</v>
      </c>
      <c r="J993" s="20">
        <f t="shared" si="161"/>
        <v>0</v>
      </c>
      <c r="K993" s="10">
        <f t="shared" si="164"/>
        <v>3.8996312058083404E-2</v>
      </c>
      <c r="L993" s="10">
        <f t="shared" si="165"/>
        <v>2.3397787234849865E-2</v>
      </c>
    </row>
    <row r="994" spans="1:12" x14ac:dyDescent="0.2">
      <c r="A994" s="14">
        <v>0.92900000000000005</v>
      </c>
      <c r="B994" s="10">
        <f t="shared" si="155"/>
        <v>2.5714288617725241</v>
      </c>
      <c r="C994" s="10">
        <f t="shared" si="156"/>
        <v>1.103142981700413</v>
      </c>
      <c r="D994" s="10">
        <f t="shared" si="157"/>
        <v>6.6035892865922694</v>
      </c>
      <c r="E994" s="10">
        <f t="shared" si="158"/>
        <v>737.73839732673173</v>
      </c>
      <c r="F994" s="10">
        <f t="shared" si="162"/>
        <v>28.56645192420649</v>
      </c>
      <c r="G994" s="10">
        <f t="shared" si="159"/>
        <v>2.5529861987544953</v>
      </c>
      <c r="H994" s="10">
        <f t="shared" si="160"/>
        <v>0.92777387415544332</v>
      </c>
      <c r="I994" s="10">
        <f t="shared" si="163"/>
        <v>1.6039571706847333E-3</v>
      </c>
      <c r="J994" s="20">
        <f t="shared" si="161"/>
        <v>0</v>
      </c>
      <c r="K994" s="10">
        <f t="shared" si="164"/>
        <v>3.9491271264724404E-2</v>
      </c>
      <c r="L994" s="10">
        <f t="shared" si="165"/>
        <v>2.3694762758834642E-2</v>
      </c>
    </row>
    <row r="995" spans="1:12" x14ac:dyDescent="0.2">
      <c r="A995" s="14">
        <v>0.93</v>
      </c>
      <c r="B995" s="10">
        <f t="shared" si="155"/>
        <v>2.5866893440979433</v>
      </c>
      <c r="C995" s="10">
        <f t="shared" si="156"/>
        <v>1.1122764179621156</v>
      </c>
      <c r="D995" s="10">
        <f t="shared" si="157"/>
        <v>6.6435889050529191</v>
      </c>
      <c r="E995" s="10">
        <f t="shared" si="158"/>
        <v>767.84577950965161</v>
      </c>
      <c r="F995" s="10">
        <f t="shared" si="162"/>
        <v>30.107382182919878</v>
      </c>
      <c r="G995" s="10">
        <f t="shared" si="159"/>
        <v>2.576985969830885</v>
      </c>
      <c r="H995" s="10">
        <f t="shared" si="160"/>
        <v>0.92936566859569358</v>
      </c>
      <c r="I995" s="10">
        <f t="shared" si="163"/>
        <v>1.5917944402502604E-3</v>
      </c>
      <c r="J995" s="20">
        <f t="shared" si="161"/>
        <v>0</v>
      </c>
      <c r="K995" s="10">
        <f t="shared" si="164"/>
        <v>3.99996184606497E-2</v>
      </c>
      <c r="L995" s="10">
        <f t="shared" si="165"/>
        <v>2.3999771076389731E-2</v>
      </c>
    </row>
    <row r="996" spans="1:12" x14ac:dyDescent="0.2">
      <c r="A996" s="14">
        <v>0.93100000000000005</v>
      </c>
      <c r="B996" s="10">
        <f t="shared" si="155"/>
        <v>2.6021527726798084</v>
      </c>
      <c r="C996" s="10">
        <f t="shared" si="156"/>
        <v>1.1215278450249975</v>
      </c>
      <c r="D996" s="10">
        <f t="shared" si="157"/>
        <v>6.6841108289057303</v>
      </c>
      <c r="E996" s="10">
        <f t="shared" si="158"/>
        <v>799.59938133331582</v>
      </c>
      <c r="F996" s="10">
        <f t="shared" si="162"/>
        <v>31.753601823664212</v>
      </c>
      <c r="G996" s="10">
        <f t="shared" si="159"/>
        <v>2.6012991241425718</v>
      </c>
      <c r="H996" s="10">
        <f t="shared" si="160"/>
        <v>0.93094514229156144</v>
      </c>
      <c r="I996" s="10">
        <f t="shared" si="163"/>
        <v>1.5794736958678612E-3</v>
      </c>
      <c r="J996" s="20">
        <f t="shared" si="161"/>
        <v>0</v>
      </c>
      <c r="K996" s="10">
        <f t="shared" si="164"/>
        <v>4.052192385281117E-2</v>
      </c>
      <c r="L996" s="10">
        <f t="shared" si="165"/>
        <v>2.4313154311686791E-2</v>
      </c>
    </row>
    <row r="997" spans="1:12" x14ac:dyDescent="0.2">
      <c r="A997" s="14">
        <v>0.93200000000000005</v>
      </c>
      <c r="B997" s="10">
        <f t="shared" si="155"/>
        <v>2.6178251095094853</v>
      </c>
      <c r="C997" s="10">
        <f t="shared" si="156"/>
        <v>1.1309004473080977</v>
      </c>
      <c r="D997" s="10">
        <f t="shared" si="157"/>
        <v>6.7251696196213882</v>
      </c>
      <c r="E997" s="10">
        <f t="shared" si="158"/>
        <v>833.11327692101554</v>
      </c>
      <c r="F997" s="10">
        <f t="shared" si="162"/>
        <v>33.513895587699722</v>
      </c>
      <c r="G997" s="10">
        <f t="shared" si="159"/>
        <v>2.6259343985719665</v>
      </c>
      <c r="H997" s="10">
        <f t="shared" si="160"/>
        <v>0.93251213737085847</v>
      </c>
      <c r="I997" s="10">
        <f t="shared" si="163"/>
        <v>1.5669950792970289E-3</v>
      </c>
      <c r="J997" s="20">
        <f t="shared" si="161"/>
        <v>0</v>
      </c>
      <c r="K997" s="10">
        <f t="shared" si="164"/>
        <v>4.1058790715657878E-2</v>
      </c>
      <c r="L997" s="10">
        <f t="shared" si="165"/>
        <v>2.4635274429394727E-2</v>
      </c>
    </row>
    <row r="998" spans="1:12" x14ac:dyDescent="0.2">
      <c r="A998" s="14">
        <v>0.93300000000000005</v>
      </c>
      <c r="B998" s="10">
        <f t="shared" si="155"/>
        <v>2.6337125814563787</v>
      </c>
      <c r="C998" s="10">
        <f t="shared" si="156"/>
        <v>1.1403975477706121</v>
      </c>
      <c r="D998" s="10">
        <f t="shared" si="157"/>
        <v>6.7667804774519578</v>
      </c>
      <c r="E998" s="10">
        <f t="shared" si="158"/>
        <v>868.51119657510992</v>
      </c>
      <c r="F998" s="10">
        <f t="shared" si="162"/>
        <v>35.39791965409438</v>
      </c>
      <c r="G998" s="10">
        <f t="shared" si="159"/>
        <v>2.6509009132703083</v>
      </c>
      <c r="H998" s="10">
        <f t="shared" si="160"/>
        <v>0.93406649610501946</v>
      </c>
      <c r="I998" s="10">
        <f t="shared" si="163"/>
        <v>1.5543587341609877E-3</v>
      </c>
      <c r="J998" s="20">
        <f t="shared" si="161"/>
        <v>0</v>
      </c>
      <c r="K998" s="10">
        <f t="shared" si="164"/>
        <v>4.1610857830569614E-2</v>
      </c>
      <c r="L998" s="10">
        <f t="shared" si="165"/>
        <v>2.4966514698341769E-2</v>
      </c>
    </row>
    <row r="999" spans="1:12" x14ac:dyDescent="0.2">
      <c r="A999" s="14">
        <v>0.93400000000000005</v>
      </c>
      <c r="B999" s="10">
        <f t="shared" si="155"/>
        <v>2.6498216962024177</v>
      </c>
      <c r="C999" s="10">
        <f t="shared" si="156"/>
        <v>1.1500226161518494</v>
      </c>
      <c r="D999" s="10">
        <f t="shared" si="157"/>
        <v>6.8089592795967384</v>
      </c>
      <c r="E999" s="10">
        <f t="shared" si="158"/>
        <v>905.92749894074552</v>
      </c>
      <c r="F999" s="10">
        <f t="shared" si="162"/>
        <v>37.416302365635602</v>
      </c>
      <c r="G999" s="10">
        <f t="shared" si="159"/>
        <v>2.676208194557177</v>
      </c>
      <c r="H999" s="10">
        <f t="shared" si="160"/>
        <v>0.93560806090909687</v>
      </c>
      <c r="I999" s="10">
        <f t="shared" si="163"/>
        <v>1.541564804077411E-3</v>
      </c>
      <c r="J999" s="20">
        <f t="shared" si="161"/>
        <v>0</v>
      </c>
      <c r="K999" s="10">
        <f t="shared" si="164"/>
        <v>4.2178802144780647E-2</v>
      </c>
      <c r="L999" s="10">
        <f t="shared" si="165"/>
        <v>2.5307281286868655E-2</v>
      </c>
    </row>
    <row r="1000" spans="1:12" x14ac:dyDescent="0.2">
      <c r="A1000" s="14">
        <v>0.93500000000000005</v>
      </c>
      <c r="B1000" s="10">
        <f t="shared" si="155"/>
        <v>2.666159259393051</v>
      </c>
      <c r="C1000" s="10">
        <f t="shared" si="156"/>
        <v>1.1597792778359772</v>
      </c>
      <c r="D1000" s="10">
        <f t="shared" si="157"/>
        <v>6.8517226212699613</v>
      </c>
      <c r="E1000" s="10">
        <f t="shared" si="158"/>
        <v>945.50825724966114</v>
      </c>
      <c r="F1000" s="10">
        <f t="shared" si="162"/>
        <v>39.58075830891562</v>
      </c>
      <c r="G1000" s="10">
        <f t="shared" si="159"/>
        <v>2.7018661995611106</v>
      </c>
      <c r="H1000" s="10">
        <f t="shared" si="160"/>
        <v>0.93713667433973624</v>
      </c>
      <c r="I1000" s="10">
        <f t="shared" si="163"/>
        <v>1.5286134306393695E-3</v>
      </c>
      <c r="J1000" s="20">
        <f t="shared" si="161"/>
        <v>0</v>
      </c>
      <c r="K1000" s="10">
        <f t="shared" si="164"/>
        <v>4.2763341673222932E-2</v>
      </c>
      <c r="L1000" s="10">
        <f t="shared" si="165"/>
        <v>2.565800500393367E-2</v>
      </c>
    </row>
    <row r="1001" spans="1:12" x14ac:dyDescent="0.2">
      <c r="A1001" s="14">
        <v>0.93600000000000005</v>
      </c>
      <c r="B1001" s="10">
        <f t="shared" si="155"/>
        <v>2.682732393117921</v>
      </c>
      <c r="C1001" s="10">
        <f t="shared" si="156"/>
        <v>1.1696713233994136</v>
      </c>
      <c r="D1001" s="10">
        <f t="shared" si="157"/>
        <v>6.8950878599395615</v>
      </c>
      <c r="E1001" s="10">
        <f t="shared" si="158"/>
        <v>987.41247500375766</v>
      </c>
      <c r="F1001" s="10">
        <f t="shared" si="162"/>
        <v>41.904217754096521</v>
      </c>
      <c r="G1001" s="10">
        <f t="shared" si="159"/>
        <v>2.7278853427628706</v>
      </c>
      <c r="H1001" s="10">
        <f t="shared" si="160"/>
        <v>0.93865217909097631</v>
      </c>
      <c r="I1001" s="10">
        <f t="shared" si="163"/>
        <v>1.515504751240071E-3</v>
      </c>
      <c r="J1001" s="20">
        <f t="shared" si="161"/>
        <v>0</v>
      </c>
      <c r="K1001" s="10">
        <f t="shared" si="164"/>
        <v>4.3365238669600181E-2</v>
      </c>
      <c r="L1001" s="10">
        <f t="shared" si="165"/>
        <v>2.601914320176002E-2</v>
      </c>
    </row>
    <row r="1002" spans="1:12" x14ac:dyDescent="0.2">
      <c r="A1002" s="14">
        <v>0.93700000000000006</v>
      </c>
      <c r="B1002" s="10">
        <f t="shared" si="155"/>
        <v>2.6995485558468904</v>
      </c>
      <c r="C1002" s="10">
        <f t="shared" si="156"/>
        <v>1.1797027189050913</v>
      </c>
      <c r="D1002" s="10">
        <f t="shared" si="157"/>
        <v>6.9390731630359088</v>
      </c>
      <c r="E1002" s="10">
        <f t="shared" si="158"/>
        <v>1031.8134488013729</v>
      </c>
      <c r="F1002" s="10">
        <f t="shared" si="162"/>
        <v>44.400973797615279</v>
      </c>
      <c r="G1002" s="10">
        <f t="shared" si="159"/>
        <v>2.7542765246206788</v>
      </c>
      <c r="H1002" s="10">
        <f t="shared" si="160"/>
        <v>0.94015441798770061</v>
      </c>
      <c r="I1002" s="10">
        <f t="shared" si="163"/>
        <v>1.502238896724295E-3</v>
      </c>
      <c r="J1002" s="20">
        <f t="shared" si="161"/>
        <v>0</v>
      </c>
      <c r="K1002" s="10">
        <f t="shared" si="164"/>
        <v>4.3985303096347295E-2</v>
      </c>
      <c r="L1002" s="10">
        <f t="shared" si="165"/>
        <v>2.6391181857808199E-2</v>
      </c>
    </row>
    <row r="1003" spans="1:12" x14ac:dyDescent="0.2">
      <c r="A1003" s="14">
        <v>0.93799999999999994</v>
      </c>
      <c r="B1003" s="10">
        <f t="shared" si="155"/>
        <v>2.716615563961132</v>
      </c>
      <c r="C1003" s="10">
        <f t="shared" si="156"/>
        <v>1.1898776170149756</v>
      </c>
      <c r="D1003" s="10">
        <f t="shared" si="157"/>
        <v>6.9836975594627368</v>
      </c>
      <c r="E1003" s="10">
        <f t="shared" si="158"/>
        <v>1078.9002987533231</v>
      </c>
      <c r="F1003" s="10">
        <f t="shared" si="162"/>
        <v>47.086849951950171</v>
      </c>
      <c r="G1003" s="10">
        <f t="shared" si="159"/>
        <v>2.7810511624767758</v>
      </c>
      <c r="H1003" s="10">
        <f t="shared" si="160"/>
        <v>0.94164323397655258</v>
      </c>
      <c r="I1003" s="10">
        <f t="shared" si="163"/>
        <v>1.488815988851977E-3</v>
      </c>
      <c r="J1003" s="20">
        <f t="shared" si="161"/>
        <v>0</v>
      </c>
      <c r="K1003" s="10">
        <f t="shared" si="164"/>
        <v>4.4624396426828028E-2</v>
      </c>
      <c r="L1003" s="10">
        <f t="shared" si="165"/>
        <v>2.6774637856096906E-2</v>
      </c>
    </row>
    <row r="1004" spans="1:12" x14ac:dyDescent="0.2">
      <c r="A1004" s="14">
        <v>0.93899999999999995</v>
      </c>
      <c r="B1004" s="10">
        <f t="shared" si="155"/>
        <v>2.7339416150349507</v>
      </c>
      <c r="C1004" s="10">
        <f t="shared" si="156"/>
        <v>1.2002003690003431</v>
      </c>
      <c r="D1004" s="10">
        <f t="shared" si="157"/>
        <v>7.0289809952803601</v>
      </c>
      <c r="E1004" s="10">
        <f t="shared" si="158"/>
        <v>1128.8796901573139</v>
      </c>
      <c r="F1004" s="10">
        <f t="shared" si="162"/>
        <v>49.979391403990803</v>
      </c>
      <c r="G1004" s="10">
        <f t="shared" si="159"/>
        <v>2.8082212239673496</v>
      </c>
      <c r="H1004" s="10">
        <f t="shared" si="160"/>
        <v>0.94311847011411554</v>
      </c>
      <c r="I1004" s="10">
        <f t="shared" si="163"/>
        <v>1.4752361375629519E-3</v>
      </c>
      <c r="J1004" s="20">
        <f t="shared" si="161"/>
        <v>0</v>
      </c>
      <c r="K1004" s="10">
        <f t="shared" si="164"/>
        <v>4.5283435817623285E-2</v>
      </c>
      <c r="L1004" s="10">
        <f t="shared" si="165"/>
        <v>2.7170061490573882E-2</v>
      </c>
    </row>
    <row r="1005" spans="1:12" x14ac:dyDescent="0.2">
      <c r="A1005" s="14">
        <v>0.94</v>
      </c>
      <c r="B1005" s="10">
        <f t="shared" si="155"/>
        <v>2.751535313041948</v>
      </c>
      <c r="C1005" s="10">
        <f t="shared" si="156"/>
        <v>1.210675537738457</v>
      </c>
      <c r="D1005" s="10">
        <f t="shared" si="157"/>
        <v>7.0749443939738539</v>
      </c>
      <c r="E1005" s="10">
        <f t="shared" si="158"/>
        <v>1181.9777738902023</v>
      </c>
      <c r="F1005" s="10">
        <f t="shared" si="162"/>
        <v>53.098083732888426</v>
      </c>
      <c r="G1005" s="10">
        <f t="shared" si="159"/>
        <v>2.8357992631834463</v>
      </c>
      <c r="H1005" s="10">
        <f t="shared" si="160"/>
        <v>0.94457996955213164</v>
      </c>
      <c r="I1005" s="10">
        <f t="shared" si="163"/>
        <v>1.4614994380161006E-3</v>
      </c>
      <c r="J1005" s="20">
        <f t="shared" si="161"/>
        <v>0</v>
      </c>
      <c r="K1005" s="10">
        <f t="shared" si="164"/>
        <v>4.5963398693493751E-2</v>
      </c>
      <c r="L1005" s="10">
        <f t="shared" si="165"/>
        <v>2.7578039216096695E-2</v>
      </c>
    </row>
    <row r="1006" spans="1:12" x14ac:dyDescent="0.2">
      <c r="A1006" s="14">
        <v>0.94099999999999995</v>
      </c>
      <c r="B1006" s="10">
        <f t="shared" si="155"/>
        <v>2.7694056956796591</v>
      </c>
      <c r="C1006" s="10">
        <f t="shared" si="156"/>
        <v>1.2213079117947294</v>
      </c>
      <c r="D1006" s="10">
        <f t="shared" si="157"/>
        <v>7.1216097217675536</v>
      </c>
      <c r="E1006" s="10">
        <f t="shared" si="158"/>
        <v>1238.4423774505528</v>
      </c>
      <c r="F1006" s="10">
        <f t="shared" si="162"/>
        <v>56.464603560350497</v>
      </c>
      <c r="G1006" s="10">
        <f t="shared" si="159"/>
        <v>2.863798459859666</v>
      </c>
      <c r="H1006" s="10">
        <f t="shared" si="160"/>
        <v>0.94602757551952654</v>
      </c>
      <c r="I1006" s="10">
        <f t="shared" si="163"/>
        <v>1.4476059673949049E-3</v>
      </c>
      <c r="J1006" s="20">
        <f t="shared" si="161"/>
        <v>0</v>
      </c>
      <c r="K1006" s="10">
        <f t="shared" si="164"/>
        <v>4.6665327793699696E-2</v>
      </c>
      <c r="L1006" s="10">
        <f t="shared" si="165"/>
        <v>2.799919667621964E-2</v>
      </c>
    </row>
    <row r="1007" spans="1:12" x14ac:dyDescent="0.2">
      <c r="A1007" s="14">
        <v>0.94199999999999995</v>
      </c>
      <c r="B1007" s="10">
        <f t="shared" si="155"/>
        <v>2.7875622640299427</v>
      </c>
      <c r="C1007" s="10">
        <f t="shared" si="156"/>
        <v>1.2321025207012346</v>
      </c>
      <c r="D1007" s="10">
        <f t="shared" si="157"/>
        <v>7.1690000585021663</v>
      </c>
      <c r="E1007" s="10">
        <f t="shared" si="158"/>
        <v>1298.5454838746593</v>
      </c>
      <c r="F1007" s="10">
        <f t="shared" si="162"/>
        <v>60.1031064241065</v>
      </c>
      <c r="G1007" s="10">
        <f t="shared" si="159"/>
        <v>2.8922326619004335</v>
      </c>
      <c r="H1007" s="10">
        <f t="shared" si="160"/>
        <v>0.94746113130097409</v>
      </c>
      <c r="I1007" s="10">
        <f t="shared" si="163"/>
        <v>1.4335557814475486E-3</v>
      </c>
      <c r="J1007" s="20">
        <f t="shared" si="161"/>
        <v>0</v>
      </c>
      <c r="K1007" s="10">
        <f t="shared" si="164"/>
        <v>4.7390336734612681E-2</v>
      </c>
      <c r="L1007" s="10">
        <f t="shared" si="165"/>
        <v>2.843420204076752E-2</v>
      </c>
    </row>
    <row r="1008" spans="1:12" x14ac:dyDescent="0.2">
      <c r="A1008" s="14">
        <v>0.94299999999999995</v>
      </c>
      <c r="B1008" s="10">
        <f t="shared" si="155"/>
        <v>2.8060150147989065</v>
      </c>
      <c r="C1008" s="10">
        <f t="shared" si="156"/>
        <v>1.2430646515559154</v>
      </c>
      <c r="D1008" s="10">
        <f t="shared" si="157"/>
        <v>7.2171396746535956</v>
      </c>
      <c r="E1008" s="10">
        <f t="shared" si="158"/>
        <v>1362.5860420249851</v>
      </c>
      <c r="F1008" s="10">
        <f t="shared" si="162"/>
        <v>64.040558150325751</v>
      </c>
      <c r="G1008" s="10">
        <f t="shared" si="159"/>
        <v>2.9211164315912912</v>
      </c>
      <c r="H1008" s="10">
        <f t="shared" si="160"/>
        <v>0.94888048021171512</v>
      </c>
      <c r="I1008" s="10">
        <f t="shared" si="163"/>
        <v>1.4193489107410251E-3</v>
      </c>
      <c r="J1008" s="20">
        <f t="shared" si="161"/>
        <v>0</v>
      </c>
      <c r="K1008" s="10">
        <f t="shared" si="164"/>
        <v>4.8139616151429365E-2</v>
      </c>
      <c r="L1008" s="10">
        <f t="shared" si="165"/>
        <v>2.8883769690857708E-2</v>
      </c>
    </row>
    <row r="1009" spans="1:12" x14ac:dyDescent="0.2">
      <c r="A1009" s="14">
        <v>0.94399999999999995</v>
      </c>
      <c r="B1009" s="10">
        <f t="shared" si="155"/>
        <v>2.8247744754103503</v>
      </c>
      <c r="C1009" s="10">
        <f t="shared" si="156"/>
        <v>1.2541998670821954</v>
      </c>
      <c r="D1009" s="10">
        <f t="shared" si="157"/>
        <v>7.2660541151442732</v>
      </c>
      <c r="E1009" s="10">
        <f t="shared" si="158"/>
        <v>1430.8931592148256</v>
      </c>
      <c r="F1009" s="10">
        <f t="shared" si="162"/>
        <v>68.307117189840483</v>
      </c>
      <c r="G1009" s="10">
        <f t="shared" si="159"/>
        <v>2.9504650958856979</v>
      </c>
      <c r="H1009" s="10">
        <f t="shared" si="160"/>
        <v>0.9502854655683215</v>
      </c>
      <c r="I1009" s="10">
        <f t="shared" si="163"/>
        <v>1.4049853566063808E-3</v>
      </c>
      <c r="J1009" s="20">
        <f t="shared" si="161"/>
        <v>0</v>
      </c>
      <c r="K1009" s="10">
        <f t="shared" si="164"/>
        <v>4.8914440490677613E-2</v>
      </c>
      <c r="L1009" s="10">
        <f t="shared" si="165"/>
        <v>2.9348664294406746E-2</v>
      </c>
    </row>
    <row r="1010" spans="1:12" x14ac:dyDescent="0.2">
      <c r="A1010" s="14">
        <v>0.94499999999999995</v>
      </c>
      <c r="B1010" s="10">
        <f t="shared" si="155"/>
        <v>2.843851742261271</v>
      </c>
      <c r="C1010" s="10">
        <f t="shared" si="156"/>
        <v>1.2655140253062656</v>
      </c>
      <c r="D1010" s="10">
        <f t="shared" si="157"/>
        <v>7.3157702906796631</v>
      </c>
      <c r="E1010" s="10">
        <f t="shared" si="158"/>
        <v>1503.829736037796</v>
      </c>
      <c r="F1010" s="10">
        <f t="shared" si="162"/>
        <v>72.936576822970437</v>
      </c>
      <c r="G1010" s="10">
        <f t="shared" si="159"/>
        <v>2.9802948012069317</v>
      </c>
      <c r="H1010" s="10">
        <f t="shared" si="160"/>
        <v>0.95167593065505618</v>
      </c>
      <c r="I1010" s="10">
        <f t="shared" si="163"/>
        <v>1.3904650867346824E-3</v>
      </c>
      <c r="J1010" s="20">
        <f t="shared" si="161"/>
        <v>0</v>
      </c>
      <c r="K1010" s="10">
        <f t="shared" si="164"/>
        <v>4.9716175535389873E-2</v>
      </c>
      <c r="L1010" s="10">
        <f t="shared" si="165"/>
        <v>2.9829705321233746E-2</v>
      </c>
    </row>
    <row r="1011" spans="1:12" x14ac:dyDescent="0.2">
      <c r="A1011" s="14">
        <v>0.94599999999999995</v>
      </c>
      <c r="B1011" s="10">
        <f t="shared" si="155"/>
        <v>2.863258522487603</v>
      </c>
      <c r="C1011" s="10">
        <f t="shared" si="156"/>
        <v>1.2770133010294709</v>
      </c>
      <c r="D1011" s="10">
        <f t="shared" si="157"/>
        <v>7.3663165774365886</v>
      </c>
      <c r="E1011" s="10">
        <f t="shared" si="158"/>
        <v>1581.7966139254659</v>
      </c>
      <c r="F1011" s="10">
        <f t="shared" si="162"/>
        <v>77.966877887669852</v>
      </c>
      <c r="G1011" s="10">
        <f t="shared" si="159"/>
        <v>3.0106225732610872</v>
      </c>
      <c r="H1011" s="10">
        <f t="shared" si="160"/>
        <v>0.95305171868545646</v>
      </c>
      <c r="I1011" s="10">
        <f t="shared" si="163"/>
        <v>1.3757880304002823E-3</v>
      </c>
      <c r="J1011" s="20">
        <f t="shared" si="161"/>
        <v>0</v>
      </c>
      <c r="K1011" s="10">
        <f t="shared" si="164"/>
        <v>5.0546286756925518E-2</v>
      </c>
      <c r="L1011" s="10">
        <f t="shared" si="165"/>
        <v>3.0327772054155488E-2</v>
      </c>
    </row>
    <row r="1012" spans="1:12" x14ac:dyDescent="0.2">
      <c r="A1012" s="14">
        <v>0.94699999999999995</v>
      </c>
      <c r="B1012" s="10">
        <f t="shared" si="155"/>
        <v>2.8830071796339554</v>
      </c>
      <c r="C1012" s="10">
        <f t="shared" si="156"/>
        <v>1.2887042092963779</v>
      </c>
      <c r="D1012" s="10">
        <f t="shared" si="157"/>
        <v>7.4177229260381026</v>
      </c>
      <c r="E1012" s="10">
        <f t="shared" si="158"/>
        <v>1665.2373187445867</v>
      </c>
      <c r="F1012" s="10">
        <f t="shared" si="162"/>
        <v>83.44070481912081</v>
      </c>
      <c r="G1012" s="10">
        <f t="shared" si="159"/>
        <v>3.0414663824219952</v>
      </c>
      <c r="H1012" s="10">
        <f t="shared" si="160"/>
        <v>0.95441267275872221</v>
      </c>
      <c r="I1012" s="10">
        <f t="shared" si="163"/>
        <v>1.3609540732657521E-3</v>
      </c>
      <c r="J1012" s="20">
        <f t="shared" si="161"/>
        <v>0</v>
      </c>
      <c r="K1012" s="10">
        <f t="shared" si="164"/>
        <v>5.140634860151394E-2</v>
      </c>
      <c r="L1012" s="10">
        <f t="shared" si="165"/>
        <v>3.0843809160908009E-2</v>
      </c>
    </row>
    <row r="1013" spans="1:12" x14ac:dyDescent="0.2">
      <c r="A1013" s="14">
        <v>0.94799999999999995</v>
      </c>
      <c r="B1013" s="10">
        <f t="shared" si="155"/>
        <v>2.9031107836735934</v>
      </c>
      <c r="C1013" s="10">
        <f t="shared" si="156"/>
        <v>1.3005936310857698</v>
      </c>
      <c r="D1013" s="10">
        <f t="shared" si="157"/>
        <v>7.4700209808739473</v>
      </c>
      <c r="E1013" s="10">
        <f t="shared" si="158"/>
        <v>1754.6434991430333</v>
      </c>
      <c r="F1013" s="10">
        <f t="shared" si="162"/>
        <v>89.406180398446622</v>
      </c>
      <c r="G1013" s="10">
        <f t="shared" si="159"/>
        <v>3.0728452153235022</v>
      </c>
      <c r="H1013" s="10">
        <f t="shared" si="160"/>
        <v>0.95575863581045162</v>
      </c>
      <c r="I1013" s="10">
        <f t="shared" si="163"/>
        <v>1.3459630517294041E-3</v>
      </c>
      <c r="J1013" s="20">
        <f t="shared" si="161"/>
        <v>0</v>
      </c>
      <c r="K1013" s="10">
        <f t="shared" si="164"/>
        <v>5.2298054835844709E-2</v>
      </c>
      <c r="L1013" s="10">
        <f t="shared" si="165"/>
        <v>3.1378832901507003E-2</v>
      </c>
    </row>
    <row r="1014" spans="1:12" x14ac:dyDescent="0.2">
      <c r="A1014" s="14">
        <v>0.94899999999999995</v>
      </c>
      <c r="B1014" s="10">
        <f t="shared" si="155"/>
        <v>2.9235831658856011</v>
      </c>
      <c r="C1014" s="10">
        <f t="shared" si="156"/>
        <v>1.3126888414826348</v>
      </c>
      <c r="D1014" s="10">
        <f t="shared" si="157"/>
        <v>7.5232442109695103</v>
      </c>
      <c r="E1014" s="10">
        <f t="shared" si="158"/>
        <v>1850.5611769558993</v>
      </c>
      <c r="F1014" s="10">
        <f t="shared" si="162"/>
        <v>95.917677812866032</v>
      </c>
      <c r="G1014" s="10">
        <f t="shared" si="159"/>
        <v>3.1047791533808402</v>
      </c>
      <c r="H1014" s="10">
        <f t="shared" si="160"/>
        <v>0.95708945055721484</v>
      </c>
      <c r="I1014" s="10">
        <f t="shared" si="163"/>
        <v>1.3308147467632203E-3</v>
      </c>
      <c r="J1014" s="20">
        <f t="shared" si="161"/>
        <v>0</v>
      </c>
      <c r="K1014" s="10">
        <f t="shared" si="164"/>
        <v>5.3223230095563068E-2</v>
      </c>
      <c r="L1014" s="10">
        <f t="shared" si="165"/>
        <v>3.1933938057338018E-2</v>
      </c>
    </row>
    <row r="1015" spans="1:12" x14ac:dyDescent="0.2">
      <c r="A1015" s="14">
        <v>0.95</v>
      </c>
      <c r="B1015" s="10">
        <f t="shared" si="155"/>
        <v>2.9444389791664394</v>
      </c>
      <c r="C1015" s="10">
        <f t="shared" si="156"/>
        <v>1.3249975406248975</v>
      </c>
      <c r="D1015" s="10">
        <f t="shared" si="157"/>
        <v>7.5774280537726453</v>
      </c>
      <c r="E1015" s="10">
        <f t="shared" si="158"/>
        <v>1953.5979495341742</v>
      </c>
      <c r="F1015" s="10">
        <f t="shared" si="162"/>
        <v>103.03677257827485</v>
      </c>
      <c r="G1015" s="10">
        <f t="shared" si="159"/>
        <v>3.1372894590627212</v>
      </c>
      <c r="H1015" s="10">
        <f t="shared" si="160"/>
        <v>0.95840495943440507</v>
      </c>
      <c r="I1015" s="10">
        <f t="shared" si="163"/>
        <v>1.3155088771902301E-3</v>
      </c>
      <c r="J1015" s="20">
        <f t="shared" si="161"/>
        <v>0</v>
      </c>
      <c r="K1015" s="10">
        <f t="shared" si="164"/>
        <v>5.418384280313493E-2</v>
      </c>
      <c r="L1015" s="10">
        <f t="shared" si="165"/>
        <v>3.2510305681880958E-2</v>
      </c>
    </row>
    <row r="1016" spans="1:12" x14ac:dyDescent="0.2">
      <c r="A1016" s="14">
        <v>0.95099999999999996</v>
      </c>
      <c r="B1016" s="10">
        <f t="shared" si="155"/>
        <v>2.965693764434763</v>
      </c>
      <c r="C1016" s="10">
        <f t="shared" si="156"/>
        <v>1.337527887760078</v>
      </c>
      <c r="D1016" s="10">
        <f t="shared" si="157"/>
        <v>7.6326100734211071</v>
      </c>
      <c r="E1016" s="10">
        <f t="shared" si="158"/>
        <v>2064.431311294758</v>
      </c>
      <c r="F1016" s="10">
        <f t="shared" si="162"/>
        <v>110.83336176058378</v>
      </c>
      <c r="G1016" s="10">
        <f t="shared" si="159"/>
        <v>3.1703986708517977</v>
      </c>
      <c r="H1016" s="10">
        <f t="shared" si="160"/>
        <v>0.95970500452674046</v>
      </c>
      <c r="I1016" s="10">
        <f t="shared" si="163"/>
        <v>1.300045092335389E-3</v>
      </c>
      <c r="J1016" s="20">
        <f t="shared" si="161"/>
        <v>0</v>
      </c>
      <c r="K1016" s="10">
        <f t="shared" si="164"/>
        <v>5.5182019648461811E-2</v>
      </c>
      <c r="L1016" s="10">
        <f t="shared" si="165"/>
        <v>3.3109211789076554E-2</v>
      </c>
    </row>
    <row r="1017" spans="1:12" x14ac:dyDescent="0.2">
      <c r="A1017" s="14">
        <v>0.95199999999999996</v>
      </c>
      <c r="B1017" s="10">
        <f t="shared" si="155"/>
        <v>2.9873640238834733</v>
      </c>
      <c r="C1017" s="10">
        <f t="shared" si="156"/>
        <v>1.3502885387953298</v>
      </c>
      <c r="D1017" s="10">
        <f t="shared" si="157"/>
        <v>7.6888301352786392</v>
      </c>
      <c r="E1017" s="10">
        <f t="shared" si="158"/>
        <v>2183.8182952949992</v>
      </c>
      <c r="F1017" s="10">
        <f t="shared" si="162"/>
        <v>119.38698400024123</v>
      </c>
      <c r="G1017" s="10">
        <f t="shared" si="159"/>
        <v>3.2041307079663177</v>
      </c>
      <c r="H1017" s="10">
        <f t="shared" si="160"/>
        <v>0.96098942749072036</v>
      </c>
      <c r="I1017" s="10">
        <f t="shared" si="163"/>
        <v>1.2844229639799032E-3</v>
      </c>
      <c r="J1017" s="20">
        <f t="shared" si="161"/>
        <v>0</v>
      </c>
      <c r="K1017" s="10">
        <f t="shared" si="164"/>
        <v>5.6220061857532144E-2</v>
      </c>
      <c r="L1017" s="10">
        <f t="shared" si="165"/>
        <v>3.3732037114519997E-2</v>
      </c>
    </row>
    <row r="1018" spans="1:12" x14ac:dyDescent="0.2">
      <c r="A1018" s="14">
        <v>0.95299999999999996</v>
      </c>
      <c r="B1018" s="10">
        <f t="shared" si="155"/>
        <v>3.0094673019441425</v>
      </c>
      <c r="C1018" s="10">
        <f t="shared" si="156"/>
        <v>1.3632886877806965</v>
      </c>
      <c r="D1018" s="10">
        <f t="shared" si="157"/>
        <v>7.7461305987909386</v>
      </c>
      <c r="E1018" s="10">
        <f t="shared" si="158"/>
        <v>2312.606676708026</v>
      </c>
      <c r="F1018" s="10">
        <f t="shared" si="162"/>
        <v>128.78838141302685</v>
      </c>
      <c r="G1018" s="10">
        <f t="shared" si="159"/>
        <v>3.2385109860736967</v>
      </c>
      <c r="H1018" s="10">
        <f t="shared" si="160"/>
        <v>0.96225806946826098</v>
      </c>
      <c r="I1018" s="10">
        <f t="shared" si="163"/>
        <v>1.2686419775406188E-3</v>
      </c>
      <c r="J1018" s="20">
        <f t="shared" si="161"/>
        <v>0</v>
      </c>
      <c r="K1018" s="10">
        <f t="shared" si="164"/>
        <v>5.7300463512299338E-2</v>
      </c>
      <c r="L1018" s="10">
        <f t="shared" si="165"/>
        <v>3.4380278107378981E-2</v>
      </c>
    </row>
    <row r="1019" spans="1:12" x14ac:dyDescent="0.2">
      <c r="A1019" s="14">
        <v>0.95399999999999996</v>
      </c>
      <c r="B1019" s="10">
        <f t="shared" si="155"/>
        <v>3.0320222749591905</v>
      </c>
      <c r="C1019" s="10">
        <f t="shared" si="156"/>
        <v>1.3765381128314724</v>
      </c>
      <c r="D1019" s="10">
        <f t="shared" si="157"/>
        <v>7.8045565310210554</v>
      </c>
      <c r="E1019" s="10">
        <f t="shared" si="158"/>
        <v>2451.7480306292341</v>
      </c>
      <c r="F1019" s="10">
        <f t="shared" si="162"/>
        <v>139.14135392120807</v>
      </c>
      <c r="G1019" s="10">
        <f t="shared" si="159"/>
        <v>3.2735665454117671</v>
      </c>
      <c r="H1019" s="10">
        <f t="shared" si="160"/>
        <v>0.96351077099063875</v>
      </c>
      <c r="I1019" s="10">
        <f t="shared" si="163"/>
        <v>1.2527015223777749E-3</v>
      </c>
      <c r="J1019" s="20">
        <f t="shared" si="161"/>
        <v>0</v>
      </c>
      <c r="K1019" s="10">
        <f t="shared" si="164"/>
        <v>5.8425932230116828E-2</v>
      </c>
      <c r="L1019" s="10">
        <f t="shared" si="165"/>
        <v>3.5055559338070363E-2</v>
      </c>
    </row>
    <row r="1020" spans="1:12" x14ac:dyDescent="0.2">
      <c r="A1020" s="14">
        <v>0.95499999999999996</v>
      </c>
      <c r="B1020" s="10">
        <f t="shared" si="155"/>
        <v>3.0550488507104094</v>
      </c>
      <c r="C1020" s="10">
        <f t="shared" si="156"/>
        <v>1.3900472270732362</v>
      </c>
      <c r="D1020" s="10">
        <f t="shared" si="157"/>
        <v>7.8641559435864927</v>
      </c>
      <c r="E1020" s="10">
        <f t="shared" si="158"/>
        <v>2602.3129991296346</v>
      </c>
      <c r="F1020" s="10">
        <f t="shared" si="162"/>
        <v>150.56496850040048</v>
      </c>
      <c r="G1020" s="10">
        <f t="shared" si="159"/>
        <v>3.3093261929510289</v>
      </c>
      <c r="H1020" s="10">
        <f t="shared" si="160"/>
        <v>0.96474737187176884</v>
      </c>
      <c r="I1020" s="10">
        <f t="shared" si="163"/>
        <v>1.2366008811300899E-3</v>
      </c>
      <c r="J1020" s="20">
        <f t="shared" si="161"/>
        <v>0</v>
      </c>
      <c r="K1020" s="10">
        <f t="shared" si="164"/>
        <v>5.9599412565437326E-2</v>
      </c>
      <c r="L1020" s="10">
        <f t="shared" si="165"/>
        <v>3.5759647539261863E-2</v>
      </c>
    </row>
    <row r="1021" spans="1:12" x14ac:dyDescent="0.2">
      <c r="A1021" s="14">
        <v>0.95599999999999996</v>
      </c>
      <c r="B1021" s="10">
        <f t="shared" si="155"/>
        <v>3.0785682791331395</v>
      </c>
      <c r="C1021" s="10">
        <f t="shared" si="156"/>
        <v>1.4038271352847114</v>
      </c>
      <c r="D1021" s="10">
        <f t="shared" si="157"/>
        <v>7.9249800561478994</v>
      </c>
      <c r="E1021" s="10">
        <f t="shared" si="158"/>
        <v>2765.5092000405652</v>
      </c>
      <c r="F1021" s="10">
        <f t="shared" si="162"/>
        <v>163.19620091093066</v>
      </c>
      <c r="G1021" s="10">
        <f t="shared" si="159"/>
        <v>3.3458206604878731</v>
      </c>
      <c r="H1021" s="10">
        <f t="shared" si="160"/>
        <v>0.96596771108971935</v>
      </c>
      <c r="I1021" s="10">
        <f t="shared" si="163"/>
        <v>1.2203392179505057E-3</v>
      </c>
      <c r="J1021" s="20">
        <f t="shared" si="161"/>
        <v>0</v>
      </c>
      <c r="K1021" s="10">
        <f t="shared" si="164"/>
        <v>6.0824112561406629E-2</v>
      </c>
      <c r="L1021" s="10">
        <f t="shared" si="165"/>
        <v>3.6494467536844155E-2</v>
      </c>
    </row>
    <row r="1022" spans="1:12" x14ac:dyDescent="0.2">
      <c r="A1022" s="14">
        <v>0.95699999999999996</v>
      </c>
      <c r="B1022" s="10">
        <f t="shared" si="155"/>
        <v>3.1026032757593911</v>
      </c>
      <c r="C1022" s="10">
        <f t="shared" si="156"/>
        <v>1.4178896970220416</v>
      </c>
      <c r="D1022" s="10">
        <f t="shared" si="157"/>
        <v>7.9870835901056463</v>
      </c>
      <c r="E1022" s="10">
        <f t="shared" si="158"/>
        <v>2942.7023066871097</v>
      </c>
      <c r="F1022" s="10">
        <f t="shared" si="162"/>
        <v>177.19310664654449</v>
      </c>
      <c r="G1022" s="10">
        <f t="shared" si="159"/>
        <v>3.3830827808625212</v>
      </c>
      <c r="H1022" s="10">
        <f t="shared" si="160"/>
        <v>0.96717162665522738</v>
      </c>
      <c r="I1022" s="10">
        <f t="shared" si="163"/>
        <v>1.2039155655080291E-3</v>
      </c>
      <c r="J1022" s="20">
        <f t="shared" si="161"/>
        <v>0</v>
      </c>
      <c r="K1022" s="10">
        <f t="shared" si="164"/>
        <v>6.2103533957746926E-2</v>
      </c>
      <c r="L1022" s="10">
        <f t="shared" si="165"/>
        <v>3.7262120374648156E-2</v>
      </c>
    </row>
    <row r="1023" spans="1:12" x14ac:dyDescent="0.2">
      <c r="A1023" s="14">
        <v>0.95799999999999996</v>
      </c>
      <c r="B1023" s="10">
        <f t="shared" si="155"/>
        <v>3.1271781596874915</v>
      </c>
      <c r="C1023" s="10">
        <f t="shared" si="156"/>
        <v>1.4322475971368709</v>
      </c>
      <c r="D1023" s="10">
        <f t="shared" si="157"/>
        <v>8.0505250967621329</v>
      </c>
      <c r="E1023" s="10">
        <f t="shared" si="158"/>
        <v>3135.4409489917966</v>
      </c>
      <c r="F1023" s="10">
        <f t="shared" si="162"/>
        <v>192.73864230468689</v>
      </c>
      <c r="G1023" s="10">
        <f t="shared" si="159"/>
        <v>3.4211476848564129</v>
      </c>
      <c r="H1023" s="10">
        <f t="shared" si="160"/>
        <v>0.96835895546581852</v>
      </c>
      <c r="I1023" s="10">
        <f t="shared" si="163"/>
        <v>1.1873288105911373E-3</v>
      </c>
      <c r="J1023" s="20">
        <f t="shared" si="161"/>
        <v>0</v>
      </c>
      <c r="K1023" s="10">
        <f t="shared" si="164"/>
        <v>6.3441506656486624E-2</v>
      </c>
      <c r="L1023" s="10">
        <f t="shared" si="165"/>
        <v>3.8064903993891619E-2</v>
      </c>
    </row>
    <row r="1024" spans="1:12" x14ac:dyDescent="0.2">
      <c r="A1024" s="14">
        <v>0.95899999999999996</v>
      </c>
      <c r="B1024" s="10">
        <f t="shared" si="155"/>
        <v>3.1523190081791297</v>
      </c>
      <c r="C1024" s="10">
        <f t="shared" si="156"/>
        <v>1.4469144247542205</v>
      </c>
      <c r="D1024" s="10">
        <f t="shared" si="157"/>
        <v>8.1153673249251543</v>
      </c>
      <c r="E1024" s="10">
        <f t="shared" si="158"/>
        <v>3345.4862389907885</v>
      </c>
      <c r="F1024" s="10">
        <f t="shared" si="162"/>
        <v>210.04528999899185</v>
      </c>
      <c r="G1024" s="10">
        <f t="shared" si="159"/>
        <v>3.4600530217542262</v>
      </c>
      <c r="H1024" s="10">
        <f t="shared" si="160"/>
        <v>0.96952953314394308</v>
      </c>
      <c r="I1024" s="10">
        <f t="shared" si="163"/>
        <v>1.1705776781245625E-3</v>
      </c>
      <c r="J1024" s="20">
        <f t="shared" si="161"/>
        <v>0</v>
      </c>
      <c r="K1024" s="10">
        <f t="shared" si="164"/>
        <v>6.4842228163021431E-2</v>
      </c>
      <c r="L1024" s="10">
        <f t="shared" si="165"/>
        <v>3.8905336897813392E-2</v>
      </c>
    </row>
    <row r="1025" spans="1:12" x14ac:dyDescent="0.2">
      <c r="A1025" s="14">
        <v>0.96</v>
      </c>
      <c r="B1025" s="10">
        <f t="shared" si="155"/>
        <v>3.1780538303479449</v>
      </c>
      <c r="C1025" s="10">
        <f t="shared" si="156"/>
        <v>1.4619047619600545</v>
      </c>
      <c r="D1025" s="10">
        <f t="shared" si="157"/>
        <v>8.1816776337867729</v>
      </c>
      <c r="E1025" s="10">
        <f t="shared" si="158"/>
        <v>3574.8469169823607</v>
      </c>
      <c r="F1025" s="10">
        <f t="shared" si="162"/>
        <v>229.36067799157217</v>
      </c>
      <c r="G1025" s="10">
        <f t="shared" si="159"/>
        <v>3.4998392070711981</v>
      </c>
      <c r="H1025" s="10">
        <f t="shared" si="160"/>
        <v>0.97068319385733015</v>
      </c>
      <c r="I1025" s="10">
        <f t="shared" si="163"/>
        <v>1.1536607133870724E-3</v>
      </c>
      <c r="J1025" s="20">
        <f t="shared" si="161"/>
        <v>0</v>
      </c>
      <c r="K1025" s="10">
        <f t="shared" si="164"/>
        <v>6.6310308861618594E-2</v>
      </c>
      <c r="L1025" s="10">
        <f t="shared" si="165"/>
        <v>3.9786185316971867E-2</v>
      </c>
    </row>
    <row r="1026" spans="1:12" x14ac:dyDescent="0.2">
      <c r="A1026" s="14">
        <v>0.96099999999999997</v>
      </c>
      <c r="B1026" s="10">
        <f t="shared" ref="B1026:B1089" si="166">LN(A1026/(1-A1026))</f>
        <v>3.2044127628406449</v>
      </c>
      <c r="C1026" s="10">
        <f t="shared" ref="C1026:C1089" si="167">(A1026-0.5)*B1026</f>
        <v>1.4772342836695371</v>
      </c>
      <c r="D1026" s="10">
        <f t="shared" ref="D1026:D1089" si="168">$B$45+$B$46*B1026+$B$47*C1026</f>
        <v>8.2495284579451429</v>
      </c>
      <c r="E1026" s="10">
        <f t="shared" ref="E1026:E1089" si="169">$B$14+EXP(D1026)</f>
        <v>3825.8213603679164</v>
      </c>
      <c r="F1026" s="10">
        <f t="shared" si="162"/>
        <v>250.97444338555579</v>
      </c>
      <c r="G1026" s="10">
        <f t="shared" ref="G1026:G1064" si="170">$C$45+$C$46*B1026+$C$47*C1026</f>
        <v>3.5405497015662193</v>
      </c>
      <c r="H1026" s="10">
        <f t="shared" ref="H1026:H1089" si="171">$C$14+($C$15-$C$14)/(1+EXP(-G1026))</f>
        <v>0.97181977011949516</v>
      </c>
      <c r="I1026" s="10">
        <f t="shared" si="163"/>
        <v>1.1365762621650122E-3</v>
      </c>
      <c r="J1026" s="20">
        <f t="shared" ref="J1026:J1064" si="172">G1026-($B$22+$B$21*D1026)</f>
        <v>0</v>
      </c>
      <c r="K1026" s="10">
        <f t="shared" si="164"/>
        <v>6.785082415836996E-2</v>
      </c>
      <c r="L1026" s="10">
        <f t="shared" si="165"/>
        <v>4.0710494495021177E-2</v>
      </c>
    </row>
    <row r="1027" spans="1:12" x14ac:dyDescent="0.2">
      <c r="A1027" s="14">
        <v>0.96199999999999997</v>
      </c>
      <c r="B1027" s="10">
        <f t="shared" si="166"/>
        <v>3.2314282909393199</v>
      </c>
      <c r="C1027" s="10">
        <f t="shared" si="167"/>
        <v>1.4929198704139657</v>
      </c>
      <c r="D1027" s="10">
        <f t="shared" si="168"/>
        <v>8.3189978326842997</v>
      </c>
      <c r="E1027" s="10">
        <f t="shared" si="169"/>
        <v>4101.0480118865225</v>
      </c>
      <c r="F1027" s="10">
        <f t="shared" ref="F1027:F1090" si="173">E1027-E1026</f>
        <v>275.2266515186061</v>
      </c>
      <c r="G1027" s="10">
        <f t="shared" si="170"/>
        <v>3.5822313264097132</v>
      </c>
      <c r="H1027" s="10">
        <f t="shared" si="171"/>
        <v>0.972939092568056</v>
      </c>
      <c r="I1027" s="10">
        <f t="shared" ref="I1027:I1090" si="174">H1027-H1026</f>
        <v>1.1193224485608333E-3</v>
      </c>
      <c r="J1027" s="20">
        <f t="shared" si="172"/>
        <v>0</v>
      </c>
      <c r="K1027" s="10">
        <f t="shared" ref="K1027:K1064" si="175">D1027-D1026</f>
        <v>6.9469374739156819E-2</v>
      </c>
      <c r="L1027" s="10">
        <f t="shared" ref="L1027:L1064" si="176">G1027-G1026</f>
        <v>4.1681624843493914E-2</v>
      </c>
    </row>
    <row r="1028" spans="1:12" x14ac:dyDescent="0.2">
      <c r="A1028" s="14">
        <v>0.96299999999999997</v>
      </c>
      <c r="B1028" s="10">
        <f t="shared" si="166"/>
        <v>3.2591354991539001</v>
      </c>
      <c r="C1028" s="10">
        <f t="shared" si="167"/>
        <v>1.5089797361082555</v>
      </c>
      <c r="D1028" s="10">
        <f t="shared" si="168"/>
        <v>8.3901699891404959</v>
      </c>
      <c r="E1028" s="10">
        <f t="shared" si="169"/>
        <v>4403.5661890434912</v>
      </c>
      <c r="F1028" s="10">
        <f t="shared" si="173"/>
        <v>302.5181771569687</v>
      </c>
      <c r="G1028" s="10">
        <f t="shared" si="170"/>
        <v>3.6249346202834314</v>
      </c>
      <c r="H1028" s="10">
        <f t="shared" si="171"/>
        <v>0.97404098971814623</v>
      </c>
      <c r="I1028" s="10">
        <f t="shared" si="174"/>
        <v>1.1018971500902364E-3</v>
      </c>
      <c r="J1028" s="20">
        <f t="shared" si="172"/>
        <v>0</v>
      </c>
      <c r="K1028" s="10">
        <f t="shared" si="175"/>
        <v>7.1172156456196234E-2</v>
      </c>
      <c r="L1028" s="10">
        <f t="shared" si="176"/>
        <v>4.2703293873718184E-2</v>
      </c>
    </row>
    <row r="1029" spans="1:12" x14ac:dyDescent="0.2">
      <c r="A1029" s="14">
        <v>0.96399999999999997</v>
      </c>
      <c r="B1029" s="10">
        <f t="shared" si="166"/>
        <v>3.2875723561544348</v>
      </c>
      <c r="C1029" s="10">
        <f t="shared" si="167"/>
        <v>1.5254335732556576</v>
      </c>
      <c r="D1029" s="10">
        <f t="shared" si="168"/>
        <v>8.4631360308288599</v>
      </c>
      <c r="E1029" s="10">
        <f t="shared" si="169"/>
        <v>4736.8897613692443</v>
      </c>
      <c r="F1029" s="10">
        <f t="shared" si="173"/>
        <v>333.32357232575305</v>
      </c>
      <c r="G1029" s="10">
        <f t="shared" si="170"/>
        <v>3.6687142452964503</v>
      </c>
      <c r="H1029" s="10">
        <f t="shared" si="171"/>
        <v>0.97512528768781248</v>
      </c>
      <c r="I1029" s="10">
        <f t="shared" si="174"/>
        <v>1.084297969666248E-3</v>
      </c>
      <c r="J1029" s="20">
        <f t="shared" si="172"/>
        <v>0</v>
      </c>
      <c r="K1029" s="10">
        <f t="shared" si="175"/>
        <v>7.2966041688363958E-2</v>
      </c>
      <c r="L1029" s="10">
        <f t="shared" si="176"/>
        <v>4.3779625013018908E-2</v>
      </c>
    </row>
    <row r="1030" spans="1:12" x14ac:dyDescent="0.2">
      <c r="A1030" s="14">
        <v>0.96499999999999997</v>
      </c>
      <c r="B1030" s="10">
        <f t="shared" si="166"/>
        <v>3.3167800398495713</v>
      </c>
      <c r="C1030" s="10">
        <f t="shared" si="167"/>
        <v>1.5423027185300506</v>
      </c>
      <c r="D1030" s="10">
        <f t="shared" si="168"/>
        <v>8.5379947052649143</v>
      </c>
      <c r="E1030" s="10">
        <f t="shared" si="169"/>
        <v>5105.0968665896899</v>
      </c>
      <c r="F1030" s="10">
        <f t="shared" si="173"/>
        <v>368.20710522044556</v>
      </c>
      <c r="G1030" s="10">
        <f t="shared" si="170"/>
        <v>3.7136294499580824</v>
      </c>
      <c r="H1030" s="10">
        <f t="shared" si="171"/>
        <v>0.97619180989178966</v>
      </c>
      <c r="I1030" s="10">
        <f t="shared" si="174"/>
        <v>1.0665222039771827E-3</v>
      </c>
      <c r="J1030" s="20">
        <f t="shared" si="172"/>
        <v>0</v>
      </c>
      <c r="K1030" s="10">
        <f t="shared" si="175"/>
        <v>7.4858674436054429E-2</v>
      </c>
      <c r="L1030" s="10">
        <f t="shared" si="176"/>
        <v>4.4915204661632124E-2</v>
      </c>
    </row>
    <row r="1031" spans="1:12" x14ac:dyDescent="0.2">
      <c r="A1031" s="14">
        <v>0.96599999999999997</v>
      </c>
      <c r="B1031" s="10">
        <f t="shared" si="166"/>
        <v>3.3468033095963556</v>
      </c>
      <c r="C1031" s="10">
        <f t="shared" si="167"/>
        <v>1.5596103422719017</v>
      </c>
      <c r="D1031" s="10">
        <f t="shared" si="168"/>
        <v>8.6148532872005088</v>
      </c>
      <c r="E1031" s="10">
        <f t="shared" si="169"/>
        <v>5512.9397355808669</v>
      </c>
      <c r="F1031" s="10">
        <f t="shared" si="173"/>
        <v>407.84286899117706</v>
      </c>
      <c r="G1031" s="10">
        <f t="shared" si="170"/>
        <v>3.7597445991194389</v>
      </c>
      <c r="H1031" s="10">
        <f t="shared" si="171"/>
        <v>0.97724037669946828</v>
      </c>
      <c r="I1031" s="10">
        <f t="shared" si="174"/>
        <v>1.0485668076786192E-3</v>
      </c>
      <c r="J1031" s="20">
        <f t="shared" si="172"/>
        <v>0</v>
      </c>
      <c r="K1031" s="10">
        <f t="shared" si="175"/>
        <v>7.6858581935594472E-2</v>
      </c>
      <c r="L1031" s="10">
        <f t="shared" si="176"/>
        <v>4.6115149161356506E-2</v>
      </c>
    </row>
    <row r="1032" spans="1:12" x14ac:dyDescent="0.2">
      <c r="A1032" s="14">
        <v>0.96699999999999997</v>
      </c>
      <c r="B1032" s="10">
        <f t="shared" si="166"/>
        <v>3.3776909339868131</v>
      </c>
      <c r="C1032" s="10">
        <f t="shared" si="167"/>
        <v>1.5773816661718416</v>
      </c>
      <c r="D1032" s="10">
        <f t="shared" si="168"/>
        <v>8.6938285934433903</v>
      </c>
      <c r="E1032" s="10">
        <f t="shared" si="169"/>
        <v>5965.9798848815535</v>
      </c>
      <c r="F1032" s="10">
        <f t="shared" si="173"/>
        <v>453.04014930068661</v>
      </c>
      <c r="G1032" s="10">
        <f t="shared" si="170"/>
        <v>3.807129782865168</v>
      </c>
      <c r="H1032" s="10">
        <f t="shared" si="171"/>
        <v>0.97827080505216812</v>
      </c>
      <c r="I1032" s="10">
        <f t="shared" si="174"/>
        <v>1.0304283526998415E-3</v>
      </c>
      <c r="J1032" s="20">
        <f t="shared" si="172"/>
        <v>0</v>
      </c>
      <c r="K1032" s="10">
        <f t="shared" si="175"/>
        <v>7.8975306242881516E-2</v>
      </c>
      <c r="L1032" s="10">
        <f t="shared" si="176"/>
        <v>4.7385183745729087E-2</v>
      </c>
    </row>
    <row r="1033" spans="1:12" x14ac:dyDescent="0.2">
      <c r="A1033" s="14">
        <v>0.96799999999999997</v>
      </c>
      <c r="B1033" s="10">
        <f t="shared" si="166"/>
        <v>3.4094961844768497</v>
      </c>
      <c r="C1033" s="10">
        <f t="shared" si="167"/>
        <v>1.5956442143351655</v>
      </c>
      <c r="D1033" s="10">
        <f t="shared" si="168"/>
        <v>8.7750481535284983</v>
      </c>
      <c r="E1033" s="10">
        <f t="shared" si="169"/>
        <v>6470.7555203457805</v>
      </c>
      <c r="F1033" s="10">
        <f t="shared" si="173"/>
        <v>504.77563546422698</v>
      </c>
      <c r="G1033" s="10">
        <f t="shared" si="170"/>
        <v>3.8558615189162326</v>
      </c>
      <c r="H1033" s="10">
        <f t="shared" si="171"/>
        <v>0.97928290803400364</v>
      </c>
      <c r="I1033" s="10">
        <f t="shared" si="174"/>
        <v>1.0121029818355165E-3</v>
      </c>
      <c r="J1033" s="20">
        <f t="shared" si="172"/>
        <v>0</v>
      </c>
      <c r="K1033" s="10">
        <f t="shared" si="175"/>
        <v>8.1219560085108E-2</v>
      </c>
      <c r="L1033" s="10">
        <f t="shared" si="176"/>
        <v>4.8731736051064622E-2</v>
      </c>
    </row>
    <row r="1034" spans="1:12" x14ac:dyDescent="0.2">
      <c r="A1034" s="14">
        <v>0.96899999999999997</v>
      </c>
      <c r="B1034" s="10">
        <f t="shared" si="166"/>
        <v>3.4422774074056193</v>
      </c>
      <c r="C1034" s="10">
        <f t="shared" si="167"/>
        <v>1.6144281040732353</v>
      </c>
      <c r="D1034" s="10">
        <f t="shared" si="168"/>
        <v>8.8586515658993363</v>
      </c>
      <c r="E1034" s="10">
        <f t="shared" si="169"/>
        <v>7034.9901253351381</v>
      </c>
      <c r="F1034" s="10">
        <f t="shared" si="173"/>
        <v>564.23460498935765</v>
      </c>
      <c r="G1034" s="10">
        <f t="shared" si="170"/>
        <v>3.9060235663387362</v>
      </c>
      <c r="H1034" s="10">
        <f t="shared" si="171"/>
        <v>0.98027649438961029</v>
      </c>
      <c r="I1034" s="10">
        <f t="shared" si="174"/>
        <v>9.9358635560664599E-4</v>
      </c>
      <c r="J1034" s="20">
        <f t="shared" si="172"/>
        <v>0</v>
      </c>
      <c r="K1034" s="10">
        <f t="shared" si="175"/>
        <v>8.3603412370838015E-2</v>
      </c>
      <c r="L1034" s="10">
        <f t="shared" si="176"/>
        <v>5.016204742250352E-2</v>
      </c>
    </row>
    <row r="1035" spans="1:12" x14ac:dyDescent="0.2">
      <c r="A1035" s="14">
        <v>0.97</v>
      </c>
      <c r="B1035" s="10">
        <f t="shared" si="166"/>
        <v>3.4760986898352724</v>
      </c>
      <c r="C1035" s="10">
        <f t="shared" si="167"/>
        <v>1.633766384222578</v>
      </c>
      <c r="D1035" s="10">
        <f t="shared" si="168"/>
        <v>8.9447920760619226</v>
      </c>
      <c r="E1035" s="10">
        <f t="shared" si="169"/>
        <v>7667.8540938896622</v>
      </c>
      <c r="F1035" s="10">
        <f t="shared" si="173"/>
        <v>632.86396855452404</v>
      </c>
      <c r="G1035" s="10">
        <f t="shared" si="170"/>
        <v>3.9577078724362869</v>
      </c>
      <c r="H1035" s="10">
        <f t="shared" si="171"/>
        <v>0.98125136798077917</v>
      </c>
      <c r="I1035" s="10">
        <f t="shared" si="174"/>
        <v>9.7487359116887884E-4</v>
      </c>
      <c r="J1035" s="20">
        <f t="shared" si="172"/>
        <v>0</v>
      </c>
      <c r="K1035" s="10">
        <f t="shared" si="175"/>
        <v>8.6140510162586281E-2</v>
      </c>
      <c r="L1035" s="10">
        <f t="shared" si="176"/>
        <v>5.1684306097550703E-2</v>
      </c>
    </row>
    <row r="1036" spans="1:12" x14ac:dyDescent="0.2">
      <c r="A1036" s="14">
        <v>0.97099999999999997</v>
      </c>
      <c r="B1036" s="10">
        <f t="shared" si="166"/>
        <v>3.5110306383048497</v>
      </c>
      <c r="C1036" s="10">
        <f t="shared" si="167"/>
        <v>1.6536954306415841</v>
      </c>
      <c r="D1036" s="10">
        <f t="shared" si="168"/>
        <v>9.0336384218229426</v>
      </c>
      <c r="E1036" s="10">
        <f t="shared" si="169"/>
        <v>8380.2952187463034</v>
      </c>
      <c r="F1036" s="10">
        <f t="shared" si="173"/>
        <v>712.44112485664118</v>
      </c>
      <c r="G1036" s="10">
        <f t="shared" si="170"/>
        <v>4.0110156798928998</v>
      </c>
      <c r="H1036" s="10">
        <f t="shared" si="171"/>
        <v>0.98220732717254877</v>
      </c>
      <c r="I1036" s="10">
        <f t="shared" si="174"/>
        <v>9.5595919176960642E-4</v>
      </c>
      <c r="J1036" s="20">
        <f t="shared" si="172"/>
        <v>0</v>
      </c>
      <c r="K1036" s="10">
        <f t="shared" si="175"/>
        <v>8.8846345761020018E-2</v>
      </c>
      <c r="L1036" s="10">
        <f t="shared" si="176"/>
        <v>5.3307807456612899E-2</v>
      </c>
    </row>
    <row r="1037" spans="1:12" x14ac:dyDescent="0.2">
      <c r="A1037" s="14">
        <v>0.97199999999999998</v>
      </c>
      <c r="B1037" s="10">
        <f t="shared" si="166"/>
        <v>3.5471512942852343</v>
      </c>
      <c r="C1037" s="10">
        <f t="shared" si="167"/>
        <v>1.6742554109026304</v>
      </c>
      <c r="D1037" s="10">
        <f t="shared" si="168"/>
        <v>9.1253770018009916</v>
      </c>
      <c r="E1037" s="10">
        <f t="shared" si="169"/>
        <v>9185.459299617316</v>
      </c>
      <c r="F1037" s="10">
        <f t="shared" si="173"/>
        <v>805.16408087101263</v>
      </c>
      <c r="G1037" s="10">
        <f t="shared" si="170"/>
        <v>4.0660588278797292</v>
      </c>
      <c r="H1037" s="10">
        <f t="shared" si="171"/>
        <v>0.98314416413746442</v>
      </c>
      <c r="I1037" s="10">
        <f t="shared" si="174"/>
        <v>9.3683696491564383E-4</v>
      </c>
      <c r="J1037" s="20">
        <f t="shared" si="172"/>
        <v>0</v>
      </c>
      <c r="K1037" s="10">
        <f t="shared" si="175"/>
        <v>9.1738579978049017E-2</v>
      </c>
      <c r="L1037" s="10">
        <f t="shared" si="176"/>
        <v>5.504314798682941E-2</v>
      </c>
    </row>
    <row r="1038" spans="1:12" x14ac:dyDescent="0.2">
      <c r="A1038" s="14">
        <v>0.97299999999999998</v>
      </c>
      <c r="B1038" s="10">
        <f t="shared" si="166"/>
        <v>3.5845472161816749</v>
      </c>
      <c r="C1038" s="10">
        <f t="shared" si="167"/>
        <v>1.6954908332539322</v>
      </c>
      <c r="D1038" s="10">
        <f t="shared" si="168"/>
        <v>9.2202144376995854</v>
      </c>
      <c r="E1038" s="10">
        <f t="shared" si="169"/>
        <v>10099.229751561292</v>
      </c>
      <c r="F1038" s="10">
        <f t="shared" si="173"/>
        <v>913.77045194397579</v>
      </c>
      <c r="G1038" s="10">
        <f t="shared" si="170"/>
        <v>4.1229612894188854</v>
      </c>
      <c r="H1038" s="10">
        <f t="shared" si="171"/>
        <v>0.98406166406443629</v>
      </c>
      <c r="I1038" s="10">
        <f t="shared" si="174"/>
        <v>9.1749992697187643E-4</v>
      </c>
      <c r="J1038" s="20">
        <f t="shared" si="172"/>
        <v>0</v>
      </c>
      <c r="K1038" s="10">
        <f t="shared" si="175"/>
        <v>9.4837435898593725E-2</v>
      </c>
      <c r="L1038" s="10">
        <f t="shared" si="176"/>
        <v>5.6902461539156235E-2</v>
      </c>
    </row>
    <row r="1039" spans="1:12" x14ac:dyDescent="0.2">
      <c r="A1039" s="14">
        <v>0.97399999999999998</v>
      </c>
      <c r="B1039" s="10">
        <f t="shared" si="166"/>
        <v>3.623314765621052</v>
      </c>
      <c r="C1039" s="10">
        <f t="shared" si="167"/>
        <v>1.7174511989043786</v>
      </c>
      <c r="D1039" s="10">
        <f t="shared" si="168"/>
        <v>9.3183806194486998</v>
      </c>
      <c r="E1039" s="10">
        <f t="shared" si="169"/>
        <v>11140.925838947949</v>
      </c>
      <c r="F1039" s="10">
        <f t="shared" si="173"/>
        <v>1041.6960873866574</v>
      </c>
      <c r="G1039" s="10">
        <f t="shared" si="170"/>
        <v>4.1818609984683537</v>
      </c>
      <c r="H1039" s="10">
        <f t="shared" si="171"/>
        <v>0.98495960425579754</v>
      </c>
      <c r="I1039" s="10">
        <f t="shared" si="174"/>
        <v>8.9794019136124614E-4</v>
      </c>
      <c r="J1039" s="20">
        <f t="shared" si="172"/>
        <v>0</v>
      </c>
      <c r="K1039" s="10">
        <f t="shared" si="175"/>
        <v>9.8166181749114401E-2</v>
      </c>
      <c r="L1039" s="10">
        <f t="shared" si="176"/>
        <v>5.8899709049468285E-2</v>
      </c>
    </row>
    <row r="1040" spans="1:12" x14ac:dyDescent="0.2">
      <c r="A1040" s="14">
        <v>0.97499999999999998</v>
      </c>
      <c r="B1040" s="10">
        <f t="shared" si="166"/>
        <v>3.6635616461296454</v>
      </c>
      <c r="C1040" s="10">
        <f t="shared" si="167"/>
        <v>1.7401917819115815</v>
      </c>
      <c r="D1040" s="10">
        <f t="shared" si="168"/>
        <v>9.4201323467818856</v>
      </c>
      <c r="E1040" s="10">
        <f t="shared" si="169"/>
        <v>12334.21450530159</v>
      </c>
      <c r="F1040" s="10">
        <f t="shared" si="173"/>
        <v>1193.288666353641</v>
      </c>
      <c r="G1040" s="10">
        <f t="shared" si="170"/>
        <v>4.2429120348682652</v>
      </c>
      <c r="H1040" s="10">
        <f t="shared" si="171"/>
        <v>0.98583775309259958</v>
      </c>
      <c r="I1040" s="10">
        <f t="shared" si="174"/>
        <v>8.7814883680203959E-4</v>
      </c>
      <c r="J1040" s="20">
        <f t="shared" si="172"/>
        <v>0</v>
      </c>
      <c r="K1040" s="10">
        <f t="shared" si="175"/>
        <v>0.10175172733318583</v>
      </c>
      <c r="L1040" s="10">
        <f t="shared" si="176"/>
        <v>6.1051036399911496E-2</v>
      </c>
    </row>
    <row r="1041" spans="1:12" x14ac:dyDescent="0.2">
      <c r="A1041" s="14">
        <v>0.97599999999999998</v>
      </c>
      <c r="B1041" s="10">
        <f t="shared" si="166"/>
        <v>3.7054087560651459</v>
      </c>
      <c r="C1041" s="10">
        <f t="shared" si="167"/>
        <v>1.7637745678870094</v>
      </c>
      <c r="D1041" s="10">
        <f t="shared" si="168"/>
        <v>9.5257577132667954</v>
      </c>
      <c r="E1041" s="10">
        <f t="shared" si="169"/>
        <v>13708.312960945112</v>
      </c>
      <c r="F1041" s="10">
        <f t="shared" si="173"/>
        <v>1374.0984556435214</v>
      </c>
      <c r="G1041" s="10">
        <f t="shared" si="170"/>
        <v>4.3062872547592113</v>
      </c>
      <c r="H1041" s="10">
        <f t="shared" si="171"/>
        <v>0.98669586884368921</v>
      </c>
      <c r="I1041" s="10">
        <f t="shared" si="174"/>
        <v>8.5811575108962757E-4</v>
      </c>
      <c r="J1041" s="20">
        <f t="shared" si="172"/>
        <v>0</v>
      </c>
      <c r="K1041" s="10">
        <f t="shared" si="175"/>
        <v>0.10562536648490983</v>
      </c>
      <c r="L1041" s="10">
        <f t="shared" si="176"/>
        <v>6.3375219890946077E-2</v>
      </c>
    </row>
    <row r="1042" spans="1:12" x14ac:dyDescent="0.2">
      <c r="A1042" s="14">
        <v>0.97699999999999998</v>
      </c>
      <c r="B1042" s="10">
        <f t="shared" si="166"/>
        <v>3.7489924361136322</v>
      </c>
      <c r="C1042" s="10">
        <f t="shared" si="167"/>
        <v>1.7882693920262025</v>
      </c>
      <c r="D1042" s="10">
        <f t="shared" si="168"/>
        <v>9.6355814223103131</v>
      </c>
      <c r="E1042" s="10">
        <f t="shared" si="169"/>
        <v>15299.591723873193</v>
      </c>
      <c r="F1042" s="10">
        <f t="shared" si="173"/>
        <v>1591.2787629280811</v>
      </c>
      <c r="G1042" s="10">
        <f t="shared" si="170"/>
        <v>4.3721814801853212</v>
      </c>
      <c r="H1042" s="10">
        <f t="shared" si="171"/>
        <v>0.98753369828835769</v>
      </c>
      <c r="I1042" s="10">
        <f t="shared" si="174"/>
        <v>8.3782944466848086E-4</v>
      </c>
      <c r="J1042" s="20">
        <f t="shared" si="172"/>
        <v>0</v>
      </c>
      <c r="K1042" s="10">
        <f t="shared" si="175"/>
        <v>0.10982370904351768</v>
      </c>
      <c r="L1042" s="10">
        <f t="shared" si="176"/>
        <v>6.5894225426109898E-2</v>
      </c>
    </row>
    <row r="1043" spans="1:12" x14ac:dyDescent="0.2">
      <c r="A1043" s="14">
        <v>0.97799999999999998</v>
      </c>
      <c r="B1043" s="10">
        <f t="shared" si="166"/>
        <v>3.7944672166765008</v>
      </c>
      <c r="C1043" s="10">
        <f t="shared" si="167"/>
        <v>1.8137553295713673</v>
      </c>
      <c r="D1043" s="10">
        <f t="shared" si="168"/>
        <v>9.7499712836402495</v>
      </c>
      <c r="E1043" s="10">
        <f t="shared" si="169"/>
        <v>17153.736209358125</v>
      </c>
      <c r="F1043" s="10">
        <f t="shared" si="173"/>
        <v>1854.1444854849324</v>
      </c>
      <c r="G1043" s="10">
        <f t="shared" si="170"/>
        <v>4.4408153969832833</v>
      </c>
      <c r="H1043" s="10">
        <f t="shared" si="171"/>
        <v>0.98835097511496628</v>
      </c>
      <c r="I1043" s="10">
        <f t="shared" si="174"/>
        <v>8.172768266085928E-4</v>
      </c>
      <c r="J1043" s="20">
        <f t="shared" si="172"/>
        <v>0</v>
      </c>
      <c r="K1043" s="10">
        <f t="shared" si="175"/>
        <v>0.11438986132993634</v>
      </c>
      <c r="L1043" s="10">
        <f t="shared" si="176"/>
        <v>6.8633916797962158E-2</v>
      </c>
    </row>
    <row r="1044" spans="1:12" x14ac:dyDescent="0.2">
      <c r="A1044" s="14">
        <v>0.97899999999999998</v>
      </c>
      <c r="B1044" s="10">
        <f t="shared" si="166"/>
        <v>3.8420092048070864</v>
      </c>
      <c r="C1044" s="10">
        <f t="shared" si="167"/>
        <v>1.8403224091025943</v>
      </c>
      <c r="D1044" s="10">
        <f t="shared" si="168"/>
        <v>9.8693462197094277</v>
      </c>
      <c r="E1044" s="10">
        <f t="shared" si="169"/>
        <v>19328.698120154218</v>
      </c>
      <c r="F1044" s="10">
        <f t="shared" si="173"/>
        <v>2174.9619107960934</v>
      </c>
      <c r="G1044" s="10">
        <f t="shared" si="170"/>
        <v>4.5124403586247901</v>
      </c>
      <c r="H1044" s="10">
        <f t="shared" si="171"/>
        <v>0.98914741804832651</v>
      </c>
      <c r="I1044" s="10">
        <f t="shared" si="174"/>
        <v>7.9644293336023075E-4</v>
      </c>
      <c r="J1044" s="20">
        <f t="shared" si="172"/>
        <v>0</v>
      </c>
      <c r="K1044" s="10">
        <f t="shared" si="175"/>
        <v>0.11937493606917826</v>
      </c>
      <c r="L1044" s="10">
        <f t="shared" si="176"/>
        <v>7.1624961641506779E-2</v>
      </c>
    </row>
    <row r="1045" spans="1:12" x14ac:dyDescent="0.2">
      <c r="A1045" s="14">
        <v>0.98</v>
      </c>
      <c r="B1045" s="10">
        <f t="shared" si="166"/>
        <v>3.8918202981106256</v>
      </c>
      <c r="C1045" s="10">
        <f t="shared" si="167"/>
        <v>1.8680737430931003</v>
      </c>
      <c r="D1045" s="10">
        <f t="shared" si="168"/>
        <v>9.9941862240280841</v>
      </c>
      <c r="E1045" s="10">
        <f t="shared" si="169"/>
        <v>21898.780384056077</v>
      </c>
      <c r="F1045" s="10">
        <f t="shared" si="173"/>
        <v>2570.0822639018588</v>
      </c>
      <c r="G1045" s="10">
        <f t="shared" si="170"/>
        <v>4.587344361215985</v>
      </c>
      <c r="H1045" s="10">
        <f t="shared" si="171"/>
        <v>0.98992272864595998</v>
      </c>
      <c r="I1045" s="10">
        <f t="shared" si="174"/>
        <v>7.7531059763347177E-4</v>
      </c>
      <c r="J1045" s="20">
        <f t="shared" si="172"/>
        <v>0</v>
      </c>
      <c r="K1045" s="10">
        <f t="shared" si="175"/>
        <v>0.12484000431865638</v>
      </c>
      <c r="L1045" s="10">
        <f t="shared" si="176"/>
        <v>7.4904002591194896E-2</v>
      </c>
    </row>
    <row r="1046" spans="1:12" x14ac:dyDescent="0.2">
      <c r="A1046" s="14">
        <v>0.98099999999999998</v>
      </c>
      <c r="B1046" s="10">
        <f t="shared" si="166"/>
        <v>3.9441334803989219</v>
      </c>
      <c r="C1046" s="10">
        <f t="shared" si="167"/>
        <v>1.8971282040718813</v>
      </c>
      <c r="D1046" s="10">
        <f t="shared" si="168"/>
        <v>10.12504487221884</v>
      </c>
      <c r="E1046" s="10">
        <f t="shared" si="169"/>
        <v>24960.375644224154</v>
      </c>
      <c r="F1046" s="10">
        <f t="shared" si="173"/>
        <v>3061.5952601680765</v>
      </c>
      <c r="G1046" s="10">
        <f t="shared" si="170"/>
        <v>4.6658595501304383</v>
      </c>
      <c r="H1046" s="10">
        <f t="shared" si="171"/>
        <v>0.9906765886865303</v>
      </c>
      <c r="I1046" s="10">
        <f t="shared" si="174"/>
        <v>7.5386004057031997E-4</v>
      </c>
      <c r="J1046" s="20">
        <f t="shared" si="172"/>
        <v>0</v>
      </c>
      <c r="K1046" s="10">
        <f t="shared" si="175"/>
        <v>0.1308586481907561</v>
      </c>
      <c r="L1046" s="10">
        <f t="shared" si="176"/>
        <v>7.8515188914453304E-2</v>
      </c>
    </row>
    <row r="1047" spans="1:12" x14ac:dyDescent="0.2">
      <c r="A1047" s="14">
        <v>0.98199999999999998</v>
      </c>
      <c r="B1047" s="10">
        <f t="shared" si="166"/>
        <v>3.9992195504583004</v>
      </c>
      <c r="C1047" s="10">
        <f t="shared" si="167"/>
        <v>1.9276238233209007</v>
      </c>
      <c r="D1047" s="10">
        <f t="shared" si="168"/>
        <v>10.262565214128481</v>
      </c>
      <c r="E1047" s="10">
        <f t="shared" si="169"/>
        <v>28640.160185511624</v>
      </c>
      <c r="F1047" s="10">
        <f t="shared" si="173"/>
        <v>3679.7845412874703</v>
      </c>
      <c r="G1047" s="10">
        <f t="shared" si="170"/>
        <v>4.7483717552762226</v>
      </c>
      <c r="H1047" s="10">
        <f t="shared" si="171"/>
        <v>0.99140865705105585</v>
      </c>
      <c r="I1047" s="10">
        <f t="shared" si="174"/>
        <v>7.3206836452555102E-4</v>
      </c>
      <c r="J1047" s="20">
        <f t="shared" si="172"/>
        <v>0</v>
      </c>
      <c r="K1047" s="10">
        <f t="shared" si="175"/>
        <v>0.13752034190964046</v>
      </c>
      <c r="L1047" s="10">
        <f t="shared" si="176"/>
        <v>8.2512205145784279E-2</v>
      </c>
    </row>
    <row r="1048" spans="1:12" x14ac:dyDescent="0.2">
      <c r="A1048" s="14">
        <v>0.98299999999999998</v>
      </c>
      <c r="B1048" s="10">
        <f t="shared" si="166"/>
        <v>4.0573957760909494</v>
      </c>
      <c r="C1048" s="10">
        <f t="shared" si="167"/>
        <v>1.9597221598519285</v>
      </c>
      <c r="D1048" s="10">
        <f t="shared" si="168"/>
        <v>10.407500207043125</v>
      </c>
      <c r="E1048" s="10">
        <f t="shared" si="169"/>
        <v>33107.006213332053</v>
      </c>
      <c r="F1048" s="10">
        <f t="shared" si="173"/>
        <v>4466.8460278204293</v>
      </c>
      <c r="G1048" s="10">
        <f t="shared" si="170"/>
        <v>4.8353327510250086</v>
      </c>
      <c r="H1048" s="10">
        <f t="shared" si="171"/>
        <v>0.99211856596648518</v>
      </c>
      <c r="I1048" s="10">
        <f t="shared" si="174"/>
        <v>7.0990891542932477E-4</v>
      </c>
      <c r="J1048" s="20">
        <f t="shared" si="172"/>
        <v>0</v>
      </c>
      <c r="K1048" s="10">
        <f t="shared" si="175"/>
        <v>0.14493499291464396</v>
      </c>
      <c r="L1048" s="10">
        <f t="shared" si="176"/>
        <v>8.6960995748786019E-2</v>
      </c>
    </row>
    <row r="1049" spans="1:12" x14ac:dyDescent="0.2">
      <c r="A1049" s="14">
        <v>0.98399999999999999</v>
      </c>
      <c r="B1049" s="10">
        <f t="shared" si="166"/>
        <v>4.1190371748124717</v>
      </c>
      <c r="C1049" s="10">
        <f t="shared" si="167"/>
        <v>1.9936139926092362</v>
      </c>
      <c r="D1049" s="10">
        <f t="shared" si="168"/>
        <v>10.56073934287404</v>
      </c>
      <c r="E1049" s="10">
        <f t="shared" si="169"/>
        <v>38589.648382734187</v>
      </c>
      <c r="F1049" s="10">
        <f t="shared" si="173"/>
        <v>5482.6421694021337</v>
      </c>
      <c r="G1049" s="10">
        <f t="shared" si="170"/>
        <v>4.9272762325235577</v>
      </c>
      <c r="H1049" s="10">
        <f t="shared" si="171"/>
        <v>0.99280591643817517</v>
      </c>
      <c r="I1049" s="10">
        <f t="shared" si="174"/>
        <v>6.8735047168999586E-4</v>
      </c>
      <c r="J1049" s="20">
        <f t="shared" si="172"/>
        <v>0</v>
      </c>
      <c r="K1049" s="10">
        <f t="shared" si="175"/>
        <v>0.15323913583091553</v>
      </c>
      <c r="L1049" s="10">
        <f t="shared" si="176"/>
        <v>9.194348149854914E-2</v>
      </c>
    </row>
    <row r="1050" spans="1:12" x14ac:dyDescent="0.2">
      <c r="A1050" s="14">
        <v>0.98499999999999999</v>
      </c>
      <c r="B1050" s="10">
        <f t="shared" si="166"/>
        <v>4.1845914400698776</v>
      </c>
      <c r="C1050" s="10">
        <f t="shared" si="167"/>
        <v>2.0295268484338904</v>
      </c>
      <c r="D1050" s="10">
        <f t="shared" si="168"/>
        <v>10.723343869875963</v>
      </c>
      <c r="E1050" s="10">
        <f t="shared" si="169"/>
        <v>45403.472590232486</v>
      </c>
      <c r="F1050" s="10">
        <f t="shared" si="173"/>
        <v>6813.8242074982991</v>
      </c>
      <c r="G1050" s="10">
        <f t="shared" si="170"/>
        <v>5.0248389487247112</v>
      </c>
      <c r="H1050" s="10">
        <f t="shared" si="171"/>
        <v>0.99347027263698351</v>
      </c>
      <c r="I1050" s="10">
        <f t="shared" si="174"/>
        <v>6.6435619880833574E-4</v>
      </c>
      <c r="J1050" s="20">
        <f t="shared" si="172"/>
        <v>0</v>
      </c>
      <c r="K1050" s="10">
        <f t="shared" si="175"/>
        <v>0.16260452700192296</v>
      </c>
      <c r="L1050" s="10">
        <f t="shared" si="176"/>
        <v>9.7562716201153421E-2</v>
      </c>
    </row>
    <row r="1051" spans="1:12" x14ac:dyDescent="0.2">
      <c r="A1051" s="14">
        <v>0.98599999999999999</v>
      </c>
      <c r="B1051" s="10">
        <f t="shared" si="166"/>
        <v>4.2545990249873755</v>
      </c>
      <c r="C1051" s="10">
        <f t="shared" si="167"/>
        <v>2.0677351261438646</v>
      </c>
      <c r="D1051" s="10">
        <f t="shared" si="168"/>
        <v>10.896594170653168</v>
      </c>
      <c r="E1051" s="10">
        <f t="shared" si="169"/>
        <v>53992.162204625813</v>
      </c>
      <c r="F1051" s="10">
        <f t="shared" si="173"/>
        <v>8588.6896143933263</v>
      </c>
      <c r="G1051" s="10">
        <f t="shared" si="170"/>
        <v>5.1287891291910341</v>
      </c>
      <c r="H1051" s="10">
        <f t="shared" si="171"/>
        <v>0.99411115491914659</v>
      </c>
      <c r="I1051" s="10">
        <f t="shared" si="174"/>
        <v>6.4088228216307996E-4</v>
      </c>
      <c r="J1051" s="20">
        <f t="shared" si="172"/>
        <v>0</v>
      </c>
      <c r="K1051" s="10">
        <f t="shared" si="175"/>
        <v>0.17325030077720527</v>
      </c>
      <c r="L1051" s="10">
        <f t="shared" si="176"/>
        <v>0.10395018046632298</v>
      </c>
    </row>
    <row r="1052" spans="1:12" x14ac:dyDescent="0.2">
      <c r="A1052" s="14">
        <v>0.98699999999999999</v>
      </c>
      <c r="B1052" s="10">
        <f t="shared" si="166"/>
        <v>4.3297206819719438</v>
      </c>
      <c r="C1052" s="10">
        <f t="shared" si="167"/>
        <v>2.1085739721203365</v>
      </c>
      <c r="D1052" s="10">
        <f t="shared" si="168"/>
        <v>11.082054709432642</v>
      </c>
      <c r="E1052" s="10">
        <f t="shared" si="169"/>
        <v>64994.290686821521</v>
      </c>
      <c r="F1052" s="10">
        <f t="shared" si="173"/>
        <v>11002.128482195709</v>
      </c>
      <c r="G1052" s="10">
        <f t="shared" si="170"/>
        <v>5.2400654524587189</v>
      </c>
      <c r="H1052" s="10">
        <f t="shared" si="171"/>
        <v>0.99472803102833451</v>
      </c>
      <c r="I1052" s="10">
        <f t="shared" si="174"/>
        <v>6.168761091879249E-4</v>
      </c>
      <c r="J1052" s="20">
        <f t="shared" si="172"/>
        <v>0</v>
      </c>
      <c r="K1052" s="10">
        <f t="shared" si="175"/>
        <v>0.18546053877947344</v>
      </c>
      <c r="L1052" s="10">
        <f t="shared" si="176"/>
        <v>0.11127632326768477</v>
      </c>
    </row>
    <row r="1053" spans="1:12" x14ac:dyDescent="0.2">
      <c r="A1053" s="14">
        <v>0.98799999999999999</v>
      </c>
      <c r="B1053" s="10">
        <f t="shared" si="166"/>
        <v>4.4107760479598666</v>
      </c>
      <c r="C1053" s="10">
        <f t="shared" si="167"/>
        <v>2.1524587114044147</v>
      </c>
      <c r="D1053" s="10">
        <f t="shared" si="168"/>
        <v>11.281665001486841</v>
      </c>
      <c r="E1053" s="10">
        <f t="shared" si="169"/>
        <v>79353.275281080918</v>
      </c>
      <c r="F1053" s="10">
        <f t="shared" si="173"/>
        <v>14358.984594259397</v>
      </c>
      <c r="G1053" s="10">
        <f t="shared" si="170"/>
        <v>5.3598316276912374</v>
      </c>
      <c r="H1053" s="10">
        <f t="shared" si="171"/>
        <v>0.99532030483524825</v>
      </c>
      <c r="I1053" s="10">
        <f t="shared" si="174"/>
        <v>5.9227380691373455E-4</v>
      </c>
      <c r="J1053" s="20">
        <f t="shared" si="172"/>
        <v>0</v>
      </c>
      <c r="K1053" s="10">
        <f t="shared" si="175"/>
        <v>0.19961029205419933</v>
      </c>
      <c r="L1053" s="10">
        <f t="shared" si="176"/>
        <v>0.11976617523251853</v>
      </c>
    </row>
    <row r="1054" spans="1:12" x14ac:dyDescent="0.2">
      <c r="A1054" s="14">
        <v>0.98899999999999999</v>
      </c>
      <c r="B1054" s="10">
        <f t="shared" si="166"/>
        <v>4.4987990588243409</v>
      </c>
      <c r="C1054" s="10">
        <f t="shared" si="167"/>
        <v>2.1999127397651028</v>
      </c>
      <c r="D1054" s="10">
        <f t="shared" si="168"/>
        <v>11.497870220473629</v>
      </c>
      <c r="E1054" s="10">
        <f t="shared" si="169"/>
        <v>98505.751909309634</v>
      </c>
      <c r="F1054" s="10">
        <f t="shared" si="173"/>
        <v>19152.476628228716</v>
      </c>
      <c r="G1054" s="10">
        <f t="shared" si="170"/>
        <v>5.4895547590833118</v>
      </c>
      <c r="H1054" s="10">
        <f t="shared" si="171"/>
        <v>0.9958873016696026</v>
      </c>
      <c r="I1054" s="10">
        <f t="shared" si="174"/>
        <v>5.6699683435434967E-4</v>
      </c>
      <c r="J1054" s="20">
        <f t="shared" si="172"/>
        <v>0</v>
      </c>
      <c r="K1054" s="10">
        <f t="shared" si="175"/>
        <v>0.21620521898678824</v>
      </c>
      <c r="L1054" s="10">
        <f t="shared" si="176"/>
        <v>0.12972313139207436</v>
      </c>
    </row>
    <row r="1055" spans="1:12" x14ac:dyDescent="0.2">
      <c r="A1055" s="14">
        <v>0.99</v>
      </c>
      <c r="B1055" s="10">
        <f t="shared" si="166"/>
        <v>4.5951198501345889</v>
      </c>
      <c r="C1055" s="10">
        <f t="shared" si="167"/>
        <v>2.2516087265659483</v>
      </c>
      <c r="D1055" s="10">
        <f t="shared" si="168"/>
        <v>11.733814174425802</v>
      </c>
      <c r="E1055" s="10">
        <f t="shared" si="169"/>
        <v>124718.46229845309</v>
      </c>
      <c r="F1055" s="10">
        <f t="shared" si="173"/>
        <v>26212.710389143453</v>
      </c>
      <c r="G1055" s="10">
        <f t="shared" si="170"/>
        <v>5.6311211314546146</v>
      </c>
      <c r="H1055" s="10">
        <f t="shared" si="171"/>
        <v>0.99642824881899861</v>
      </c>
      <c r="I1055" s="10">
        <f t="shared" si="174"/>
        <v>5.4094714939600941E-4</v>
      </c>
      <c r="J1055" s="20">
        <f t="shared" si="172"/>
        <v>0</v>
      </c>
      <c r="K1055" s="10">
        <f t="shared" si="175"/>
        <v>0.23594395395217305</v>
      </c>
      <c r="L1055" s="10">
        <f t="shared" si="176"/>
        <v>0.14156637237130276</v>
      </c>
    </row>
    <row r="1056" spans="1:12" x14ac:dyDescent="0.2">
      <c r="A1056" s="14">
        <v>0.99099999999999999</v>
      </c>
      <c r="B1056" s="10">
        <f t="shared" si="166"/>
        <v>4.7014899569937674</v>
      </c>
      <c r="C1056" s="10">
        <f t="shared" si="167"/>
        <v>2.3084315688839396</v>
      </c>
      <c r="D1056" s="10">
        <f t="shared" si="168"/>
        <v>11.993634215576662</v>
      </c>
      <c r="E1056" s="10">
        <f t="shared" si="169"/>
        <v>161722.0201900645</v>
      </c>
      <c r="F1056" s="10">
        <f t="shared" si="173"/>
        <v>37003.557891611417</v>
      </c>
      <c r="G1056" s="10">
        <f t="shared" si="170"/>
        <v>5.7870131561451315</v>
      </c>
      <c r="H1056" s="10">
        <f t="shared" si="171"/>
        <v>0.99694224897274264</v>
      </c>
      <c r="I1056" s="10">
        <f t="shared" si="174"/>
        <v>5.1400015374403196E-4</v>
      </c>
      <c r="J1056" s="20">
        <f t="shared" si="172"/>
        <v>0</v>
      </c>
      <c r="K1056" s="10">
        <f t="shared" si="175"/>
        <v>0.25982004115085999</v>
      </c>
      <c r="L1056" s="10">
        <f t="shared" si="176"/>
        <v>0.15589202469051688</v>
      </c>
    </row>
    <row r="1057" spans="1:12" x14ac:dyDescent="0.2">
      <c r="A1057" s="14">
        <v>0.99199999999999999</v>
      </c>
      <c r="B1057" s="10">
        <f t="shared" si="166"/>
        <v>4.8202815656050362</v>
      </c>
      <c r="C1057" s="10">
        <f t="shared" si="167"/>
        <v>2.3715785302776777</v>
      </c>
      <c r="D1057" s="10">
        <f t="shared" si="168"/>
        <v>12.282930439191571</v>
      </c>
      <c r="E1057" s="10">
        <f t="shared" si="169"/>
        <v>215977.69969670282</v>
      </c>
      <c r="F1057" s="10">
        <f t="shared" si="173"/>
        <v>54255.67950663832</v>
      </c>
      <c r="G1057" s="10">
        <f t="shared" si="170"/>
        <v>5.9605908903140747</v>
      </c>
      <c r="H1057" s="10">
        <f t="shared" si="171"/>
        <v>0.99742824300997079</v>
      </c>
      <c r="I1057" s="10">
        <f t="shared" si="174"/>
        <v>4.859940372281546E-4</v>
      </c>
      <c r="J1057" s="20">
        <f t="shared" si="172"/>
        <v>0</v>
      </c>
      <c r="K1057" s="10">
        <f t="shared" si="175"/>
        <v>0.28929622361490814</v>
      </c>
      <c r="L1057" s="10">
        <f t="shared" si="176"/>
        <v>0.17357773416894329</v>
      </c>
    </row>
    <row r="1058" spans="1:12" x14ac:dyDescent="0.2">
      <c r="A1058" s="14">
        <v>0.99299999999999999</v>
      </c>
      <c r="B1058" s="10">
        <f t="shared" si="166"/>
        <v>4.9548205149898585</v>
      </c>
      <c r="C1058" s="10">
        <f t="shared" si="167"/>
        <v>2.4427265138900003</v>
      </c>
      <c r="D1058" s="10">
        <f t="shared" si="168"/>
        <v>12.609549601864908</v>
      </c>
      <c r="E1058" s="10">
        <f t="shared" si="169"/>
        <v>299404.14698735409</v>
      </c>
      <c r="F1058" s="10">
        <f t="shared" si="173"/>
        <v>83426.447290651267</v>
      </c>
      <c r="G1058" s="10">
        <f t="shared" si="170"/>
        <v>6.1565623879180791</v>
      </c>
      <c r="H1058" s="10">
        <f t="shared" si="171"/>
        <v>0.99788495601870963</v>
      </c>
      <c r="I1058" s="10">
        <f t="shared" si="174"/>
        <v>4.5671300873884046E-4</v>
      </c>
      <c r="J1058" s="20">
        <f t="shared" si="172"/>
        <v>0</v>
      </c>
      <c r="K1058" s="10">
        <f t="shared" si="175"/>
        <v>0.32661916267333702</v>
      </c>
      <c r="L1058" s="10">
        <f t="shared" si="176"/>
        <v>0.19597149760400434</v>
      </c>
    </row>
    <row r="1059" spans="1:12" x14ac:dyDescent="0.2">
      <c r="A1059" s="14">
        <v>0.99399999999999999</v>
      </c>
      <c r="B1059" s="10">
        <f t="shared" si="166"/>
        <v>5.109977737428518</v>
      </c>
      <c r="C1059" s="10">
        <f t="shared" si="167"/>
        <v>2.5243290022896878</v>
      </c>
      <c r="D1059" s="10">
        <f t="shared" si="168"/>
        <v>12.984977007748466</v>
      </c>
      <c r="E1059" s="10">
        <f t="shared" si="169"/>
        <v>435816.69418602542</v>
      </c>
      <c r="F1059" s="10">
        <f t="shared" si="173"/>
        <v>136412.54719867132</v>
      </c>
      <c r="G1059" s="10">
        <f t="shared" si="170"/>
        <v>6.3818188314482134</v>
      </c>
      <c r="H1059" s="10">
        <f t="shared" si="171"/>
        <v>0.99831081555622425</v>
      </c>
      <c r="I1059" s="10">
        <f t="shared" si="174"/>
        <v>4.258595375146168E-4</v>
      </c>
      <c r="J1059" s="20">
        <f t="shared" si="172"/>
        <v>0</v>
      </c>
      <c r="K1059" s="10">
        <f t="shared" si="175"/>
        <v>0.37542740588355805</v>
      </c>
      <c r="L1059" s="10">
        <f t="shared" si="176"/>
        <v>0.2252564435301343</v>
      </c>
    </row>
    <row r="1060" spans="1:12" x14ac:dyDescent="0.2">
      <c r="A1060" s="14">
        <v>0.995</v>
      </c>
      <c r="B1060" s="10">
        <f t="shared" si="166"/>
        <v>5.2933048247244914</v>
      </c>
      <c r="C1060" s="10">
        <f t="shared" si="167"/>
        <v>2.6201858882386233</v>
      </c>
      <c r="D1060" s="10">
        <f t="shared" si="168"/>
        <v>13.427008115244538</v>
      </c>
      <c r="E1060" s="10">
        <f t="shared" si="169"/>
        <v>678071.56553906458</v>
      </c>
      <c r="F1060" s="10">
        <f t="shared" si="173"/>
        <v>242254.87135303917</v>
      </c>
      <c r="G1060" s="10">
        <f t="shared" si="170"/>
        <v>6.647037495945856</v>
      </c>
      <c r="H1060" s="10">
        <f t="shared" si="171"/>
        <v>0.99870382092544585</v>
      </c>
      <c r="I1060" s="10">
        <f t="shared" si="174"/>
        <v>3.9300536922159957E-4</v>
      </c>
      <c r="J1060" s="20">
        <f t="shared" si="172"/>
        <v>0</v>
      </c>
      <c r="K1060" s="10">
        <f t="shared" si="175"/>
        <v>0.44203110749607255</v>
      </c>
      <c r="L1060" s="10">
        <f t="shared" si="176"/>
        <v>0.26521866449764264</v>
      </c>
    </row>
    <row r="1061" spans="1:12" x14ac:dyDescent="0.2">
      <c r="A1061" s="14">
        <v>0.996</v>
      </c>
      <c r="B1061" s="10">
        <f t="shared" si="166"/>
        <v>5.5174528964647065</v>
      </c>
      <c r="C1061" s="10">
        <f t="shared" si="167"/>
        <v>2.7366566366464946</v>
      </c>
      <c r="D1061" s="10">
        <f t="shared" si="168"/>
        <v>13.96543756335064</v>
      </c>
      <c r="E1061" s="10">
        <f t="shared" si="169"/>
        <v>1161749.438181804</v>
      </c>
      <c r="F1061" s="10">
        <f t="shared" si="173"/>
        <v>483677.87264273944</v>
      </c>
      <c r="G1061" s="10">
        <f t="shared" si="170"/>
        <v>6.970095164809516</v>
      </c>
      <c r="H1061" s="10">
        <f t="shared" si="171"/>
        <v>0.99906131846269852</v>
      </c>
      <c r="I1061" s="10">
        <f t="shared" si="174"/>
        <v>3.5749753725267119E-4</v>
      </c>
      <c r="J1061" s="20">
        <f t="shared" si="172"/>
        <v>0</v>
      </c>
      <c r="K1061" s="10">
        <f t="shared" si="175"/>
        <v>0.53842944810610227</v>
      </c>
      <c r="L1061" s="10">
        <f t="shared" si="176"/>
        <v>0.32305766886365994</v>
      </c>
    </row>
    <row r="1062" spans="1:12" x14ac:dyDescent="0.2">
      <c r="A1062" s="14">
        <v>0.997</v>
      </c>
      <c r="B1062" s="10">
        <f t="shared" si="166"/>
        <v>5.8061384812937273</v>
      </c>
      <c r="C1062" s="10">
        <f t="shared" si="167"/>
        <v>2.8856508252029824</v>
      </c>
      <c r="D1062" s="10">
        <f t="shared" si="168"/>
        <v>14.656086123900678</v>
      </c>
      <c r="E1062" s="10">
        <f t="shared" si="169"/>
        <v>2317700.5824613236</v>
      </c>
      <c r="F1062" s="10">
        <f t="shared" si="173"/>
        <v>1155951.1442795196</v>
      </c>
      <c r="G1062" s="10">
        <f t="shared" si="170"/>
        <v>7.3844843011395405</v>
      </c>
      <c r="H1062" s="10">
        <f t="shared" si="171"/>
        <v>0.99937957443439418</v>
      </c>
      <c r="I1062" s="10">
        <f t="shared" si="174"/>
        <v>3.1825597169565789E-4</v>
      </c>
      <c r="J1062" s="20">
        <f t="shared" si="172"/>
        <v>0</v>
      </c>
      <c r="K1062" s="10">
        <f t="shared" si="175"/>
        <v>0.69064856055003787</v>
      </c>
      <c r="L1062" s="10">
        <f t="shared" si="176"/>
        <v>0.4143891363300245</v>
      </c>
    </row>
    <row r="1063" spans="1:12" x14ac:dyDescent="0.2">
      <c r="A1063" s="14">
        <v>0.998</v>
      </c>
      <c r="B1063" s="10">
        <f t="shared" si="166"/>
        <v>6.2126060957515179</v>
      </c>
      <c r="C1063" s="10">
        <f t="shared" si="167"/>
        <v>3.093877835684256</v>
      </c>
      <c r="D1063" s="10">
        <f t="shared" si="168"/>
        <v>15.624195622746921</v>
      </c>
      <c r="E1063" s="10">
        <f t="shared" si="169"/>
        <v>6102417.8700421983</v>
      </c>
      <c r="F1063" s="10">
        <f t="shared" si="173"/>
        <v>3784717.2875808747</v>
      </c>
      <c r="G1063" s="10">
        <f t="shared" si="170"/>
        <v>7.9653500004472839</v>
      </c>
      <c r="H1063" s="10">
        <f t="shared" si="171"/>
        <v>0.99965283043252173</v>
      </c>
      <c r="I1063" s="10">
        <f t="shared" si="174"/>
        <v>2.7325599812755286E-4</v>
      </c>
      <c r="J1063" s="20">
        <f t="shared" si="172"/>
        <v>0</v>
      </c>
      <c r="K1063" s="10">
        <f t="shared" si="175"/>
        <v>0.96810949884624264</v>
      </c>
      <c r="L1063" s="10">
        <f t="shared" si="176"/>
        <v>0.58086569930774345</v>
      </c>
    </row>
    <row r="1064" spans="1:12" x14ac:dyDescent="0.2">
      <c r="A1064" s="14">
        <v>0.999</v>
      </c>
      <c r="B1064" s="10">
        <f t="shared" si="166"/>
        <v>6.906754778648553</v>
      </c>
      <c r="C1064" s="10">
        <f t="shared" si="167"/>
        <v>3.4464706345456277</v>
      </c>
      <c r="D1064" s="10">
        <f t="shared" si="168"/>
        <v>17.269140302856673</v>
      </c>
      <c r="E1064" s="10">
        <f t="shared" si="169"/>
        <v>31614938.457726222</v>
      </c>
      <c r="F1064" s="10">
        <f t="shared" si="173"/>
        <v>25512520.587684024</v>
      </c>
      <c r="G1064" s="10">
        <f t="shared" si="170"/>
        <v>8.952316808513137</v>
      </c>
      <c r="H1064" s="10">
        <f t="shared" si="171"/>
        <v>0.99987057981994221</v>
      </c>
      <c r="I1064" s="10">
        <f t="shared" si="174"/>
        <v>2.1774938742047389E-4</v>
      </c>
      <c r="J1064" s="20">
        <f t="shared" si="172"/>
        <v>0</v>
      </c>
      <c r="K1064" s="10">
        <f t="shared" si="175"/>
        <v>1.6449446801097523</v>
      </c>
      <c r="L1064" s="10">
        <f t="shared" si="176"/>
        <v>0.98696680806585313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 (valid)</vt:lpstr>
      <vt:lpstr>Example 2 (invalid)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Khanna, Rohit</cp:lastModifiedBy>
  <cp:revision>1</cp:revision>
  <dcterms:created xsi:type="dcterms:W3CDTF">2026-10-18T18:26:18Z</dcterms:created>
  <dcterms:modified xsi:type="dcterms:W3CDTF">2026-10-18T18:45:37Z</dcterms:modified>
  <dc:language>en-US</dc:language>
</cp:coreProperties>
</file>
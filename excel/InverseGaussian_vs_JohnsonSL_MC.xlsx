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xmlns:r="http://schemas.openxmlformats.org/officeDocument/2006/relationships" name="IG vs Johnson S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family val="2"/>
      <b val="1"/>
      <sz val="13"/>
    </font>
    <font>
      <name val="Arial"/>
      <family val="2"/>
      <b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00"/>
      <sz val="10"/>
    </font>
    <font>
      <name val="Arial"/>
      <family val="2"/>
      <color rgb="FF595959"/>
      <sz val="9"/>
    </font>
    <font>
      <name val="Calibri"/>
      <family val="2"/>
      <i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7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2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8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f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f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f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fgColor rgb="FF00B050"/>
        </patternFill>
      </fill>
    </dxf>
    <dxf>
      <font>
        <color auto="1"/>
      </font>
      <fill>
        <patternFill>
          <fgColor rgb="FF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64"/>
  <sheetViews>
    <sheetView tabSelected="1" workbookViewId="0">
      <pane ySplit="8" topLeftCell="A9" activePane="bottomLeft" state="frozen"/>
      <selection pane="bottomLeft" activeCell="P44" sqref="P44"/>
    </sheetView>
  </sheetViews>
  <sheetFormatPr baseColWidth="10" defaultColWidth="8.83203125" defaultRowHeight="15"/>
  <cols>
    <col width="16.5" customWidth="1" min="1" max="1"/>
    <col width="6" customWidth="1" min="2" max="2"/>
    <col width="13" customWidth="1" min="3" max="3"/>
    <col width="15" customWidth="1" min="4" max="4"/>
    <col width="13" customWidth="1" min="5" max="5"/>
    <col width="3" customWidth="1" min="6" max="6"/>
    <col width="13" customWidth="1" min="7" max="7"/>
    <col width="15" customWidth="1" min="8" max="8"/>
    <col width="13" customWidth="1" min="9" max="9"/>
    <col width="11.6640625" customWidth="1" min="13" max="13"/>
    <col width="14" customWidth="1" min="14" max="14"/>
    <col width="11.5" customWidth="1" min="15" max="15"/>
  </cols>
  <sheetData>
    <row r="1" ht="17" customHeight="1">
      <c r="A1" s="1" t="inlineStr">
        <is>
          <t>Monte Carlo results: Inverse Gaussian (left) and Johnson SL (right)</t>
        </is>
      </c>
    </row>
    <row r="2" ht="16" customHeight="1">
      <c r="A2" s="15" t="inlineStr">
        <is>
          <t xml:space="preserve">1000 replicates per N. </t>
        </is>
      </c>
    </row>
    <row r="4" ht="16" customHeight="1">
      <c r="A4" s="2" t="inlineStr">
        <is>
          <t>Reference distributions (matched at P10 / P50 / P90)</t>
        </is>
      </c>
    </row>
    <row r="5">
      <c r="A5" s="8" t="inlineStr">
        <is>
          <t>Distribution</t>
        </is>
      </c>
      <c r="C5" s="8" t="inlineStr">
        <is>
          <t>P10</t>
        </is>
      </c>
      <c r="D5" s="8" t="inlineStr">
        <is>
          <t>P50</t>
        </is>
      </c>
      <c r="E5" s="8" t="inlineStr">
        <is>
          <t>P90</t>
        </is>
      </c>
      <c r="G5" s="8" t="inlineStr">
        <is>
          <t>Mode location</t>
        </is>
      </c>
      <c r="H5" s="8" t="inlineStr">
        <is>
          <t>Mode height</t>
        </is>
      </c>
    </row>
    <row r="6">
      <c r="A6" s="9" t="inlineStr">
        <is>
          <t>Inverse Gaussian</t>
        </is>
      </c>
      <c r="C6" s="10" t="n">
        <v>0.2407</v>
      </c>
      <c r="D6" s="10" t="n">
        <v>0.6501</v>
      </c>
      <c r="E6" s="10" t="n">
        <v>1.9184</v>
      </c>
      <c r="G6" s="10" t="n">
        <v>0.3146</v>
      </c>
      <c r="H6" s="10" t="n">
        <v>1.121</v>
      </c>
    </row>
    <row r="7">
      <c r="A7" s="9" t="inlineStr">
        <is>
          <t>Johnson SL</t>
        </is>
      </c>
      <c r="C7" s="10" t="n">
        <v>0.2266</v>
      </c>
      <c r="D7" s="10" t="n">
        <v>0.6592</v>
      </c>
      <c r="E7" s="10" t="n">
        <v>1.918</v>
      </c>
      <c r="G7" s="10" t="n">
        <v>0.3292</v>
      </c>
      <c r="H7" s="10" t="n">
        <v>1.0276</v>
      </c>
    </row>
    <row r="9" ht="16" customHeight="1">
      <c r="A9" s="2" t="inlineStr">
        <is>
          <t>N = 200</t>
        </is>
      </c>
    </row>
    <row r="10">
      <c r="C10" s="13" t="inlineStr">
        <is>
          <t>Inverse Gaussian (μ = 0.919, λ = 1.069)</t>
        </is>
      </c>
      <c r="D10" s="19" t="n"/>
      <c r="E10" s="20" t="n"/>
      <c r="G10" s="13" t="inlineStr">
        <is>
          <t>Johnson SL (ξ = 0, λ = 1, γ = 0.5, δ = 1.2)</t>
        </is>
      </c>
      <c r="H10" s="19" t="n"/>
      <c r="I10" s="20" t="n"/>
      <c r="M10" s="13" t="inlineStr">
        <is>
          <t>Difference</t>
        </is>
      </c>
      <c r="N10" s="19" t="n"/>
      <c r="O10" s="20" t="n"/>
    </row>
    <row r="11" ht="44" customHeight="1">
      <c r="A11" s="3" t="inlineStr">
        <is>
          <t>Model</t>
        </is>
      </c>
      <c r="B11" s="3" t="inlineStr">
        <is>
          <t>K</t>
        </is>
      </c>
      <c r="C11" s="3" t="inlineStr">
        <is>
          <t>Validity (%)</t>
        </is>
      </c>
      <c r="D11" s="3" t="inlineStr">
        <is>
          <t>False Multimodality (%)</t>
        </is>
      </c>
      <c r="E11" s="3" t="inlineStr">
        <is>
          <t>Median W1 (%)</t>
        </is>
      </c>
      <c r="G11" s="3" t="inlineStr">
        <is>
          <t>Validity (%)</t>
        </is>
      </c>
      <c r="H11" s="3" t="inlineStr">
        <is>
          <t>False Multimodality (%)</t>
        </is>
      </c>
      <c r="I11" s="3" t="inlineStr">
        <is>
          <t>Median W1 (%)</t>
        </is>
      </c>
      <c r="L11" s="16" t="n"/>
      <c r="M11" s="3" t="inlineStr">
        <is>
          <t>Validity (%)</t>
        </is>
      </c>
      <c r="N11" s="3" t="inlineStr">
        <is>
          <t>False Multimodality (%)</t>
        </is>
      </c>
      <c r="O11" s="3" t="inlineStr">
        <is>
          <t>Median W1 (%)</t>
        </is>
      </c>
    </row>
    <row r="12">
      <c r="A12" s="4" t="inlineStr">
        <is>
          <t>Metalog</t>
        </is>
      </c>
      <c r="B12" s="5" t="n">
        <v>4</v>
      </c>
      <c r="C12" s="6" t="n">
        <v>100</v>
      </c>
      <c r="D12" s="6" t="n">
        <v>0</v>
      </c>
      <c r="E12" s="7" t="n">
        <v>2.21</v>
      </c>
      <c r="G12" s="6" t="n">
        <v>100</v>
      </c>
      <c r="H12" s="6" t="n">
        <v>0</v>
      </c>
      <c r="I12" s="7" t="n">
        <v>2.43</v>
      </c>
      <c r="M12" s="17">
        <f>C12-G12</f>
        <v/>
      </c>
      <c r="N12" s="17">
        <f>D12-H12</f>
        <v/>
      </c>
      <c r="O12" s="18">
        <f>E12-I12</f>
        <v/>
      </c>
    </row>
    <row r="13">
      <c r="A13" s="4" t="n"/>
      <c r="B13" s="5" t="n">
        <v>7</v>
      </c>
      <c r="C13" s="6" t="n">
        <v>93.8</v>
      </c>
      <c r="D13" s="6" t="n">
        <v>0.9</v>
      </c>
      <c r="E13" s="7" t="n">
        <v>1.68</v>
      </c>
      <c r="G13" s="6" t="n">
        <v>96.09999999999999</v>
      </c>
      <c r="H13" s="6" t="n">
        <v>2.3</v>
      </c>
      <c r="I13" s="7" t="n">
        <v>1.84</v>
      </c>
      <c r="M13" s="17">
        <f>C13-G13</f>
        <v/>
      </c>
      <c r="N13" s="17">
        <f>D13-H13</f>
        <v/>
      </c>
      <c r="O13" s="18">
        <f>E13-I13</f>
        <v/>
      </c>
    </row>
    <row r="14">
      <c r="A14" s="4" t="n"/>
      <c r="B14" s="5" t="n">
        <v>10</v>
      </c>
      <c r="C14" s="6" t="n">
        <v>64.09999999999999</v>
      </c>
      <c r="D14" s="6" t="n">
        <v>42</v>
      </c>
      <c r="E14" s="7" t="n">
        <v>1.33</v>
      </c>
      <c r="G14" s="6" t="n">
        <v>69.40000000000001</v>
      </c>
      <c r="H14" s="6" t="n">
        <v>47.7</v>
      </c>
      <c r="I14" s="7" t="n">
        <v>1.45</v>
      </c>
      <c r="M14" s="17">
        <f>C14-G14</f>
        <v/>
      </c>
      <c r="N14" s="17">
        <f>D14-H14</f>
        <v/>
      </c>
      <c r="O14" s="18">
        <f>E14-I14</f>
        <v/>
      </c>
    </row>
    <row r="15">
      <c r="A15" s="4" t="n"/>
      <c r="B15" s="5" t="n">
        <v>13</v>
      </c>
      <c r="C15" s="6" t="n">
        <v>35.5</v>
      </c>
      <c r="D15" s="6" t="n">
        <v>83.7</v>
      </c>
      <c r="E15" s="7" t="n">
        <v>1.15</v>
      </c>
      <c r="G15" s="6" t="n">
        <v>37.6</v>
      </c>
      <c r="H15" s="6" t="n">
        <v>87.8</v>
      </c>
      <c r="I15" s="7" t="n">
        <v>1.22</v>
      </c>
      <c r="M15" s="17">
        <f>C15-G15</f>
        <v/>
      </c>
      <c r="N15" s="17">
        <f>D15-H15</f>
        <v/>
      </c>
      <c r="O15" s="18">
        <f>E15-I15</f>
        <v/>
      </c>
    </row>
    <row r="16">
      <c r="A16" s="4" t="inlineStr">
        <is>
          <t>QFlex-U</t>
        </is>
      </c>
      <c r="B16" s="5" t="n">
        <v>4</v>
      </c>
      <c r="C16" s="6" t="n">
        <v>100</v>
      </c>
      <c r="D16" s="6" t="n">
        <v>0</v>
      </c>
      <c r="E16" s="7" t="n">
        <v>2.23</v>
      </c>
      <c r="G16" s="6" t="n">
        <v>100</v>
      </c>
      <c r="H16" s="6" t="n">
        <v>0</v>
      </c>
      <c r="I16" s="7" t="n">
        <v>2.41</v>
      </c>
      <c r="M16" s="17">
        <f>C16-G16</f>
        <v/>
      </c>
      <c r="N16" s="17">
        <f>D16-H16</f>
        <v/>
      </c>
      <c r="O16" s="18">
        <f>E16-I16</f>
        <v/>
      </c>
    </row>
    <row r="17">
      <c r="A17" s="4" t="n"/>
      <c r="B17" s="5" t="n">
        <v>7</v>
      </c>
      <c r="C17" s="6" t="n">
        <v>65.2</v>
      </c>
      <c r="D17" s="6" t="n">
        <v>6.3</v>
      </c>
      <c r="E17" s="7" t="n">
        <v>1.69</v>
      </c>
      <c r="G17" s="6" t="n">
        <v>71</v>
      </c>
      <c r="H17" s="6" t="n">
        <v>8.300000000000001</v>
      </c>
      <c r="I17" s="7" t="n">
        <v>1.89</v>
      </c>
      <c r="M17" s="17">
        <f>C17-G17</f>
        <v/>
      </c>
      <c r="N17" s="17">
        <f>D17-H17</f>
        <v/>
      </c>
      <c r="O17" s="18">
        <f>E17-I17</f>
        <v/>
      </c>
    </row>
    <row r="18">
      <c r="A18" s="4" t="n"/>
      <c r="B18" s="5" t="n">
        <v>10</v>
      </c>
      <c r="C18" s="6" t="n">
        <v>41.6</v>
      </c>
      <c r="D18" s="6" t="n">
        <v>57</v>
      </c>
      <c r="E18" s="7" t="n">
        <v>1.4</v>
      </c>
      <c r="G18" s="6" t="n">
        <v>43.4</v>
      </c>
      <c r="H18" s="6" t="n">
        <v>61.1</v>
      </c>
      <c r="I18" s="7" t="n">
        <v>1.51</v>
      </c>
      <c r="M18" s="17">
        <f>C18-G18</f>
        <v/>
      </c>
      <c r="N18" s="17">
        <f>D18-H18</f>
        <v/>
      </c>
      <c r="O18" s="18">
        <f>E18-I18</f>
        <v/>
      </c>
    </row>
    <row r="19">
      <c r="A19" s="4" t="n"/>
      <c r="B19" s="5" t="n">
        <v>13</v>
      </c>
      <c r="C19" s="6" t="n">
        <v>21.8</v>
      </c>
      <c r="D19" s="6" t="n">
        <v>89</v>
      </c>
      <c r="E19" s="7" t="n">
        <v>1.12</v>
      </c>
      <c r="G19" s="6" t="n">
        <v>28.4</v>
      </c>
      <c r="H19" s="6" t="n">
        <v>92.3</v>
      </c>
      <c r="I19" s="7" t="n">
        <v>1.22</v>
      </c>
      <c r="M19" s="17">
        <f>C19-G19</f>
        <v/>
      </c>
      <c r="N19" s="17">
        <f>D19-H19</f>
        <v/>
      </c>
      <c r="O19" s="18">
        <f>E19-I19</f>
        <v/>
      </c>
    </row>
    <row r="20">
      <c r="A20" s="4" t="inlineStr">
        <is>
          <t>QFlex-T+</t>
        </is>
      </c>
      <c r="B20" s="5" t="n">
        <v>4</v>
      </c>
      <c r="C20" s="6" t="n">
        <v>100</v>
      </c>
      <c r="D20" s="6" t="n">
        <v>0</v>
      </c>
      <c r="E20" s="7" t="n">
        <v>2.23</v>
      </c>
      <c r="G20" s="6" t="n">
        <v>100</v>
      </c>
      <c r="H20" s="6" t="n">
        <v>0</v>
      </c>
      <c r="I20" s="7" t="n">
        <v>2.41</v>
      </c>
      <c r="M20" s="17">
        <f>C20-G20</f>
        <v/>
      </c>
      <c r="N20" s="17">
        <f>D20-H20</f>
        <v/>
      </c>
      <c r="O20" s="18">
        <f>E20-I20</f>
        <v/>
      </c>
    </row>
    <row r="21">
      <c r="A21" s="4" t="n"/>
      <c r="B21" s="5" t="n">
        <v>7</v>
      </c>
      <c r="C21" s="6" t="n">
        <v>99.8</v>
      </c>
      <c r="D21" s="6" t="n">
        <v>5</v>
      </c>
      <c r="E21" s="7" t="n">
        <v>1.76</v>
      </c>
      <c r="G21" s="6" t="n">
        <v>99.90000000000001</v>
      </c>
      <c r="H21" s="6" t="n">
        <v>7</v>
      </c>
      <c r="I21" s="7" t="n">
        <v>1.92</v>
      </c>
      <c r="M21" s="17">
        <f>C21-G21</f>
        <v/>
      </c>
      <c r="N21" s="17">
        <f>D21-H21</f>
        <v/>
      </c>
      <c r="O21" s="18">
        <f>E21-I21</f>
        <v/>
      </c>
    </row>
    <row r="22">
      <c r="A22" s="4" t="n"/>
      <c r="B22" s="5" t="n">
        <v>10</v>
      </c>
      <c r="C22" s="6" t="n">
        <v>67.8</v>
      </c>
      <c r="D22" s="6" t="n">
        <v>44.4</v>
      </c>
      <c r="E22" s="7" t="n">
        <v>1.38</v>
      </c>
      <c r="G22" s="6" t="n">
        <v>69.8</v>
      </c>
      <c r="H22" s="6" t="n">
        <v>46</v>
      </c>
      <c r="I22" s="7" t="n">
        <v>1.51</v>
      </c>
      <c r="M22" s="17">
        <f>C22-G22</f>
        <v/>
      </c>
      <c r="N22" s="17">
        <f>D22-H22</f>
        <v/>
      </c>
      <c r="O22" s="18">
        <f>E22-I22</f>
        <v/>
      </c>
    </row>
    <row r="23">
      <c r="A23" s="4" t="n"/>
      <c r="B23" s="5" t="n">
        <v>13</v>
      </c>
      <c r="C23" s="6" t="n">
        <v>38.3</v>
      </c>
      <c r="D23" s="6" t="n">
        <v>86.7</v>
      </c>
      <c r="E23" s="7" t="n">
        <v>1.13</v>
      </c>
      <c r="G23" s="6" t="n">
        <v>42.2</v>
      </c>
      <c r="H23" s="6" t="n">
        <v>89.09999999999999</v>
      </c>
      <c r="I23" s="7" t="n">
        <v>1.25</v>
      </c>
      <c r="M23" s="17">
        <f>C23-G23</f>
        <v/>
      </c>
      <c r="N23" s="17">
        <f>D23-H23</f>
        <v/>
      </c>
      <c r="O23" s="18">
        <f>E23-I23</f>
        <v/>
      </c>
    </row>
    <row r="24">
      <c r="A24" s="4" t="inlineStr">
        <is>
          <t>QFlex-TA+</t>
        </is>
      </c>
      <c r="B24" s="5" t="n">
        <v>4</v>
      </c>
      <c r="C24" s="6" t="n">
        <v>100</v>
      </c>
      <c r="D24" s="6" t="n">
        <v>0</v>
      </c>
      <c r="E24" s="7" t="n">
        <v>2.23</v>
      </c>
      <c r="G24" s="6" t="n">
        <v>100</v>
      </c>
      <c r="H24" s="6" t="n">
        <v>0</v>
      </c>
      <c r="I24" s="7" t="n">
        <v>2.41</v>
      </c>
      <c r="M24" s="17">
        <f>C24-G24</f>
        <v/>
      </c>
      <c r="N24" s="17">
        <f>D24-H24</f>
        <v/>
      </c>
      <c r="O24" s="18">
        <f>E24-I24</f>
        <v/>
      </c>
    </row>
    <row r="25">
      <c r="A25" s="4" t="n"/>
      <c r="B25" s="5" t="n">
        <v>7</v>
      </c>
      <c r="C25" s="6" t="n">
        <v>100</v>
      </c>
      <c r="D25" s="6" t="n">
        <v>1</v>
      </c>
      <c r="E25" s="7" t="n">
        <v>1.84</v>
      </c>
      <c r="G25" s="6" t="n">
        <v>100</v>
      </c>
      <c r="H25" s="6" t="n">
        <v>1.9</v>
      </c>
      <c r="I25" s="7" t="n">
        <v>2.01</v>
      </c>
      <c r="M25" s="17">
        <f>C25-G25</f>
        <v/>
      </c>
      <c r="N25" s="17">
        <f>D25-H25</f>
        <v/>
      </c>
      <c r="O25" s="18">
        <f>E25-I25</f>
        <v/>
      </c>
    </row>
    <row r="26">
      <c r="A26" s="4" t="n"/>
      <c r="B26" s="5" t="n">
        <v>10</v>
      </c>
      <c r="C26" s="6" t="n">
        <v>100</v>
      </c>
      <c r="D26" s="6" t="n">
        <v>7.9</v>
      </c>
      <c r="E26" s="7" t="n">
        <v>1.66</v>
      </c>
      <c r="G26" s="6" t="n">
        <v>100</v>
      </c>
      <c r="H26" s="6" t="n">
        <v>13.6</v>
      </c>
      <c r="I26" s="7" t="n">
        <v>1.83</v>
      </c>
      <c r="M26" s="17">
        <f>C26-G26</f>
        <v/>
      </c>
      <c r="N26" s="17">
        <f>D26-H26</f>
        <v/>
      </c>
      <c r="O26" s="18">
        <f>E26-I26</f>
        <v/>
      </c>
    </row>
    <row r="27">
      <c r="A27" s="4" t="n"/>
      <c r="B27" s="5" t="n">
        <v>13</v>
      </c>
      <c r="C27" s="6" t="n">
        <v>100</v>
      </c>
      <c r="D27" s="6" t="n">
        <v>29.1</v>
      </c>
      <c r="E27" s="7" t="n">
        <v>1.54</v>
      </c>
      <c r="G27" s="6" t="n">
        <v>100</v>
      </c>
      <c r="H27" s="6" t="n">
        <v>38.3</v>
      </c>
      <c r="I27" s="7" t="n">
        <v>1.7</v>
      </c>
      <c r="M27" s="17">
        <f>C27-G27</f>
        <v/>
      </c>
      <c r="N27" s="17">
        <f>D27-H27</f>
        <v/>
      </c>
      <c r="O27" s="18">
        <f>E27-I27</f>
        <v/>
      </c>
    </row>
    <row r="28">
      <c r="A28" s="4" t="inlineStr">
        <is>
          <t>QFlex-A+</t>
        </is>
      </c>
      <c r="B28" s="5" t="n">
        <v>4</v>
      </c>
      <c r="C28" s="6" t="n">
        <v>100</v>
      </c>
      <c r="D28" s="6" t="n">
        <v>0</v>
      </c>
      <c r="E28" s="7" t="n">
        <v>2.23</v>
      </c>
      <c r="G28" s="6" t="n">
        <v>100</v>
      </c>
      <c r="H28" s="6" t="n">
        <v>0</v>
      </c>
      <c r="I28" s="7" t="n">
        <v>2.41</v>
      </c>
      <c r="M28" s="17">
        <f>C28-G28</f>
        <v/>
      </c>
      <c r="N28" s="17">
        <f>D28-H28</f>
        <v/>
      </c>
      <c r="O28" s="18">
        <f>E28-I28</f>
        <v/>
      </c>
    </row>
    <row r="29">
      <c r="A29" s="4" t="n"/>
      <c r="B29" s="5" t="n">
        <v>7</v>
      </c>
      <c r="C29" s="6" t="n">
        <v>100</v>
      </c>
      <c r="D29" s="6" t="n">
        <v>1</v>
      </c>
      <c r="E29" s="7" t="n">
        <v>1.85</v>
      </c>
      <c r="G29" s="6" t="n">
        <v>100</v>
      </c>
      <c r="H29" s="6" t="n">
        <v>1.9</v>
      </c>
      <c r="I29" s="7" t="n">
        <v>2.01</v>
      </c>
      <c r="M29" s="17">
        <f>C29-G29</f>
        <v/>
      </c>
      <c r="N29" s="17">
        <f>D29-H29</f>
        <v/>
      </c>
      <c r="O29" s="18">
        <f>E29-I29</f>
        <v/>
      </c>
    </row>
    <row r="30">
      <c r="A30" s="4" t="n"/>
      <c r="B30" s="5" t="n">
        <v>10</v>
      </c>
      <c r="C30" s="6" t="n">
        <v>100</v>
      </c>
      <c r="D30" s="6" t="n">
        <v>1.2</v>
      </c>
      <c r="E30" s="7" t="n">
        <v>1.75</v>
      </c>
      <c r="G30" s="6" t="n">
        <v>100</v>
      </c>
      <c r="H30" s="6" t="n">
        <v>3.3</v>
      </c>
      <c r="I30" s="7" t="n">
        <v>1.91</v>
      </c>
      <c r="M30" s="17">
        <f>C30-G30</f>
        <v/>
      </c>
      <c r="N30" s="17">
        <f>D30-H30</f>
        <v/>
      </c>
      <c r="O30" s="18">
        <f>E30-I30</f>
        <v/>
      </c>
    </row>
    <row r="31">
      <c r="A31" s="4" t="n"/>
      <c r="B31" s="5" t="n">
        <v>13</v>
      </c>
      <c r="C31" s="6" t="n">
        <v>100</v>
      </c>
      <c r="D31" s="6" t="n">
        <v>1.9</v>
      </c>
      <c r="E31" s="7" t="n">
        <v>1.7</v>
      </c>
      <c r="G31" s="6" t="n">
        <v>100</v>
      </c>
      <c r="H31" s="6" t="n">
        <v>4.2</v>
      </c>
      <c r="I31" s="7" t="n">
        <v>1.84</v>
      </c>
      <c r="M31" s="17">
        <f>C31-G31</f>
        <v/>
      </c>
      <c r="N31" s="17">
        <f>D31-H31</f>
        <v/>
      </c>
      <c r="O31" s="18">
        <f>E31-I31</f>
        <v/>
      </c>
    </row>
    <row r="34" ht="16" customHeight="1">
      <c r="A34" s="2" t="inlineStr">
        <is>
          <t>N = 50</t>
        </is>
      </c>
    </row>
    <row r="35">
      <c r="C35" s="13" t="inlineStr">
        <is>
          <t>Inverse Gaussian (μ = 0.919, λ = 1.069)</t>
        </is>
      </c>
      <c r="D35" s="19" t="n"/>
      <c r="E35" s="20" t="n"/>
      <c r="G35" s="13" t="inlineStr">
        <is>
          <t>Johnson SL (ξ = 0, λ = 1, γ = 0.5, δ = 1.2)</t>
        </is>
      </c>
      <c r="H35" s="19" t="n"/>
      <c r="I35" s="20" t="n"/>
      <c r="M35" s="13" t="inlineStr">
        <is>
          <t>Difference (IG - Johnson SL)</t>
        </is>
      </c>
      <c r="N35" s="19" t="n"/>
      <c r="O35" s="20" t="n"/>
    </row>
    <row r="36" ht="44" customHeight="1">
      <c r="A36" s="3" t="inlineStr">
        <is>
          <t>Model</t>
        </is>
      </c>
      <c r="B36" s="3" t="inlineStr">
        <is>
          <t>K</t>
        </is>
      </c>
      <c r="C36" s="3" t="inlineStr">
        <is>
          <t>Validity (%)</t>
        </is>
      </c>
      <c r="D36" s="3" t="inlineStr">
        <is>
          <t>False Multimodality (%)</t>
        </is>
      </c>
      <c r="E36" s="3" t="inlineStr">
        <is>
          <t>Median W1 (%)</t>
        </is>
      </c>
      <c r="G36" s="3" t="inlineStr">
        <is>
          <t>Validity (%)</t>
        </is>
      </c>
      <c r="H36" s="3" t="inlineStr">
        <is>
          <t>False Multimodality (%)</t>
        </is>
      </c>
      <c r="I36" s="3" t="inlineStr">
        <is>
          <t>Median W1 (%)</t>
        </is>
      </c>
      <c r="M36" s="3" t="inlineStr">
        <is>
          <t>Validity (%)</t>
        </is>
      </c>
      <c r="N36" s="3" t="inlineStr">
        <is>
          <t>False Multimodality (%)</t>
        </is>
      </c>
      <c r="O36" s="3" t="inlineStr">
        <is>
          <t>Median W1 (%)</t>
        </is>
      </c>
    </row>
    <row r="37">
      <c r="A37" s="4" t="inlineStr">
        <is>
          <t>Metalog</t>
        </is>
      </c>
      <c r="B37" s="5" t="n">
        <v>4</v>
      </c>
      <c r="C37" s="6" t="n">
        <v>99.3</v>
      </c>
      <c r="D37" s="6" t="n">
        <v>0</v>
      </c>
      <c r="E37" s="7" t="n">
        <v>3.39</v>
      </c>
      <c r="G37" s="6" t="n">
        <v>99.90000000000001</v>
      </c>
      <c r="H37" s="6" t="n">
        <v>0</v>
      </c>
      <c r="I37" s="7" t="n">
        <v>3.58</v>
      </c>
      <c r="M37" s="17">
        <f>C37-G37</f>
        <v/>
      </c>
      <c r="N37" s="17">
        <f>D37-H37</f>
        <v/>
      </c>
      <c r="O37" s="18">
        <f>E37-I37</f>
        <v/>
      </c>
    </row>
    <row r="38">
      <c r="A38" s="4" t="n"/>
      <c r="B38" s="5" t="n">
        <v>7</v>
      </c>
      <c r="C38" s="6" t="n">
        <v>48.8</v>
      </c>
      <c r="D38" s="6" t="n">
        <v>17.8</v>
      </c>
      <c r="E38" s="7" t="n">
        <v>2.49</v>
      </c>
      <c r="G38" s="6" t="n">
        <v>53.8</v>
      </c>
      <c r="H38" s="6" t="n">
        <v>23.6</v>
      </c>
      <c r="I38" s="7" t="n">
        <v>2.61</v>
      </c>
      <c r="M38" s="17">
        <f>C38-G38</f>
        <v/>
      </c>
      <c r="N38" s="17">
        <f>D38-H38</f>
        <v/>
      </c>
      <c r="O38" s="18">
        <f>E38-I38</f>
        <v/>
      </c>
    </row>
    <row r="39">
      <c r="A39" s="4" t="n"/>
      <c r="B39" s="5" t="n">
        <v>10</v>
      </c>
      <c r="C39" s="6" t="n">
        <v>33.2</v>
      </c>
      <c r="D39" s="6" t="n">
        <v>90.09999999999999</v>
      </c>
      <c r="E39" s="7" t="n">
        <v>1.77</v>
      </c>
      <c r="G39" s="6" t="n">
        <v>35.9</v>
      </c>
      <c r="H39" s="6" t="n">
        <v>91.90000000000001</v>
      </c>
      <c r="I39" s="7" t="n">
        <v>1.8</v>
      </c>
      <c r="M39" s="17">
        <f>C39-G39</f>
        <v/>
      </c>
      <c r="N39" s="17">
        <f>D39-H39</f>
        <v/>
      </c>
      <c r="O39" s="18">
        <f>E39-I39</f>
        <v/>
      </c>
    </row>
    <row r="40">
      <c r="A40" s="4" t="n"/>
      <c r="B40" s="5" t="n">
        <v>13</v>
      </c>
      <c r="C40" s="6" t="n">
        <v>10.4</v>
      </c>
      <c r="D40" s="6" t="n">
        <v>99</v>
      </c>
      <c r="E40" s="7" t="n">
        <v>1.38</v>
      </c>
      <c r="G40" s="6" t="n">
        <v>12.4</v>
      </c>
      <c r="H40" s="6" t="n">
        <v>100</v>
      </c>
      <c r="I40" s="7" t="n">
        <v>1.42</v>
      </c>
      <c r="M40" s="17">
        <f>C40-G40</f>
        <v/>
      </c>
      <c r="N40" s="17">
        <f>D40-H40</f>
        <v/>
      </c>
      <c r="O40" s="18">
        <f>E40-I40</f>
        <v/>
      </c>
    </row>
    <row r="41">
      <c r="A41" s="4" t="inlineStr">
        <is>
          <t>QFlex-U</t>
        </is>
      </c>
      <c r="B41" s="5" t="n">
        <v>4</v>
      </c>
      <c r="C41" s="6" t="n">
        <v>98.09999999999999</v>
      </c>
      <c r="D41" s="6" t="n">
        <v>0</v>
      </c>
      <c r="E41" s="7" t="n">
        <v>3.41</v>
      </c>
      <c r="G41" s="6" t="n">
        <v>99.2</v>
      </c>
      <c r="H41" s="6" t="n">
        <v>0</v>
      </c>
      <c r="I41" s="7" t="n">
        <v>3.58</v>
      </c>
      <c r="M41" s="17">
        <f>C41-G41</f>
        <v/>
      </c>
      <c r="N41" s="17">
        <f>D41-H41</f>
        <v/>
      </c>
      <c r="O41" s="18">
        <f>E41-I41</f>
        <v/>
      </c>
    </row>
    <row r="42">
      <c r="A42" s="4" t="n"/>
      <c r="B42" s="5" t="n">
        <v>7</v>
      </c>
      <c r="C42" s="6" t="n">
        <v>51.2</v>
      </c>
      <c r="D42" s="6" t="n">
        <v>41.4</v>
      </c>
      <c r="E42" s="7" t="n">
        <v>2.39</v>
      </c>
      <c r="G42" s="6" t="n">
        <v>52.5</v>
      </c>
      <c r="H42" s="6" t="n">
        <v>40.4</v>
      </c>
      <c r="I42" s="7" t="n">
        <v>2.5</v>
      </c>
      <c r="M42" s="17">
        <f>C42-G42</f>
        <v/>
      </c>
      <c r="N42" s="17">
        <f>D42-H42</f>
        <v/>
      </c>
      <c r="O42" s="18">
        <f>E42-I42</f>
        <v/>
      </c>
    </row>
    <row r="43">
      <c r="A43" s="4" t="n"/>
      <c r="B43" s="5" t="n">
        <v>10</v>
      </c>
      <c r="C43" s="6" t="n">
        <v>23</v>
      </c>
      <c r="D43" s="6" t="n">
        <v>92.2</v>
      </c>
      <c r="E43" s="7" t="n">
        <v>1.8</v>
      </c>
      <c r="G43" s="6" t="n">
        <v>24.7</v>
      </c>
      <c r="H43" s="6" t="n">
        <v>90.7</v>
      </c>
      <c r="I43" s="7" t="n">
        <v>1.83</v>
      </c>
      <c r="M43" s="17">
        <f>C43-G43</f>
        <v/>
      </c>
      <c r="N43" s="17">
        <f>D43-H43</f>
        <v/>
      </c>
      <c r="O43" s="18">
        <f>E43-I43</f>
        <v/>
      </c>
    </row>
    <row r="44">
      <c r="A44" s="4" t="n"/>
      <c r="B44" s="5" t="n">
        <v>13</v>
      </c>
      <c r="C44" s="6" t="n">
        <v>4.3</v>
      </c>
      <c r="D44" s="6" t="n">
        <v>97.7</v>
      </c>
      <c r="E44" s="7" t="n">
        <v>1.4</v>
      </c>
      <c r="G44" s="6" t="n">
        <v>5</v>
      </c>
      <c r="H44" s="6" t="n">
        <v>98</v>
      </c>
      <c r="I44" s="7" t="n">
        <v>1.45</v>
      </c>
      <c r="M44" s="17">
        <f>C44-G44</f>
        <v/>
      </c>
      <c r="N44" s="17">
        <f>D44-H44</f>
        <v/>
      </c>
      <c r="O44" s="18">
        <f>E44-I44</f>
        <v/>
      </c>
    </row>
    <row r="45">
      <c r="A45" s="4" t="inlineStr">
        <is>
          <t>QFlex-T+</t>
        </is>
      </c>
      <c r="B45" s="5" t="n">
        <v>4</v>
      </c>
      <c r="C45" s="6" t="n">
        <v>100</v>
      </c>
      <c r="D45" s="6" t="n">
        <v>0</v>
      </c>
      <c r="E45" s="7" t="n">
        <v>3.41</v>
      </c>
      <c r="G45" s="6" t="n">
        <v>100</v>
      </c>
      <c r="H45" s="6" t="n">
        <v>0</v>
      </c>
      <c r="I45" s="7" t="n">
        <v>3.58</v>
      </c>
      <c r="M45" s="17">
        <f>C45-G45</f>
        <v/>
      </c>
      <c r="N45" s="17">
        <f>D45-H45</f>
        <v/>
      </c>
      <c r="O45" s="18">
        <f>E45-I45</f>
        <v/>
      </c>
    </row>
    <row r="46">
      <c r="A46" s="4" t="n"/>
      <c r="B46" s="5" t="n">
        <v>7</v>
      </c>
      <c r="C46" s="6" t="n">
        <v>88.5</v>
      </c>
      <c r="D46" s="6" t="n">
        <v>27.1</v>
      </c>
      <c r="E46" s="7" t="n">
        <v>2.53</v>
      </c>
      <c r="G46" s="6" t="n">
        <v>89.8</v>
      </c>
      <c r="H46" s="6" t="n">
        <v>27.8</v>
      </c>
      <c r="I46" s="7" t="n">
        <v>2.66</v>
      </c>
      <c r="M46" s="17">
        <f>C46-G46</f>
        <v/>
      </c>
      <c r="N46" s="17">
        <f>D46-H46</f>
        <v/>
      </c>
      <c r="O46" s="18">
        <f>E46-I46</f>
        <v/>
      </c>
    </row>
    <row r="47">
      <c r="A47" s="4" t="n"/>
      <c r="B47" s="5" t="n">
        <v>10</v>
      </c>
      <c r="C47" s="6" t="n">
        <v>39.9</v>
      </c>
      <c r="D47" s="6" t="n">
        <v>83.7</v>
      </c>
      <c r="E47" s="7" t="n">
        <v>1.82</v>
      </c>
      <c r="G47" s="6" t="n">
        <v>41.3</v>
      </c>
      <c r="H47" s="6" t="n">
        <v>87.40000000000001</v>
      </c>
      <c r="I47" s="7" t="n">
        <v>1.92</v>
      </c>
      <c r="M47" s="17">
        <f>C47-G47</f>
        <v/>
      </c>
      <c r="N47" s="17">
        <f>D47-H47</f>
        <v/>
      </c>
      <c r="O47" s="18">
        <f>E47-I47</f>
        <v/>
      </c>
    </row>
    <row r="48">
      <c r="A48" s="4" t="n"/>
      <c r="B48" s="5" t="n">
        <v>13</v>
      </c>
      <c r="C48" s="6" t="n">
        <v>8.5</v>
      </c>
      <c r="D48" s="6" t="n">
        <v>98.8</v>
      </c>
      <c r="E48" s="7" t="n">
        <v>1.48</v>
      </c>
      <c r="G48" s="6" t="n">
        <v>9.5</v>
      </c>
      <c r="H48" s="6" t="n">
        <v>97.90000000000001</v>
      </c>
      <c r="I48" s="7" t="n">
        <v>1.51</v>
      </c>
      <c r="M48" s="17">
        <f>C48-G48</f>
        <v/>
      </c>
      <c r="N48" s="17">
        <f>D48-H48</f>
        <v/>
      </c>
      <c r="O48" s="18">
        <f>E48-I48</f>
        <v/>
      </c>
    </row>
    <row r="49">
      <c r="A49" s="4" t="inlineStr">
        <is>
          <t>QFlex-TA+</t>
        </is>
      </c>
      <c r="B49" s="5" t="n">
        <v>4</v>
      </c>
      <c r="C49" s="6" t="n">
        <v>100</v>
      </c>
      <c r="D49" s="6" t="n">
        <v>0</v>
      </c>
      <c r="E49" s="7" t="n">
        <v>3.41</v>
      </c>
      <c r="G49" s="6" t="n">
        <v>100</v>
      </c>
      <c r="H49" s="6" t="n">
        <v>0</v>
      </c>
      <c r="I49" s="7" t="n">
        <v>3.58</v>
      </c>
      <c r="M49" s="17">
        <f>C49-G49</f>
        <v/>
      </c>
      <c r="N49" s="17">
        <f>D49-H49</f>
        <v/>
      </c>
      <c r="O49" s="18">
        <f>E49-I49</f>
        <v/>
      </c>
    </row>
    <row r="50">
      <c r="A50" s="4" t="n"/>
      <c r="B50" s="5" t="n">
        <v>7</v>
      </c>
      <c r="C50" s="6" t="n">
        <v>100</v>
      </c>
      <c r="D50" s="6" t="n">
        <v>4</v>
      </c>
      <c r="E50" s="7" t="n">
        <v>2.86</v>
      </c>
      <c r="G50" s="6" t="n">
        <v>100</v>
      </c>
      <c r="H50" s="6" t="n">
        <v>7.9</v>
      </c>
      <c r="I50" s="7" t="n">
        <v>2.99</v>
      </c>
      <c r="M50" s="17">
        <f>C50-G50</f>
        <v/>
      </c>
      <c r="N50" s="17">
        <f>D50-H50</f>
        <v/>
      </c>
      <c r="O50" s="18">
        <f>E50-I50</f>
        <v/>
      </c>
    </row>
    <row r="51">
      <c r="A51" s="4" t="n"/>
      <c r="B51" s="5" t="n">
        <v>10</v>
      </c>
      <c r="C51" s="6" t="n">
        <v>99.90000000000001</v>
      </c>
      <c r="D51" s="6" t="n">
        <v>31.3</v>
      </c>
      <c r="E51" s="7" t="n">
        <v>2.5</v>
      </c>
      <c r="G51" s="6" t="n">
        <v>100</v>
      </c>
      <c r="H51" s="6" t="n">
        <v>34.9</v>
      </c>
      <c r="I51" s="7" t="n">
        <v>2.61</v>
      </c>
      <c r="M51" s="17">
        <f>C51-G51</f>
        <v/>
      </c>
      <c r="N51" s="17">
        <f>D51-H51</f>
        <v/>
      </c>
      <c r="O51" s="18">
        <f>E51-I51</f>
        <v/>
      </c>
    </row>
    <row r="52">
      <c r="A52" s="4" t="n"/>
      <c r="B52" s="5" t="n">
        <v>13</v>
      </c>
      <c r="C52" s="6" t="n">
        <v>97.59999999999999</v>
      </c>
      <c r="D52" s="6" t="n">
        <v>59.1</v>
      </c>
      <c r="E52" s="7" t="n">
        <v>2.28</v>
      </c>
      <c r="G52" s="6" t="n">
        <v>97.5</v>
      </c>
      <c r="H52" s="6" t="n">
        <v>61.8</v>
      </c>
      <c r="I52" s="7" t="n">
        <v>2.38</v>
      </c>
      <c r="M52" s="17">
        <f>C52-G52</f>
        <v/>
      </c>
      <c r="N52" s="17">
        <f>D52-H52</f>
        <v/>
      </c>
      <c r="O52" s="18">
        <f>E52-I52</f>
        <v/>
      </c>
    </row>
    <row r="53">
      <c r="A53" s="4" t="inlineStr">
        <is>
          <t>QFlex-A+</t>
        </is>
      </c>
      <c r="B53" s="5" t="n">
        <v>4</v>
      </c>
      <c r="C53" s="6" t="n">
        <v>100</v>
      </c>
      <c r="D53" s="6" t="n">
        <v>0</v>
      </c>
      <c r="E53" s="7" t="n">
        <v>3.44</v>
      </c>
      <c r="G53" s="6" t="n">
        <v>100</v>
      </c>
      <c r="H53" s="6" t="n">
        <v>0</v>
      </c>
      <c r="I53" s="7" t="n">
        <v>3.62</v>
      </c>
      <c r="M53" s="17">
        <f>C53-G53</f>
        <v/>
      </c>
      <c r="N53" s="17">
        <f>D53-H53</f>
        <v/>
      </c>
      <c r="O53" s="18">
        <f>E53-I53</f>
        <v/>
      </c>
    </row>
    <row r="54">
      <c r="A54" s="4" t="n"/>
      <c r="B54" s="5" t="n">
        <v>7</v>
      </c>
      <c r="C54" s="6" t="n">
        <v>100</v>
      </c>
      <c r="D54" s="6" t="n">
        <v>3.2</v>
      </c>
      <c r="E54" s="7" t="n">
        <v>2.9</v>
      </c>
      <c r="G54" s="6" t="n">
        <v>100</v>
      </c>
      <c r="H54" s="6" t="n">
        <v>7.1</v>
      </c>
      <c r="I54" s="7" t="n">
        <v>3.05</v>
      </c>
      <c r="M54" s="17">
        <f>C54-G54</f>
        <v/>
      </c>
      <c r="N54" s="17">
        <f>D54-H54</f>
        <v/>
      </c>
      <c r="O54" s="18">
        <f>E54-I54</f>
        <v/>
      </c>
    </row>
    <row r="55">
      <c r="A55" s="4" t="n"/>
      <c r="B55" s="5" t="n">
        <v>10</v>
      </c>
      <c r="C55" s="6" t="n">
        <v>100</v>
      </c>
      <c r="D55" s="6" t="n">
        <v>3.6</v>
      </c>
      <c r="E55" s="7" t="n">
        <v>2.79</v>
      </c>
      <c r="G55" s="6" t="n">
        <v>100</v>
      </c>
      <c r="H55" s="6" t="n">
        <v>7.1</v>
      </c>
      <c r="I55" s="7" t="n">
        <v>2.86</v>
      </c>
      <c r="M55" s="17">
        <f>C55-G55</f>
        <v/>
      </c>
      <c r="N55" s="17">
        <f>D55-H55</f>
        <v/>
      </c>
      <c r="O55" s="18">
        <f>E55-I55</f>
        <v/>
      </c>
    </row>
    <row r="56">
      <c r="A56" s="4" t="n"/>
      <c r="B56" s="5" t="n">
        <v>13</v>
      </c>
      <c r="C56" s="6" t="n">
        <v>100</v>
      </c>
      <c r="D56" s="6" t="n">
        <v>3.2</v>
      </c>
      <c r="E56" s="7" t="n">
        <v>2.7</v>
      </c>
      <c r="G56" s="6" t="n">
        <v>100</v>
      </c>
      <c r="H56" s="6" t="n">
        <v>7.6</v>
      </c>
      <c r="I56" s="7" t="n">
        <v>2.76</v>
      </c>
      <c r="M56" s="17">
        <f>C56-G56</f>
        <v/>
      </c>
      <c r="N56" s="17">
        <f>D56-H56</f>
        <v/>
      </c>
      <c r="O56" s="18">
        <f>E56-I56</f>
        <v/>
      </c>
    </row>
    <row r="60">
      <c r="A60" s="11" t="inlineStr">
        <is>
          <t>Notes</t>
        </is>
      </c>
    </row>
    <row r="61">
      <c r="A61" s="12" t="inlineStr">
        <is>
          <t>Design identical for both distributions: N = 50 and 200, 1000 replicates, K = 4, 7, 10, 13 shown (fitted 3-13); Log transform with the true lower bound 0.</t>
        </is>
      </c>
    </row>
    <row r="62">
      <c r="A62" s="12" t="inlineStr">
        <is>
          <t>Replicate r of the inverse Gaussian uses the same uniforms as Johnson SL replicate r (seed 42 + N*1000 + r), pushed through the IG quantile function.</t>
        </is>
      </c>
    </row>
    <row r="63">
      <c r="A63" s="12" t="inlineStr">
        <is>
          <t>Inverse Gaussian parameters (mu = 0.919, lambda = 1.069). Johnson SL = the Section 4.1 reference distribution.</t>
        </is>
      </c>
    </row>
    <row r="64">
      <c r="A64" s="12" t="n"/>
    </row>
  </sheetData>
  <mergeCells count="6">
    <mergeCell ref="G10:I10"/>
    <mergeCell ref="M10:O10"/>
    <mergeCell ref="G35:I35"/>
    <mergeCell ref="M35:O35"/>
    <mergeCell ref="C35:E35"/>
    <mergeCell ref="C10:E10"/>
  </mergeCells>
  <conditionalFormatting sqref="M12:O31">
    <cfRule type="cellIs" priority="7" operator="greaterThan" dxfId="3">
      <formula>0</formula>
    </cfRule>
    <cfRule type="cellIs" priority="6" operator="greaterThan" dxfId="1">
      <formula>0</formula>
    </cfRule>
    <cfRule type="cellIs" priority="5" operator="greaterThan" dxfId="1">
      <formula>0</formula>
    </cfRule>
    <cfRule type="cellIs" priority="4" operator="lessThan" dxfId="0">
      <formula>0</formula>
    </cfRule>
    <cfRule type="cellIs" priority="1" operator="greaterThan" dxfId="1">
      <formula>0</formula>
    </cfRule>
  </conditionalFormatting>
  <conditionalFormatting sqref="M37:O56">
    <cfRule type="cellIs" priority="3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2026-10-12T07:44:07Z</dcterms:created>
  <dcterms:modified xmlns:dcterms="http://purl.org/dc/terms/" xmlns:xsi="http://www.w3.org/2001/XMLSchema-instance" xsi:type="dcterms:W3CDTF">2026-10-21T01:47:18Z</dcterms:modified>
  <cp:lastModifiedBy>Khanna, Rohit</cp:lastModifiedBy>
</cp:coreProperties>
</file>